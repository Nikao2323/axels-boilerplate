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filterPrivacy="1"/>
  <xr:revisionPtr revIDLastSave="0" documentId="8_{9DC58804-A41F-4BC1-AC01-28D5741966A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ფართები" sheetId="3" r:id="rId1"/>
    <sheet name="ბიუჯეტი" sheetId="12" r:id="rId2"/>
    <sheet name="სამუშაო" sheetId="13" r:id="rId3"/>
    <sheet name="მასალა" sheetId="14" r:id="rId4"/>
    <sheet name="მომსახურება" sheetId="15" r:id="rId5"/>
    <sheet name="ხელფასი" sheetId="16" r:id="rId6"/>
  </sheets>
  <externalReferences>
    <externalReference r:id="rId7"/>
  </externalReferences>
  <definedNames>
    <definedName name="_xlnm._FilterDatabase" localSheetId="1" hidden="1">ბიუჯეტი!$A$61:$K$501</definedName>
    <definedName name="_xlnm._FilterDatabase" localSheetId="3" hidden="1">მასალა!$A$1:$D$114</definedName>
    <definedName name="_xlnm._FilterDatabase" localSheetId="5" hidden="1">ხელფასი!$A$1:$D$42</definedName>
    <definedName name="_xlnm.Print_Area" localSheetId="0">ფართები!#REF!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3" l="1"/>
  <c r="E28" i="13"/>
  <c r="E27" i="13"/>
  <c r="E26" i="13"/>
  <c r="F8" i="13"/>
  <c r="F7" i="13"/>
  <c r="F6" i="13"/>
  <c r="F5" i="13"/>
  <c r="E76" i="13" l="1"/>
  <c r="E79" i="13"/>
  <c r="E78" i="13"/>
  <c r="E77" i="13"/>
  <c r="D36" i="12" l="1"/>
  <c r="D37" i="12"/>
  <c r="D32" i="12"/>
  <c r="D33" i="12"/>
  <c r="F105" i="13"/>
  <c r="D99" i="13"/>
  <c r="D98" i="13"/>
  <c r="D97" i="13"/>
  <c r="D96" i="13"/>
  <c r="D49" i="13"/>
  <c r="D48" i="13"/>
  <c r="D47" i="13"/>
  <c r="D46" i="13"/>
  <c r="D45" i="13"/>
  <c r="D8" i="13"/>
  <c r="D7" i="13"/>
  <c r="D6" i="13"/>
  <c r="I477" i="12"/>
  <c r="D43" i="12"/>
  <c r="C12" i="3"/>
  <c r="C11" i="3"/>
  <c r="C10" i="3"/>
  <c r="C9" i="3"/>
  <c r="C8" i="3"/>
  <c r="C7" i="3"/>
  <c r="D11" i="12"/>
  <c r="J11" i="12" s="1"/>
  <c r="H11" i="12" l="1"/>
  <c r="K11" i="12"/>
  <c r="D13" i="16" l="1"/>
  <c r="D14" i="16" l="1"/>
  <c r="D466" i="12" l="1"/>
  <c r="D3" i="16"/>
  <c r="D6" i="14" l="1"/>
  <c r="E33" i="12" l="1"/>
  <c r="D13" i="12" l="1"/>
  <c r="D10" i="12"/>
  <c r="D82" i="14"/>
  <c r="D21" i="14"/>
  <c r="D5" i="14"/>
  <c r="D12" i="12"/>
  <c r="D39" i="12"/>
  <c r="D42" i="12"/>
  <c r="D41" i="12"/>
  <c r="I32" i="12"/>
  <c r="J32" i="12" s="1"/>
  <c r="D35" i="12"/>
  <c r="E32" i="12" l="1"/>
  <c r="D95" i="14"/>
  <c r="D33" i="15"/>
  <c r="I43" i="12" s="1"/>
  <c r="D489" i="12"/>
  <c r="D487" i="12"/>
  <c r="D458" i="12"/>
  <c r="D455" i="12"/>
  <c r="D452" i="12"/>
  <c r="D433" i="12"/>
  <c r="D443" i="12"/>
  <c r="D430" i="12"/>
  <c r="D423" i="12"/>
  <c r="D414" i="12"/>
  <c r="D408" i="12"/>
  <c r="D384" i="12"/>
  <c r="D251" i="12"/>
  <c r="D266" i="12"/>
  <c r="D268" i="12" s="1"/>
  <c r="D259" i="12"/>
  <c r="D260" i="12"/>
  <c r="D261" i="12"/>
  <c r="D238" i="12"/>
  <c r="D232" i="12"/>
  <c r="F476" i="12"/>
  <c r="H476" i="12"/>
  <c r="D478" i="12"/>
  <c r="E39" i="13"/>
  <c r="E38" i="13"/>
  <c r="E37" i="13"/>
  <c r="E36" i="13"/>
  <c r="D198" i="12"/>
  <c r="D197" i="12"/>
  <c r="D196" i="12"/>
  <c r="D189" i="12"/>
  <c r="D192" i="12"/>
  <c r="D186" i="12"/>
  <c r="D163" i="12"/>
  <c r="D164" i="12" s="1"/>
  <c r="D104" i="12"/>
  <c r="F110" i="13"/>
  <c r="F109" i="13"/>
  <c r="F108" i="13"/>
  <c r="F107" i="13"/>
  <c r="F106" i="13"/>
  <c r="E110" i="13"/>
  <c r="E109" i="13"/>
  <c r="E108" i="13"/>
  <c r="E107" i="13"/>
  <c r="E106" i="13"/>
  <c r="E105" i="13"/>
  <c r="E99" i="13"/>
  <c r="E98" i="13"/>
  <c r="E97" i="13"/>
  <c r="E96" i="13"/>
  <c r="E86" i="13"/>
  <c r="D69" i="13"/>
  <c r="D68" i="13"/>
  <c r="D67" i="13"/>
  <c r="E69" i="13"/>
  <c r="E68" i="13"/>
  <c r="E67" i="13"/>
  <c r="E66" i="13"/>
  <c r="D66" i="13"/>
  <c r="G69" i="13"/>
  <c r="G68" i="13"/>
  <c r="G67" i="13"/>
  <c r="G66" i="13"/>
  <c r="G65" i="13"/>
  <c r="F69" i="13"/>
  <c r="F68" i="13"/>
  <c r="F67" i="13"/>
  <c r="F66" i="13"/>
  <c r="F65" i="13"/>
  <c r="H49" i="13"/>
  <c r="H48" i="13"/>
  <c r="H47" i="13"/>
  <c r="H46" i="13"/>
  <c r="H45" i="13"/>
  <c r="G49" i="13"/>
  <c r="G48" i="13"/>
  <c r="G47" i="13"/>
  <c r="G46" i="13"/>
  <c r="G45" i="13"/>
  <c r="F39" i="13"/>
  <c r="F38" i="13"/>
  <c r="F37" i="13"/>
  <c r="G39" i="13"/>
  <c r="G38" i="13"/>
  <c r="G37" i="13"/>
  <c r="G36" i="13"/>
  <c r="D248" i="12" s="1"/>
  <c r="F36" i="13"/>
  <c r="D35" i="13"/>
  <c r="F35" i="13"/>
  <c r="D127" i="12"/>
  <c r="D124" i="12"/>
  <c r="F26" i="13"/>
  <c r="F25" i="13"/>
  <c r="H28" i="13"/>
  <c r="H27" i="13"/>
  <c r="H26" i="13"/>
  <c r="H25" i="13"/>
  <c r="H24" i="13"/>
  <c r="D65" i="12"/>
  <c r="D68" i="12"/>
  <c r="H68" i="12" s="1"/>
  <c r="E68" i="12"/>
  <c r="F68" i="12" s="1"/>
  <c r="D15" i="13"/>
  <c r="D18" i="13"/>
  <c r="D17" i="13"/>
  <c r="D16" i="13"/>
  <c r="D14" i="13"/>
  <c r="E8" i="13"/>
  <c r="E7" i="13"/>
  <c r="G8" i="13"/>
  <c r="H8" i="13"/>
  <c r="G7" i="13"/>
  <c r="H7" i="13"/>
  <c r="H6" i="13"/>
  <c r="D83" i="12" s="1"/>
  <c r="G6" i="13"/>
  <c r="E6" i="13"/>
  <c r="H5" i="13"/>
  <c r="D74" i="12" s="1"/>
  <c r="G5" i="13"/>
  <c r="D77" i="12" s="1"/>
  <c r="E5" i="13"/>
  <c r="D5" i="13"/>
  <c r="F4" i="13"/>
  <c r="I41" i="12"/>
  <c r="D86" i="12" l="1"/>
  <c r="D254" i="12"/>
  <c r="E46" i="12"/>
  <c r="D66" i="12"/>
  <c r="K68" i="12"/>
  <c r="D5" i="15"/>
  <c r="D105" i="14"/>
  <c r="E274" i="12"/>
  <c r="E264" i="12"/>
  <c r="H271" i="12"/>
  <c r="D69" i="14"/>
  <c r="D44" i="14"/>
  <c r="D8" i="14"/>
  <c r="D35" i="16"/>
  <c r="G199" i="12" s="1"/>
  <c r="D11" i="14" l="1"/>
  <c r="D31" i="14"/>
  <c r="D14" i="14"/>
  <c r="D10" i="14"/>
  <c r="D471" i="12" l="1"/>
  <c r="D468" i="12"/>
  <c r="D427" i="12"/>
  <c r="D377" i="12"/>
  <c r="D316" i="12"/>
  <c r="G491" i="12" l="1"/>
  <c r="D19" i="16" l="1"/>
  <c r="G348" i="12" s="1"/>
  <c r="D18" i="16"/>
  <c r="D8" i="16"/>
  <c r="D113" i="14"/>
  <c r="D29" i="14"/>
  <c r="D7" i="14"/>
  <c r="E317" i="12"/>
  <c r="E316" i="12"/>
  <c r="E37" i="12" l="1"/>
  <c r="E36" i="12"/>
  <c r="I42" i="12"/>
  <c r="D27" i="15"/>
  <c r="D4" i="15"/>
  <c r="D32" i="15"/>
  <c r="I479" i="12" s="1"/>
  <c r="F479" i="12"/>
  <c r="D114" i="14"/>
  <c r="E488" i="12"/>
  <c r="E305" i="12"/>
  <c r="E302" i="12"/>
  <c r="E294" i="12"/>
  <c r="E290" i="12"/>
  <c r="E281" i="12"/>
  <c r="E277" i="12"/>
  <c r="D9" i="15"/>
  <c r="D263" i="12"/>
  <c r="D264" i="12" s="1"/>
  <c r="H479" i="12" l="1"/>
  <c r="J479" i="12"/>
  <c r="E475" i="12"/>
  <c r="K479" i="12" l="1"/>
  <c r="D110" i="13"/>
  <c r="J111" i="13"/>
  <c r="D109" i="13"/>
  <c r="D108" i="13"/>
  <c r="D107" i="13"/>
  <c r="D106" i="13"/>
  <c r="D105" i="13"/>
  <c r="E238" i="12"/>
  <c r="E232" i="12"/>
  <c r="D17" i="14"/>
  <c r="E170" i="12" l="1"/>
  <c r="I106" i="13"/>
  <c r="E174" i="12"/>
  <c r="E178" i="12"/>
  <c r="E182" i="12"/>
  <c r="I110" i="13"/>
  <c r="I109" i="13"/>
  <c r="I107" i="13"/>
  <c r="I105" i="13"/>
  <c r="I108" i="13"/>
  <c r="D12" i="14"/>
  <c r="E83" i="12"/>
  <c r="E86" i="12"/>
  <c r="E74" i="12"/>
  <c r="E77" i="12"/>
  <c r="E65" i="12"/>
  <c r="G31" i="12"/>
  <c r="D112" i="14"/>
  <c r="D111" i="14"/>
  <c r="D110" i="14"/>
  <c r="D109" i="14"/>
  <c r="D108" i="14"/>
  <c r="D107" i="14"/>
  <c r="D106" i="14"/>
  <c r="D104" i="14"/>
  <c r="D103" i="14"/>
  <c r="D102" i="14"/>
  <c r="D101" i="14"/>
  <c r="D100" i="14"/>
  <c r="D99" i="14"/>
  <c r="D98" i="14"/>
  <c r="E205" i="12" l="1"/>
  <c r="E215" i="12"/>
  <c r="E296" i="12"/>
  <c r="E419" i="12"/>
  <c r="E129" i="12"/>
  <c r="E119" i="12"/>
  <c r="E224" i="12"/>
  <c r="E314" i="12"/>
  <c r="E447" i="12"/>
  <c r="E490" i="12"/>
  <c r="E165" i="12"/>
  <c r="E472" i="12"/>
  <c r="E203" i="12"/>
  <c r="E201" i="12"/>
  <c r="E67" i="12"/>
  <c r="E334" i="12"/>
  <c r="E346" i="12"/>
  <c r="E358" i="12"/>
  <c r="E369" i="12"/>
  <c r="E184" i="12"/>
  <c r="E180" i="12"/>
  <c r="E176" i="12"/>
  <c r="E172" i="12"/>
  <c r="E457" i="12"/>
  <c r="E460" i="12"/>
  <c r="I111" i="13"/>
  <c r="D31" i="12" s="1"/>
  <c r="E96" i="12"/>
  <c r="E161" i="12"/>
  <c r="E151" i="12"/>
  <c r="E279" i="12"/>
  <c r="E283" i="12"/>
  <c r="E287" i="12"/>
  <c r="E102" i="12"/>
  <c r="E125" i="12"/>
  <c r="E137" i="12"/>
  <c r="E132" i="12"/>
  <c r="E114" i="12"/>
  <c r="E320" i="12"/>
  <c r="E109" i="12"/>
  <c r="E85" i="12"/>
  <c r="E209" i="12"/>
  <c r="E413" i="12"/>
  <c r="E212" i="12"/>
  <c r="E76" i="12"/>
  <c r="E437" i="12"/>
  <c r="E220" i="12"/>
  <c r="E292" i="12"/>
  <c r="E442" i="12"/>
  <c r="E228" i="12"/>
  <c r="E310" i="12"/>
  <c r="E451" i="12"/>
  <c r="E454" i="12"/>
  <c r="E469" i="12"/>
  <c r="E465" i="12"/>
  <c r="D97" i="14"/>
  <c r="D96" i="14"/>
  <c r="D94" i="14"/>
  <c r="D29" i="15"/>
  <c r="I481" i="12" s="1"/>
  <c r="D30" i="15"/>
  <c r="I482" i="12" s="1"/>
  <c r="D31" i="15"/>
  <c r="I483" i="12" s="1"/>
  <c r="D429" i="12"/>
  <c r="D27" i="16"/>
  <c r="D26" i="16"/>
  <c r="D16" i="16"/>
  <c r="D4" i="16"/>
  <c r="D28" i="15"/>
  <c r="I485" i="12" s="1"/>
  <c r="D42" i="16"/>
  <c r="G34" i="12" s="1"/>
  <c r="I35" i="12"/>
  <c r="D9" i="14"/>
  <c r="H41" i="12"/>
  <c r="D3" i="14"/>
  <c r="E38" i="12" l="1"/>
  <c r="E42" i="12"/>
  <c r="E34" i="12"/>
  <c r="J35" i="12"/>
  <c r="E89" i="12"/>
  <c r="E241" i="12"/>
  <c r="E247" i="12"/>
  <c r="E258" i="12"/>
  <c r="E235" i="12"/>
  <c r="E253" i="12"/>
  <c r="E140" i="12"/>
  <c r="E135" i="12"/>
  <c r="E106" i="12"/>
  <c r="E100" i="12"/>
  <c r="E84" i="12"/>
  <c r="E66" i="12"/>
  <c r="E75" i="12"/>
  <c r="E71" i="12"/>
  <c r="E80" i="12"/>
  <c r="H40" i="12"/>
  <c r="J41" i="12"/>
  <c r="D93" i="14"/>
  <c r="D92" i="14"/>
  <c r="D91" i="14"/>
  <c r="D41" i="16"/>
  <c r="E45" i="12" l="1"/>
  <c r="D9" i="12"/>
  <c r="G48" i="12"/>
  <c r="I47" i="12"/>
  <c r="E47" i="12"/>
  <c r="D40" i="16" l="1"/>
  <c r="G487" i="12" s="1"/>
  <c r="D19" i="14"/>
  <c r="D490" i="12"/>
  <c r="D488" i="12"/>
  <c r="D29" i="16"/>
  <c r="G452" i="12" s="1"/>
  <c r="D64" i="14"/>
  <c r="D30" i="16"/>
  <c r="G470" i="12" s="1"/>
  <c r="D440" i="12"/>
  <c r="D60" i="14"/>
  <c r="D59" i="14"/>
  <c r="E459" i="12" l="1"/>
  <c r="E446" i="12"/>
  <c r="E445" i="12"/>
  <c r="G449" i="12"/>
  <c r="G458" i="12"/>
  <c r="G455" i="12"/>
  <c r="G467" i="12"/>
  <c r="E441" i="12"/>
  <c r="E440" i="12"/>
  <c r="E453" i="12"/>
  <c r="E456" i="12"/>
  <c r="F490" i="12"/>
  <c r="K490" i="12" s="1"/>
  <c r="F488" i="12"/>
  <c r="K488" i="12" s="1"/>
  <c r="D58" i="14" l="1"/>
  <c r="D445" i="12"/>
  <c r="D439" i="12"/>
  <c r="D447" i="12"/>
  <c r="D425" i="12"/>
  <c r="G430" i="12"/>
  <c r="G428" i="12"/>
  <c r="G426" i="12"/>
  <c r="G425" i="12"/>
  <c r="D28" i="16"/>
  <c r="D25" i="16"/>
  <c r="G423" i="12" s="1"/>
  <c r="D434" i="12"/>
  <c r="D24" i="16"/>
  <c r="G414" i="12" s="1"/>
  <c r="D39" i="16"/>
  <c r="D90" i="14"/>
  <c r="D464" i="12"/>
  <c r="D89" i="14"/>
  <c r="D88" i="14"/>
  <c r="D87" i="14"/>
  <c r="D22" i="16"/>
  <c r="G405" i="12" s="1"/>
  <c r="H405" i="12" s="1"/>
  <c r="J405" i="12"/>
  <c r="D23" i="16"/>
  <c r="G406" i="12" s="1"/>
  <c r="D21" i="16"/>
  <c r="G404" i="12" s="1"/>
  <c r="D20" i="15"/>
  <c r="I480" i="12" s="1"/>
  <c r="E492" i="12"/>
  <c r="I478" i="12"/>
  <c r="F478" i="12"/>
  <c r="D19" i="15"/>
  <c r="J477" i="12" s="1"/>
  <c r="D18" i="15"/>
  <c r="I476" i="12" s="1"/>
  <c r="J476" i="12" s="1"/>
  <c r="K476" i="12" s="1"/>
  <c r="F477" i="12"/>
  <c r="H477" i="12"/>
  <c r="D10" i="15"/>
  <c r="I397" i="12" s="1"/>
  <c r="D398" i="12"/>
  <c r="D397" i="12"/>
  <c r="D17" i="15"/>
  <c r="I388" i="12" s="1"/>
  <c r="D16" i="15"/>
  <c r="I390" i="12" s="1"/>
  <c r="D391" i="12"/>
  <c r="D390" i="12"/>
  <c r="F390" i="12" s="1"/>
  <c r="D393" i="12"/>
  <c r="D389" i="12"/>
  <c r="D14" i="15"/>
  <c r="I386" i="12" s="1"/>
  <c r="D15" i="15"/>
  <c r="I376" i="12" s="1"/>
  <c r="I381" i="12"/>
  <c r="D13" i="15"/>
  <c r="I382" i="12" s="1"/>
  <c r="D383" i="12"/>
  <c r="D11" i="15"/>
  <c r="I377" i="12" s="1"/>
  <c r="D378" i="12"/>
  <c r="I371" i="12"/>
  <c r="D8" i="15"/>
  <c r="I373" i="12" s="1"/>
  <c r="D373" i="12"/>
  <c r="D372" i="12"/>
  <c r="D371" i="12"/>
  <c r="G335" i="12"/>
  <c r="D40" i="14"/>
  <c r="D304" i="12"/>
  <c r="D305" i="12" s="1"/>
  <c r="D298" i="12"/>
  <c r="D299" i="12" s="1"/>
  <c r="D285" i="12"/>
  <c r="D86" i="14"/>
  <c r="D85" i="14"/>
  <c r="D84" i="14"/>
  <c r="D81" i="14"/>
  <c r="D80" i="14"/>
  <c r="D83" i="14"/>
  <c r="I492" i="12"/>
  <c r="K477" i="12" l="1"/>
  <c r="E269" i="12"/>
  <c r="E463" i="12"/>
  <c r="E265" i="12"/>
  <c r="E266" i="12"/>
  <c r="E267" i="12"/>
  <c r="E272" i="12"/>
  <c r="E404" i="12"/>
  <c r="E405" i="12"/>
  <c r="F405" i="12" s="1"/>
  <c r="K405" i="12" s="1"/>
  <c r="E406" i="12"/>
  <c r="E434" i="12"/>
  <c r="D287" i="12"/>
  <c r="D288" i="12"/>
  <c r="I391" i="12"/>
  <c r="I389" i="12"/>
  <c r="I375" i="12"/>
  <c r="G421" i="12"/>
  <c r="E333" i="12"/>
  <c r="E368" i="12"/>
  <c r="E345" i="12"/>
  <c r="E357" i="12"/>
  <c r="E286" i="12"/>
  <c r="E299" i="12"/>
  <c r="D394" i="12"/>
  <c r="G462" i="12"/>
  <c r="G461" i="12"/>
  <c r="G408" i="12"/>
  <c r="I398" i="12"/>
  <c r="I387" i="12"/>
  <c r="D461" i="12"/>
  <c r="D432" i="12"/>
  <c r="D437" i="12"/>
  <c r="D444" i="12"/>
  <c r="H478" i="12"/>
  <c r="I396" i="12"/>
  <c r="I383" i="12"/>
  <c r="I392" i="12"/>
  <c r="I393" i="12"/>
  <c r="I384" i="12"/>
  <c r="I394" i="12"/>
  <c r="I378" i="12"/>
  <c r="G359" i="12"/>
  <c r="G323" i="12"/>
  <c r="J390" i="12"/>
  <c r="K390" i="12" s="1"/>
  <c r="I372" i="12"/>
  <c r="F287" i="12"/>
  <c r="K287" i="12" s="1"/>
  <c r="D274" i="12" l="1"/>
  <c r="D269" i="12"/>
  <c r="G260" i="12"/>
  <c r="G261" i="12"/>
  <c r="D243" i="12"/>
  <c r="G248" i="12"/>
  <c r="D230" i="12"/>
  <c r="D37" i="16"/>
  <c r="G225" i="12" s="1"/>
  <c r="D36" i="16"/>
  <c r="G210" i="12" s="1"/>
  <c r="G213" i="12"/>
  <c r="D200" i="12"/>
  <c r="D201" i="12" s="1"/>
  <c r="D190" i="12"/>
  <c r="D187" i="12"/>
  <c r="D20" i="14"/>
  <c r="D10" i="16"/>
  <c r="G173" i="12" s="1"/>
  <c r="G181" i="12"/>
  <c r="D177" i="12"/>
  <c r="D38" i="16"/>
  <c r="G163" i="12" s="1"/>
  <c r="D162" i="12"/>
  <c r="D165" i="12" s="1"/>
  <c r="D34" i="16"/>
  <c r="G141" i="12" s="1"/>
  <c r="D79" i="14"/>
  <c r="D78" i="14"/>
  <c r="D77" i="14"/>
  <c r="D76" i="14"/>
  <c r="D75" i="14"/>
  <c r="D9" i="16"/>
  <c r="G124" i="12" s="1"/>
  <c r="G118" i="12"/>
  <c r="D31" i="16"/>
  <c r="D7" i="16"/>
  <c r="D68" i="14"/>
  <c r="D125" i="12"/>
  <c r="H125" i="12" s="1"/>
  <c r="D348" i="12"/>
  <c r="D349" i="12" s="1"/>
  <c r="D350" i="12" s="1"/>
  <c r="D335" i="12"/>
  <c r="D323" i="12"/>
  <c r="E85" i="13"/>
  <c r="E89" i="13"/>
  <c r="F89" i="13"/>
  <c r="E88" i="13"/>
  <c r="F88" i="13"/>
  <c r="E87" i="13"/>
  <c r="D301" i="12"/>
  <c r="D302" i="12" s="1"/>
  <c r="D276" i="12"/>
  <c r="D278" i="12" s="1"/>
  <c r="F85" i="13"/>
  <c r="D308" i="12" s="1"/>
  <c r="D310" i="12" s="1"/>
  <c r="D386" i="12"/>
  <c r="I67" i="13"/>
  <c r="D375" i="12"/>
  <c r="I57" i="13"/>
  <c r="E49" i="13"/>
  <c r="E48" i="13"/>
  <c r="E47" i="13"/>
  <c r="F47" i="13" s="1"/>
  <c r="E46" i="13"/>
  <c r="D210" i="12" s="1"/>
  <c r="D211" i="12" s="1"/>
  <c r="E45" i="13"/>
  <c r="F45" i="13" s="1"/>
  <c r="D131" i="12"/>
  <c r="D133" i="12" s="1"/>
  <c r="D113" i="12"/>
  <c r="D142" i="12"/>
  <c r="D149" i="12" s="1"/>
  <c r="D169" i="12"/>
  <c r="D170" i="12" s="1"/>
  <c r="D171" i="12" s="1"/>
  <c r="D101" i="12"/>
  <c r="D95" i="12"/>
  <c r="D108" i="12"/>
  <c r="I16" i="13"/>
  <c r="D6" i="16"/>
  <c r="G83" i="12" s="1"/>
  <c r="D33" i="16"/>
  <c r="D32" i="16"/>
  <c r="D20" i="16"/>
  <c r="D17" i="16"/>
  <c r="D15" i="16"/>
  <c r="D12" i="16"/>
  <c r="D11" i="16"/>
  <c r="G192" i="12" s="1"/>
  <c r="D5" i="16"/>
  <c r="G77" i="12" s="1"/>
  <c r="D26" i="15"/>
  <c r="I39" i="12" s="1"/>
  <c r="J39" i="12" s="1"/>
  <c r="D25" i="15"/>
  <c r="D24" i="15"/>
  <c r="D23" i="15"/>
  <c r="D22" i="15"/>
  <c r="D21" i="15"/>
  <c r="J478" i="12"/>
  <c r="K478" i="12" s="1"/>
  <c r="D12" i="15"/>
  <c r="D7" i="15"/>
  <c r="D6" i="15"/>
  <c r="I198" i="12" s="1"/>
  <c r="I167" i="12"/>
  <c r="D3" i="15"/>
  <c r="I93" i="12" s="1"/>
  <c r="D74" i="14"/>
  <c r="D73" i="14"/>
  <c r="D72" i="14"/>
  <c r="D71" i="14"/>
  <c r="D70" i="14"/>
  <c r="D67" i="14"/>
  <c r="D66" i="14"/>
  <c r="D65" i="14"/>
  <c r="D63" i="14"/>
  <c r="D62" i="14"/>
  <c r="D61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3" i="14"/>
  <c r="D42" i="14"/>
  <c r="D41" i="14"/>
  <c r="D39" i="14"/>
  <c r="D38" i="14"/>
  <c r="D37" i="14"/>
  <c r="D36" i="14"/>
  <c r="D35" i="14"/>
  <c r="D34" i="14"/>
  <c r="D33" i="14"/>
  <c r="D32" i="14"/>
  <c r="D30" i="14"/>
  <c r="D28" i="14"/>
  <c r="D27" i="14"/>
  <c r="D26" i="14"/>
  <c r="D25" i="14"/>
  <c r="D24" i="14"/>
  <c r="D23" i="14"/>
  <c r="D22" i="14"/>
  <c r="D18" i="14"/>
  <c r="D16" i="14"/>
  <c r="D15" i="14"/>
  <c r="D13" i="14"/>
  <c r="D4" i="14"/>
  <c r="E262" i="12" l="1"/>
  <c r="E263" i="12"/>
  <c r="E270" i="12"/>
  <c r="E226" i="12"/>
  <c r="E251" i="12"/>
  <c r="F251" i="12" s="1"/>
  <c r="E273" i="12"/>
  <c r="E450" i="12"/>
  <c r="E436" i="12"/>
  <c r="E271" i="12"/>
  <c r="F271" i="12" s="1"/>
  <c r="K271" i="12" s="1"/>
  <c r="G104" i="12"/>
  <c r="G251" i="12"/>
  <c r="H251" i="12" s="1"/>
  <c r="F40" i="12"/>
  <c r="I40" i="12"/>
  <c r="J40" i="12" s="1"/>
  <c r="E268" i="12"/>
  <c r="E41" i="12"/>
  <c r="F41" i="12" s="1"/>
  <c r="K41" i="12" s="1"/>
  <c r="D103" i="12"/>
  <c r="D94" i="12"/>
  <c r="D213" i="12"/>
  <c r="D214" i="12" s="1"/>
  <c r="E341" i="12"/>
  <c r="E329" i="12"/>
  <c r="D167" i="12"/>
  <c r="E337" i="12"/>
  <c r="E325" i="12"/>
  <c r="E361" i="12"/>
  <c r="E350" i="12"/>
  <c r="E340" i="12"/>
  <c r="E353" i="12"/>
  <c r="E364" i="12"/>
  <c r="E328" i="12"/>
  <c r="E354" i="12"/>
  <c r="E342" i="12"/>
  <c r="E365" i="12"/>
  <c r="E330" i="12"/>
  <c r="E240" i="12"/>
  <c r="E188" i="12"/>
  <c r="E246" i="12"/>
  <c r="E257" i="12"/>
  <c r="E191" i="12"/>
  <c r="E234" i="12"/>
  <c r="E252" i="12"/>
  <c r="E194" i="12"/>
  <c r="E327" i="12"/>
  <c r="E339" i="12"/>
  <c r="E366" i="12"/>
  <c r="E331" i="12"/>
  <c r="E343" i="12"/>
  <c r="E355" i="12"/>
  <c r="E367" i="12"/>
  <c r="E344" i="12"/>
  <c r="E356" i="12"/>
  <c r="E332" i="12"/>
  <c r="D204" i="12"/>
  <c r="D202" i="12"/>
  <c r="D203" i="12" s="1"/>
  <c r="E237" i="12"/>
  <c r="E231" i="12"/>
  <c r="E255" i="12"/>
  <c r="E244" i="12"/>
  <c r="E249" i="12"/>
  <c r="E362" i="12"/>
  <c r="E351" i="12"/>
  <c r="E171" i="12"/>
  <c r="E179" i="12"/>
  <c r="E183" i="12"/>
  <c r="E175" i="12"/>
  <c r="E338" i="12"/>
  <c r="E326" i="12"/>
  <c r="D136" i="12"/>
  <c r="D138" i="12" s="1"/>
  <c r="E239" i="12"/>
  <c r="E187" i="12"/>
  <c r="E256" i="12"/>
  <c r="E233" i="12"/>
  <c r="E245" i="12"/>
  <c r="E193" i="12"/>
  <c r="E250" i="12"/>
  <c r="E190" i="12"/>
  <c r="E211" i="12"/>
  <c r="E208" i="12"/>
  <c r="E352" i="12"/>
  <c r="E363" i="12"/>
  <c r="I97" i="13"/>
  <c r="D359" i="12"/>
  <c r="D360" i="12" s="1"/>
  <c r="D361" i="12" s="1"/>
  <c r="F87" i="13"/>
  <c r="I87" i="13" s="1"/>
  <c r="D293" i="12"/>
  <c r="D295" i="12" s="1"/>
  <c r="D387" i="12"/>
  <c r="D280" i="12"/>
  <c r="D282" i="12" s="1"/>
  <c r="F86" i="13"/>
  <c r="D289" i="12"/>
  <c r="D291" i="12" s="1"/>
  <c r="D376" i="12"/>
  <c r="E489" i="12"/>
  <c r="F489" i="12" s="1"/>
  <c r="E110" i="12"/>
  <c r="E120" i="12"/>
  <c r="E115" i="12"/>
  <c r="E148" i="12"/>
  <c r="E158" i="12"/>
  <c r="E145" i="12"/>
  <c r="E155" i="12"/>
  <c r="E146" i="12"/>
  <c r="E156" i="12"/>
  <c r="E149" i="12"/>
  <c r="E159" i="12"/>
  <c r="E127" i="12"/>
  <c r="F127" i="12" s="1"/>
  <c r="K127" i="12" s="1"/>
  <c r="E104" i="12"/>
  <c r="E98" i="12"/>
  <c r="E154" i="12"/>
  <c r="E144" i="12"/>
  <c r="E160" i="12"/>
  <c r="E150" i="12"/>
  <c r="E153" i="12"/>
  <c r="E143" i="12"/>
  <c r="E147" i="12"/>
  <c r="E157" i="12"/>
  <c r="E138" i="12"/>
  <c r="E133" i="12"/>
  <c r="E164" i="12"/>
  <c r="E126" i="12"/>
  <c r="E103" i="12"/>
  <c r="E97" i="12"/>
  <c r="E121" i="12"/>
  <c r="E111" i="12"/>
  <c r="E87" i="12"/>
  <c r="E116" i="12"/>
  <c r="E139" i="12"/>
  <c r="E166" i="12"/>
  <c r="E134" i="12"/>
  <c r="E128" i="12"/>
  <c r="E112" i="12"/>
  <c r="E122" i="12"/>
  <c r="E117" i="12"/>
  <c r="E105" i="12"/>
  <c r="E88" i="12"/>
  <c r="E99" i="12"/>
  <c r="E73" i="12"/>
  <c r="E82" i="12"/>
  <c r="E64" i="12"/>
  <c r="E78" i="12"/>
  <c r="E69" i="12"/>
  <c r="E79" i="12"/>
  <c r="E70" i="12"/>
  <c r="G402" i="12"/>
  <c r="G400" i="12"/>
  <c r="F165" i="12"/>
  <c r="H165" i="12"/>
  <c r="D207" i="12"/>
  <c r="D208" i="12" s="1"/>
  <c r="G443" i="12"/>
  <c r="G438" i="12"/>
  <c r="G432" i="12"/>
  <c r="G433" i="12"/>
  <c r="E439" i="12"/>
  <c r="E444" i="12"/>
  <c r="E468" i="12"/>
  <c r="E471" i="12"/>
  <c r="E464" i="12"/>
  <c r="E415" i="12"/>
  <c r="E409" i="12"/>
  <c r="E416" i="12"/>
  <c r="E410" i="12"/>
  <c r="E412" i="12"/>
  <c r="E418" i="12"/>
  <c r="E403" i="12"/>
  <c r="E401" i="12"/>
  <c r="E417" i="12"/>
  <c r="E411" i="12"/>
  <c r="E424" i="12"/>
  <c r="E422" i="12"/>
  <c r="E431" i="12"/>
  <c r="E429" i="12"/>
  <c r="E427" i="12"/>
  <c r="G189" i="12"/>
  <c r="G177" i="12"/>
  <c r="I380" i="12"/>
  <c r="I379" i="12"/>
  <c r="G169" i="12"/>
  <c r="G131" i="12"/>
  <c r="G186" i="12"/>
  <c r="G284" i="12"/>
  <c r="G280" i="12"/>
  <c r="G293" i="12"/>
  <c r="G289" i="12"/>
  <c r="G285" i="12"/>
  <c r="G304" i="12"/>
  <c r="G301" i="12"/>
  <c r="G298" i="12"/>
  <c r="I318" i="12"/>
  <c r="I312" i="12"/>
  <c r="I308" i="12"/>
  <c r="I91" i="12"/>
  <c r="I92" i="12"/>
  <c r="I195" i="12"/>
  <c r="I196" i="12"/>
  <c r="I197" i="12"/>
  <c r="E313" i="12"/>
  <c r="E319" i="12"/>
  <c r="E309" i="12"/>
  <c r="E315" i="12"/>
  <c r="E311" i="12"/>
  <c r="E321" i="12"/>
  <c r="E306" i="12"/>
  <c r="E295" i="12"/>
  <c r="E278" i="12"/>
  <c r="E303" i="12"/>
  <c r="E288" i="12"/>
  <c r="E300" i="12"/>
  <c r="E291" i="12"/>
  <c r="E282" i="12"/>
  <c r="E218" i="12"/>
  <c r="E222" i="12"/>
  <c r="E219" i="12"/>
  <c r="E223" i="12"/>
  <c r="E227" i="12"/>
  <c r="G254" i="12"/>
  <c r="G162" i="12"/>
  <c r="G127" i="12"/>
  <c r="H127" i="12" s="1"/>
  <c r="G217" i="12"/>
  <c r="G221" i="12"/>
  <c r="G232" i="12"/>
  <c r="G238" i="12"/>
  <c r="G98" i="12"/>
  <c r="G86" i="12"/>
  <c r="G95" i="12"/>
  <c r="G136" i="12"/>
  <c r="G101" i="12"/>
  <c r="G207" i="12"/>
  <c r="H269" i="12"/>
  <c r="F269" i="12"/>
  <c r="G81" i="12"/>
  <c r="G230" i="12"/>
  <c r="G236" i="12"/>
  <c r="G243" i="12"/>
  <c r="F125" i="12"/>
  <c r="K125" i="12" s="1"/>
  <c r="D152" i="12"/>
  <c r="D159" i="12" s="1"/>
  <c r="G63" i="12"/>
  <c r="G65" i="12"/>
  <c r="G74" i="12"/>
  <c r="G108" i="12"/>
  <c r="G72" i="12"/>
  <c r="G113" i="12"/>
  <c r="D129" i="12"/>
  <c r="H129" i="12" s="1"/>
  <c r="D123" i="12"/>
  <c r="D126" i="12"/>
  <c r="D75" i="12"/>
  <c r="H124" i="12"/>
  <c r="F124" i="12"/>
  <c r="D84" i="12"/>
  <c r="H84" i="12" s="1"/>
  <c r="I76" i="13"/>
  <c r="I47" i="13"/>
  <c r="I37" i="13"/>
  <c r="I14" i="12"/>
  <c r="H85" i="12"/>
  <c r="F85" i="12"/>
  <c r="H76" i="12"/>
  <c r="F76" i="12"/>
  <c r="D166" i="12"/>
  <c r="H163" i="12"/>
  <c r="F163" i="12"/>
  <c r="K163" i="12" s="1"/>
  <c r="D431" i="12"/>
  <c r="K124" i="12" l="1"/>
  <c r="K165" i="12"/>
  <c r="F487" i="12"/>
  <c r="K489" i="12"/>
  <c r="K251" i="12"/>
  <c r="K269" i="12"/>
  <c r="K40" i="12"/>
  <c r="F126" i="12"/>
  <c r="F129" i="12"/>
  <c r="K129" i="12" s="1"/>
  <c r="D128" i="12"/>
  <c r="H128" i="12" s="1"/>
  <c r="H126" i="12"/>
  <c r="F35" i="12"/>
  <c r="F83" i="12"/>
  <c r="H83" i="12"/>
  <c r="K85" i="12"/>
  <c r="F84" i="12"/>
  <c r="K84" i="12" s="1"/>
  <c r="H74" i="12"/>
  <c r="K76" i="12"/>
  <c r="H75" i="12"/>
  <c r="F74" i="12"/>
  <c r="H166" i="12"/>
  <c r="F166" i="12"/>
  <c r="K166" i="12" s="1"/>
  <c r="F164" i="12"/>
  <c r="H164" i="12"/>
  <c r="H35" i="12"/>
  <c r="K164" i="12" l="1"/>
  <c r="K126" i="12"/>
  <c r="G123" i="12"/>
  <c r="F128" i="12"/>
  <c r="K128" i="12" s="1"/>
  <c r="K35" i="12"/>
  <c r="F75" i="12"/>
  <c r="K75" i="12" s="1"/>
  <c r="K83" i="12"/>
  <c r="K74" i="12"/>
  <c r="F49" i="13"/>
  <c r="F48" i="13"/>
  <c r="F46" i="13"/>
  <c r="I4" i="13"/>
  <c r="D63" i="12" s="1"/>
  <c r="F67" i="12"/>
  <c r="H67" i="12"/>
  <c r="E162" i="12" l="1"/>
  <c r="E123" i="12"/>
  <c r="K67" i="12"/>
  <c r="F66" i="12"/>
  <c r="H66" i="12"/>
  <c r="K66" i="12" l="1"/>
  <c r="D44" i="12"/>
  <c r="D45" i="12" s="1"/>
  <c r="D46" i="12" l="1"/>
  <c r="J44" i="12"/>
  <c r="H44" i="12"/>
  <c r="F44" i="12"/>
  <c r="J43" i="12"/>
  <c r="F36" i="12"/>
  <c r="H42" i="12"/>
  <c r="H37" i="12"/>
  <c r="H36" i="12"/>
  <c r="J34" i="12"/>
  <c r="H34" i="12"/>
  <c r="F34" i="12"/>
  <c r="H33" i="12"/>
  <c r="H32" i="12"/>
  <c r="F32" i="12"/>
  <c r="F46" i="12" l="1"/>
  <c r="H46" i="12"/>
  <c r="K34" i="12"/>
  <c r="K32" i="12"/>
  <c r="K44" i="12"/>
  <c r="K36" i="12"/>
  <c r="J42" i="12"/>
  <c r="F42" i="12"/>
  <c r="F37" i="12"/>
  <c r="K37" i="12" s="1"/>
  <c r="F33" i="12"/>
  <c r="K33" i="12" s="1"/>
  <c r="K46" i="12" l="1"/>
  <c r="F45" i="12"/>
  <c r="E43" i="12" s="1"/>
  <c r="F43" i="12" s="1"/>
  <c r="H45" i="12"/>
  <c r="G43" i="12" s="1"/>
  <c r="H43" i="12" s="1"/>
  <c r="K42" i="12"/>
  <c r="K45" i="12" l="1"/>
  <c r="K43" i="12"/>
  <c r="E214" i="12" l="1"/>
  <c r="H157" i="12" l="1"/>
  <c r="H158" i="12"/>
  <c r="H160" i="12"/>
  <c r="H147" i="12"/>
  <c r="H148" i="12"/>
  <c r="H149" i="12"/>
  <c r="H150" i="12"/>
  <c r="F160" i="12"/>
  <c r="K160" i="12" s="1"/>
  <c r="F158" i="12"/>
  <c r="K158" i="12" s="1"/>
  <c r="F157" i="12"/>
  <c r="K157" i="12" s="1"/>
  <c r="F150" i="12"/>
  <c r="K150" i="12" s="1"/>
  <c r="F149" i="12"/>
  <c r="K149" i="12" s="1"/>
  <c r="F148" i="12"/>
  <c r="K148" i="12" s="1"/>
  <c r="F147" i="12"/>
  <c r="K147" i="12" s="1"/>
  <c r="G466" i="12"/>
  <c r="D448" i="12"/>
  <c r="D395" i="12"/>
  <c r="H261" i="12"/>
  <c r="F261" i="12"/>
  <c r="K261" i="12" s="1"/>
  <c r="F273" i="12"/>
  <c r="K273" i="12" s="1"/>
  <c r="H272" i="12"/>
  <c r="F272" i="12"/>
  <c r="K272" i="12" s="1"/>
  <c r="H270" i="12"/>
  <c r="F270" i="12"/>
  <c r="K270" i="12" s="1"/>
  <c r="D267" i="12"/>
  <c r="D262" i="12"/>
  <c r="H268" i="12" l="1"/>
  <c r="F268" i="12"/>
  <c r="K268" i="12" s="1"/>
  <c r="H264" i="12"/>
  <c r="D265" i="12"/>
  <c r="H265" i="12" s="1"/>
  <c r="D410" i="12"/>
  <c r="D412" i="12"/>
  <c r="D411" i="12"/>
  <c r="D409" i="12"/>
  <c r="D418" i="12"/>
  <c r="D417" i="12"/>
  <c r="D416" i="12"/>
  <c r="D415" i="12"/>
  <c r="F274" i="12"/>
  <c r="K274" i="12" s="1"/>
  <c r="F262" i="12"/>
  <c r="K262" i="12" s="1"/>
  <c r="H267" i="12"/>
  <c r="F267" i="12"/>
  <c r="K267" i="12" s="1"/>
  <c r="F266" i="12"/>
  <c r="F263" i="12"/>
  <c r="H266" i="12"/>
  <c r="H263" i="12"/>
  <c r="K263" i="12" l="1"/>
  <c r="K266" i="12"/>
  <c r="F264" i="12"/>
  <c r="K264" i="12" s="1"/>
  <c r="F265" i="12"/>
  <c r="K265" i="12" s="1"/>
  <c r="G276" i="12" l="1"/>
  <c r="D173" i="12"/>
  <c r="H238" i="12" l="1"/>
  <c r="H232" i="12"/>
  <c r="F232" i="12"/>
  <c r="K232" i="12" s="1"/>
  <c r="D185" i="12"/>
  <c r="F238" i="12"/>
  <c r="K238" i="12" s="1"/>
  <c r="D118" i="12"/>
  <c r="I29" i="13"/>
  <c r="I24" i="13"/>
  <c r="D236" i="12" l="1"/>
  <c r="D229" i="12" s="1"/>
  <c r="J14" i="12"/>
  <c r="J10" i="12"/>
  <c r="J12" i="12"/>
  <c r="J13" i="12"/>
  <c r="H14" i="12"/>
  <c r="F14" i="12"/>
  <c r="F13" i="12"/>
  <c r="H12" i="12"/>
  <c r="F12" i="12"/>
  <c r="D374" i="12" l="1"/>
  <c r="K14" i="12"/>
  <c r="K12" i="12"/>
  <c r="H10" i="12"/>
  <c r="K10" i="12" s="1"/>
  <c r="H13" i="12"/>
  <c r="K13" i="12" s="1"/>
  <c r="J9" i="12"/>
  <c r="J15" i="12" s="1"/>
  <c r="D322" i="12" l="1"/>
  <c r="H9" i="12"/>
  <c r="H15" i="12" s="1"/>
  <c r="D221" i="12"/>
  <c r="D222" i="12" s="1"/>
  <c r="D223" i="12" s="1"/>
  <c r="I14" i="13"/>
  <c r="D91" i="12" s="1"/>
  <c r="D324" i="12" s="1"/>
  <c r="I28" i="13"/>
  <c r="I27" i="13"/>
  <c r="I18" i="13"/>
  <c r="I17" i="13"/>
  <c r="I6" i="13" s="1"/>
  <c r="I15" i="13"/>
  <c r="J100" i="13"/>
  <c r="I99" i="13"/>
  <c r="I98" i="13"/>
  <c r="I96" i="13"/>
  <c r="I95" i="13"/>
  <c r="J90" i="13"/>
  <c r="J80" i="13"/>
  <c r="J70" i="13"/>
  <c r="I69" i="13"/>
  <c r="I68" i="13"/>
  <c r="I66" i="13"/>
  <c r="I65" i="13"/>
  <c r="J60" i="13"/>
  <c r="I59" i="13"/>
  <c r="I58" i="13"/>
  <c r="I56" i="13"/>
  <c r="I55" i="13"/>
  <c r="J50" i="13"/>
  <c r="J40" i="13"/>
  <c r="I39" i="13"/>
  <c r="I38" i="13"/>
  <c r="I36" i="13"/>
  <c r="I35" i="13"/>
  <c r="J30" i="13"/>
  <c r="J19" i="13"/>
  <c r="J9" i="13"/>
  <c r="I8" i="13" l="1"/>
  <c r="I7" i="13"/>
  <c r="D92" i="12"/>
  <c r="I5" i="13"/>
  <c r="D72" i="12" s="1"/>
  <c r="F223" i="12"/>
  <c r="H223" i="12"/>
  <c r="D93" i="12"/>
  <c r="I26" i="13"/>
  <c r="D284" i="12"/>
  <c r="I25" i="13"/>
  <c r="D225" i="12"/>
  <c r="D226" i="12" s="1"/>
  <c r="D227" i="12" s="1"/>
  <c r="I89" i="13"/>
  <c r="I78" i="13"/>
  <c r="I88" i="13"/>
  <c r="I75" i="13"/>
  <c r="I77" i="13"/>
  <c r="I79" i="13"/>
  <c r="I46" i="13"/>
  <c r="I49" i="13"/>
  <c r="I45" i="13"/>
  <c r="I60" i="13"/>
  <c r="I70" i="13"/>
  <c r="I48" i="13"/>
  <c r="I100" i="13"/>
  <c r="I40" i="13"/>
  <c r="K223" i="12" l="1"/>
  <c r="D318" i="12"/>
  <c r="D320" i="12" s="1"/>
  <c r="H320" i="12" s="1"/>
  <c r="H227" i="12"/>
  <c r="F227" i="12"/>
  <c r="K227" i="12" s="1"/>
  <c r="D81" i="12"/>
  <c r="H159" i="12"/>
  <c r="F159" i="12"/>
  <c r="I80" i="13"/>
  <c r="I30" i="13"/>
  <c r="D151" i="12"/>
  <c r="D146" i="12"/>
  <c r="D145" i="12"/>
  <c r="D144" i="12"/>
  <c r="D143" i="12"/>
  <c r="I86" i="13"/>
  <c r="D312" i="12" s="1"/>
  <c r="I85" i="13"/>
  <c r="D154" i="12"/>
  <c r="D161" i="12"/>
  <c r="D155" i="12"/>
  <c r="D153" i="12"/>
  <c r="D156" i="12"/>
  <c r="I9" i="13"/>
  <c r="I50" i="13"/>
  <c r="I19" i="13"/>
  <c r="K159" i="12" l="1"/>
  <c r="F320" i="12"/>
  <c r="K320" i="12" s="1"/>
  <c r="D314" i="12"/>
  <c r="I90" i="13"/>
  <c r="D319" i="12" s="1"/>
  <c r="H161" i="12"/>
  <c r="F161" i="12"/>
  <c r="K161" i="12" s="1"/>
  <c r="F143" i="12"/>
  <c r="H143" i="12"/>
  <c r="F144" i="12"/>
  <c r="H144" i="12"/>
  <c r="H145" i="12"/>
  <c r="F145" i="12"/>
  <c r="K145" i="12" s="1"/>
  <c r="F156" i="12"/>
  <c r="H156" i="12"/>
  <c r="F146" i="12"/>
  <c r="H146" i="12"/>
  <c r="F155" i="12"/>
  <c r="H155" i="12"/>
  <c r="F154" i="12"/>
  <c r="H154" i="12"/>
  <c r="F153" i="12"/>
  <c r="H153" i="12"/>
  <c r="H151" i="12"/>
  <c r="F151" i="12"/>
  <c r="D13" i="3"/>
  <c r="K151" i="12" l="1"/>
  <c r="K155" i="12"/>
  <c r="K143" i="12"/>
  <c r="K146" i="12"/>
  <c r="K144" i="12"/>
  <c r="K153" i="12"/>
  <c r="K156" i="12"/>
  <c r="K154" i="12"/>
  <c r="H316" i="12"/>
  <c r="F316" i="12"/>
  <c r="K316" i="12" l="1"/>
  <c r="H425" i="12"/>
  <c r="G420" i="12"/>
  <c r="D402" i="12"/>
  <c r="D403" i="12" s="1"/>
  <c r="D400" i="12"/>
  <c r="D296" i="12" l="1"/>
  <c r="D283" i="12"/>
  <c r="D279" i="12"/>
  <c r="F283" i="12" l="1"/>
  <c r="K283" i="12" s="1"/>
  <c r="F296" i="12"/>
  <c r="K296" i="12" s="1"/>
  <c r="D290" i="12"/>
  <c r="D292" i="12"/>
  <c r="F292" i="12" s="1"/>
  <c r="K292" i="12" s="1"/>
  <c r="F279" i="12"/>
  <c r="K279" i="12" s="1"/>
  <c r="F485" i="12" l="1"/>
  <c r="J485" i="12" l="1"/>
  <c r="H485" i="12"/>
  <c r="K485" i="12" s="1"/>
  <c r="G486" i="12"/>
  <c r="E486" i="12"/>
  <c r="J382" i="12" l="1"/>
  <c r="F382" i="12"/>
  <c r="K382" i="12" s="1"/>
  <c r="D130" i="12" l="1"/>
  <c r="H98" i="12"/>
  <c r="H104" i="12"/>
  <c r="F104" i="12"/>
  <c r="K104" i="12" s="1"/>
  <c r="F98" i="12"/>
  <c r="K98" i="12" s="1"/>
  <c r="I484" i="12" l="1"/>
  <c r="J406" i="12"/>
  <c r="D401" i="12"/>
  <c r="J259" i="12"/>
  <c r="J404" i="12" l="1"/>
  <c r="F181" i="12"/>
  <c r="H181" i="12"/>
  <c r="D182" i="12"/>
  <c r="K181" i="12" l="1"/>
  <c r="D183" i="12"/>
  <c r="H183" i="12" s="1"/>
  <c r="H182" i="12"/>
  <c r="F182" i="12"/>
  <c r="F183" i="12"/>
  <c r="K183" i="12" s="1"/>
  <c r="K182" i="12" l="1"/>
  <c r="J93" i="12"/>
  <c r="J92" i="12"/>
  <c r="J91" i="12"/>
  <c r="J492" i="12"/>
  <c r="H492" i="12"/>
  <c r="F492" i="12"/>
  <c r="J491" i="12"/>
  <c r="H491" i="12"/>
  <c r="F491" i="12"/>
  <c r="K491" i="12" s="1"/>
  <c r="J487" i="12"/>
  <c r="H487" i="12"/>
  <c r="K487" i="12" s="1"/>
  <c r="J486" i="12"/>
  <c r="H486" i="12"/>
  <c r="F486" i="12"/>
  <c r="K486" i="12" s="1"/>
  <c r="J484" i="12"/>
  <c r="H484" i="12"/>
  <c r="F484" i="12"/>
  <c r="J483" i="12"/>
  <c r="H483" i="12"/>
  <c r="F483" i="12"/>
  <c r="K483" i="12" s="1"/>
  <c r="J482" i="12"/>
  <c r="H482" i="12"/>
  <c r="F482" i="12"/>
  <c r="K482" i="12" s="1"/>
  <c r="J481" i="12"/>
  <c r="H481" i="12"/>
  <c r="F481" i="12"/>
  <c r="K481" i="12" s="1"/>
  <c r="J480" i="12"/>
  <c r="K480" i="12" s="1"/>
  <c r="G480" i="12"/>
  <c r="H475" i="12"/>
  <c r="F475" i="12"/>
  <c r="K475" i="12" s="1"/>
  <c r="H474" i="12"/>
  <c r="F474" i="12"/>
  <c r="D469" i="12"/>
  <c r="H467" i="12"/>
  <c r="F467" i="12"/>
  <c r="K467" i="12" s="1"/>
  <c r="D465" i="12"/>
  <c r="D463" i="12"/>
  <c r="F464" i="12" s="1"/>
  <c r="K464" i="12" s="1"/>
  <c r="H462" i="12"/>
  <c r="F462" i="12"/>
  <c r="K462" i="12" s="1"/>
  <c r="D460" i="12"/>
  <c r="D459" i="12"/>
  <c r="H458" i="12"/>
  <c r="F458" i="12"/>
  <c r="K458" i="12" s="1"/>
  <c r="D457" i="12"/>
  <c r="D456" i="12"/>
  <c r="H455" i="12"/>
  <c r="F455" i="12"/>
  <c r="K455" i="12" s="1"/>
  <c r="D454" i="12"/>
  <c r="D453" i="12"/>
  <c r="H452" i="12"/>
  <c r="F452" i="12"/>
  <c r="K452" i="12" s="1"/>
  <c r="D451" i="12"/>
  <c r="D450" i="12"/>
  <c r="H449" i="12"/>
  <c r="F449" i="12"/>
  <c r="K449" i="12" s="1"/>
  <c r="H433" i="12"/>
  <c r="F433" i="12"/>
  <c r="K433" i="12" s="1"/>
  <c r="H429" i="12"/>
  <c r="H428" i="12"/>
  <c r="F428" i="12"/>
  <c r="K428" i="12" s="1"/>
  <c r="H427" i="12"/>
  <c r="H426" i="12"/>
  <c r="F426" i="12"/>
  <c r="K426" i="12" s="1"/>
  <c r="D422" i="12"/>
  <c r="H421" i="12"/>
  <c r="F421" i="12"/>
  <c r="K421" i="12" s="1"/>
  <c r="H401" i="12"/>
  <c r="H400" i="12"/>
  <c r="F400" i="12"/>
  <c r="K400" i="12" s="1"/>
  <c r="J398" i="12"/>
  <c r="H398" i="12"/>
  <c r="F398" i="12"/>
  <c r="K398" i="12" s="1"/>
  <c r="J397" i="12"/>
  <c r="H397" i="12"/>
  <c r="F397" i="12"/>
  <c r="K397" i="12" s="1"/>
  <c r="J396" i="12"/>
  <c r="H396" i="12"/>
  <c r="F396" i="12"/>
  <c r="K396" i="12" s="1"/>
  <c r="F391" i="12"/>
  <c r="F387" i="12"/>
  <c r="J386" i="12"/>
  <c r="H386" i="12"/>
  <c r="F386" i="12"/>
  <c r="K386" i="12" s="1"/>
  <c r="D385" i="12"/>
  <c r="J383" i="12"/>
  <c r="F383" i="12"/>
  <c r="D381" i="12"/>
  <c r="F381" i="12" s="1"/>
  <c r="J380" i="12"/>
  <c r="H380" i="12"/>
  <c r="F380" i="12"/>
  <c r="K380" i="12" s="1"/>
  <c r="J379" i="12"/>
  <c r="F379" i="12"/>
  <c r="K379" i="12" s="1"/>
  <c r="J378" i="12"/>
  <c r="H378" i="12"/>
  <c r="F378" i="12"/>
  <c r="K378" i="12" s="1"/>
  <c r="J377" i="12"/>
  <c r="F377" i="12"/>
  <c r="F376" i="12"/>
  <c r="J372" i="12"/>
  <c r="H372" i="12"/>
  <c r="F372" i="12"/>
  <c r="K372" i="12" s="1"/>
  <c r="J371" i="12"/>
  <c r="H371" i="12"/>
  <c r="F371" i="12"/>
  <c r="K371" i="12" s="1"/>
  <c r="F308" i="12"/>
  <c r="H298" i="12"/>
  <c r="F298" i="12"/>
  <c r="K298" i="12" s="1"/>
  <c r="D286" i="12"/>
  <c r="H285" i="12"/>
  <c r="F285" i="12"/>
  <c r="K285" i="12" s="1"/>
  <c r="D277" i="12"/>
  <c r="H276" i="12"/>
  <c r="F276" i="12"/>
  <c r="H260" i="12"/>
  <c r="G259" i="12" s="1"/>
  <c r="F260" i="12"/>
  <c r="K260" i="12" s="1"/>
  <c r="D249" i="12"/>
  <c r="D244" i="12"/>
  <c r="D237" i="12"/>
  <c r="D235" i="12"/>
  <c r="H235" i="12" s="1"/>
  <c r="D233" i="12"/>
  <c r="D234" i="12" s="1"/>
  <c r="H234" i="12" s="1"/>
  <c r="D231" i="12"/>
  <c r="H230" i="12"/>
  <c r="F230" i="12"/>
  <c r="K230" i="12" s="1"/>
  <c r="D217" i="12"/>
  <c r="D228" i="12"/>
  <c r="H228" i="12" s="1"/>
  <c r="D209" i="12"/>
  <c r="H209" i="12" s="1"/>
  <c r="H208" i="12"/>
  <c r="H207" i="12"/>
  <c r="F207" i="12"/>
  <c r="D206" i="12"/>
  <c r="D205" i="12"/>
  <c r="H200" i="12"/>
  <c r="F200" i="12"/>
  <c r="K200" i="12" s="1"/>
  <c r="F198" i="12"/>
  <c r="F196" i="12"/>
  <c r="D193" i="12"/>
  <c r="D194" i="12" s="1"/>
  <c r="D184" i="12"/>
  <c r="H184" i="12" s="1"/>
  <c r="D178" i="12"/>
  <c r="D179" i="12" s="1"/>
  <c r="D174" i="12"/>
  <c r="D175" i="12" s="1"/>
  <c r="D172" i="12"/>
  <c r="H172" i="12" s="1"/>
  <c r="H169" i="12"/>
  <c r="F169" i="12"/>
  <c r="K169" i="12" s="1"/>
  <c r="D168" i="12"/>
  <c r="J162" i="12"/>
  <c r="D140" i="12"/>
  <c r="F136" i="12"/>
  <c r="D135" i="12"/>
  <c r="G107" i="12"/>
  <c r="H101" i="12"/>
  <c r="D100" i="12"/>
  <c r="H100" i="12" s="1"/>
  <c r="D97" i="12"/>
  <c r="H97" i="12" s="1"/>
  <c r="D96" i="12"/>
  <c r="H96" i="12" s="1"/>
  <c r="H95" i="12"/>
  <c r="F95" i="12"/>
  <c r="K95" i="12" s="1"/>
  <c r="F92" i="12"/>
  <c r="H91" i="12"/>
  <c r="D90" i="12"/>
  <c r="K383" i="12" l="1"/>
  <c r="K474" i="12"/>
  <c r="K484" i="12"/>
  <c r="K207" i="12"/>
  <c r="K276" i="12"/>
  <c r="K377" i="12"/>
  <c r="H135" i="12"/>
  <c r="I395" i="12"/>
  <c r="J395" i="12" s="1"/>
  <c r="K395" i="12" s="1"/>
  <c r="G448" i="12"/>
  <c r="H448" i="12" s="1"/>
  <c r="I90" i="12"/>
  <c r="J90" i="12" s="1"/>
  <c r="F291" i="12"/>
  <c r="K291" i="12" s="1"/>
  <c r="J473" i="12"/>
  <c r="F418" i="12"/>
  <c r="K418" i="12" s="1"/>
  <c r="H259" i="12"/>
  <c r="H217" i="12"/>
  <c r="H214" i="12"/>
  <c r="F237" i="12"/>
  <c r="K237" i="12" s="1"/>
  <c r="F422" i="12"/>
  <c r="K422" i="12" s="1"/>
  <c r="D388" i="12"/>
  <c r="J388" i="12" s="1"/>
  <c r="F228" i="12"/>
  <c r="K228" i="12" s="1"/>
  <c r="F348" i="12"/>
  <c r="K348" i="12" s="1"/>
  <c r="F244" i="12"/>
  <c r="K244" i="12" s="1"/>
  <c r="F440" i="12"/>
  <c r="K440" i="12" s="1"/>
  <c r="J94" i="12"/>
  <c r="H293" i="12"/>
  <c r="F131" i="12"/>
  <c r="H402" i="12"/>
  <c r="F434" i="12"/>
  <c r="K434" i="12" s="1"/>
  <c r="F436" i="12"/>
  <c r="K436" i="12" s="1"/>
  <c r="F469" i="12"/>
  <c r="K469" i="12" s="1"/>
  <c r="J308" i="12"/>
  <c r="H323" i="12"/>
  <c r="D297" i="12"/>
  <c r="F450" i="12"/>
  <c r="K450" i="12" s="1"/>
  <c r="F454" i="12"/>
  <c r="K454" i="12" s="1"/>
  <c r="F65" i="12"/>
  <c r="H77" i="12"/>
  <c r="H133" i="12"/>
  <c r="F213" i="12"/>
  <c r="D215" i="12"/>
  <c r="H215" i="12" s="1"/>
  <c r="H192" i="12"/>
  <c r="F323" i="12"/>
  <c r="F456" i="12"/>
  <c r="K456" i="12" s="1"/>
  <c r="H213" i="12"/>
  <c r="H387" i="12"/>
  <c r="K387" i="12" s="1"/>
  <c r="H438" i="12"/>
  <c r="F459" i="12"/>
  <c r="K459" i="12" s="1"/>
  <c r="F96" i="12"/>
  <c r="K96" i="12" s="1"/>
  <c r="H131" i="12"/>
  <c r="F177" i="12"/>
  <c r="D180" i="12"/>
  <c r="H180" i="12" s="1"/>
  <c r="F209" i="12"/>
  <c r="K209" i="12" s="1"/>
  <c r="F231" i="12"/>
  <c r="K231" i="12" s="1"/>
  <c r="F236" i="12"/>
  <c r="D239" i="12"/>
  <c r="D240" i="12" s="1"/>
  <c r="D241" i="12"/>
  <c r="H241" i="12" s="1"/>
  <c r="F243" i="12"/>
  <c r="D245" i="12"/>
  <c r="D246" i="12" s="1"/>
  <c r="D247" i="12"/>
  <c r="F247" i="12" s="1"/>
  <c r="K247" i="12" s="1"/>
  <c r="H304" i="12"/>
  <c r="F414" i="12"/>
  <c r="F417" i="12"/>
  <c r="K417" i="12" s="1"/>
  <c r="F430" i="12"/>
  <c r="K430" i="12" s="1"/>
  <c r="F445" i="12"/>
  <c r="K445" i="12" s="1"/>
  <c r="F468" i="12"/>
  <c r="K468" i="12" s="1"/>
  <c r="F77" i="12"/>
  <c r="D132" i="12"/>
  <c r="H132" i="12" s="1"/>
  <c r="H177" i="12"/>
  <c r="J196" i="12"/>
  <c r="K196" i="12" s="1"/>
  <c r="J198" i="12"/>
  <c r="K198" i="12" s="1"/>
  <c r="F234" i="12"/>
  <c r="K234" i="12" s="1"/>
  <c r="F235" i="12"/>
  <c r="K235" i="12" s="1"/>
  <c r="H236" i="12"/>
  <c r="H243" i="12"/>
  <c r="J389" i="12"/>
  <c r="J394" i="12"/>
  <c r="H414" i="12"/>
  <c r="H430" i="12"/>
  <c r="F441" i="12"/>
  <c r="K441" i="12" s="1"/>
  <c r="F463" i="12"/>
  <c r="K463" i="12" s="1"/>
  <c r="F189" i="12"/>
  <c r="F208" i="12"/>
  <c r="K208" i="12" s="1"/>
  <c r="F249" i="12"/>
  <c r="K249" i="12" s="1"/>
  <c r="H280" i="12"/>
  <c r="F389" i="12"/>
  <c r="F394" i="12"/>
  <c r="H443" i="12"/>
  <c r="H431" i="12"/>
  <c r="F431" i="12"/>
  <c r="K431" i="12" s="1"/>
  <c r="F100" i="12"/>
  <c r="K100" i="12" s="1"/>
  <c r="F173" i="12"/>
  <c r="H189" i="12"/>
  <c r="H202" i="12"/>
  <c r="F225" i="12"/>
  <c r="F278" i="12"/>
  <c r="K278" i="12" s="1"/>
  <c r="F290" i="12"/>
  <c r="K290" i="12" s="1"/>
  <c r="F299" i="12"/>
  <c r="K299" i="12" s="1"/>
  <c r="H376" i="12"/>
  <c r="F384" i="12"/>
  <c r="D399" i="12"/>
  <c r="F402" i="12"/>
  <c r="D407" i="12"/>
  <c r="F416" i="12"/>
  <c r="K416" i="12" s="1"/>
  <c r="D419" i="12"/>
  <c r="F419" i="12" s="1"/>
  <c r="K419" i="12" s="1"/>
  <c r="F435" i="12"/>
  <c r="K435" i="12" s="1"/>
  <c r="F439" i="12"/>
  <c r="K439" i="12" s="1"/>
  <c r="F451" i="12"/>
  <c r="K451" i="12" s="1"/>
  <c r="F453" i="12"/>
  <c r="K453" i="12" s="1"/>
  <c r="F460" i="12"/>
  <c r="K460" i="12" s="1"/>
  <c r="K492" i="12"/>
  <c r="F172" i="12"/>
  <c r="K172" i="12" s="1"/>
  <c r="H173" i="12"/>
  <c r="D176" i="12"/>
  <c r="H204" i="12"/>
  <c r="F233" i="12"/>
  <c r="K233" i="12" s="1"/>
  <c r="H348" i="12"/>
  <c r="F427" i="12"/>
  <c r="K427" i="12" s="1"/>
  <c r="F429" i="12"/>
  <c r="K429" i="12" s="1"/>
  <c r="F437" i="12"/>
  <c r="K437" i="12" s="1"/>
  <c r="F438" i="12"/>
  <c r="F457" i="12"/>
  <c r="K457" i="12" s="1"/>
  <c r="H470" i="12"/>
  <c r="H403" i="12"/>
  <c r="F86" i="12"/>
  <c r="F184" i="12"/>
  <c r="K184" i="12" s="1"/>
  <c r="F277" i="12"/>
  <c r="K277" i="12" s="1"/>
  <c r="F286" i="12"/>
  <c r="K286" i="12" s="1"/>
  <c r="J384" i="12"/>
  <c r="F415" i="12"/>
  <c r="K415" i="12" s="1"/>
  <c r="E473" i="12"/>
  <c r="F473" i="12" s="1"/>
  <c r="H194" i="12"/>
  <c r="F194" i="12"/>
  <c r="K194" i="12" s="1"/>
  <c r="D102" i="12"/>
  <c r="F186" i="12"/>
  <c r="K186" i="12" s="1"/>
  <c r="H203" i="12"/>
  <c r="F203" i="12"/>
  <c r="D107" i="12"/>
  <c r="D109" i="12"/>
  <c r="D111" i="12" s="1"/>
  <c r="D112" i="12" s="1"/>
  <c r="F108" i="12"/>
  <c r="K108" i="12" s="1"/>
  <c r="D114" i="12"/>
  <c r="D116" i="12" s="1"/>
  <c r="F113" i="12"/>
  <c r="K113" i="12" s="1"/>
  <c r="D119" i="12"/>
  <c r="D121" i="12" s="1"/>
  <c r="F118" i="12"/>
  <c r="K118" i="12" s="1"/>
  <c r="H142" i="12"/>
  <c r="F142" i="12"/>
  <c r="H162" i="12"/>
  <c r="F162" i="12"/>
  <c r="K162" i="12" s="1"/>
  <c r="J167" i="12"/>
  <c r="H186" i="12"/>
  <c r="F197" i="12"/>
  <c r="D195" i="12"/>
  <c r="J195" i="12" s="1"/>
  <c r="D212" i="12"/>
  <c r="F210" i="12"/>
  <c r="H375" i="12"/>
  <c r="F375" i="12"/>
  <c r="J375" i="12"/>
  <c r="D71" i="12"/>
  <c r="D106" i="12"/>
  <c r="D64" i="12"/>
  <c r="F93" i="12"/>
  <c r="K93" i="12" s="1"/>
  <c r="H93" i="12"/>
  <c r="F135" i="12"/>
  <c r="H174" i="12"/>
  <c r="F174" i="12"/>
  <c r="K174" i="12" s="1"/>
  <c r="H178" i="12"/>
  <c r="F178" i="12"/>
  <c r="K178" i="12" s="1"/>
  <c r="H190" i="12"/>
  <c r="F190" i="12"/>
  <c r="D191" i="12"/>
  <c r="J197" i="12"/>
  <c r="H205" i="12"/>
  <c r="F205" i="12"/>
  <c r="K205" i="12" s="1"/>
  <c r="H210" i="12"/>
  <c r="H140" i="12"/>
  <c r="F140" i="12"/>
  <c r="K140" i="12" s="1"/>
  <c r="F63" i="12"/>
  <c r="F101" i="12"/>
  <c r="K101" i="12" s="1"/>
  <c r="H65" i="12"/>
  <c r="H63" i="12"/>
  <c r="D69" i="12"/>
  <c r="F91" i="12"/>
  <c r="K91" i="12" s="1"/>
  <c r="H92" i="12"/>
  <c r="K92" i="12" s="1"/>
  <c r="F97" i="12"/>
  <c r="K97" i="12" s="1"/>
  <c r="D99" i="12"/>
  <c r="H108" i="12"/>
  <c r="H113" i="12"/>
  <c r="H118" i="12"/>
  <c r="H136" i="12"/>
  <c r="K136" i="12" s="1"/>
  <c r="D137" i="12"/>
  <c r="D141" i="12"/>
  <c r="H152" i="12"/>
  <c r="F152" i="12"/>
  <c r="H193" i="12"/>
  <c r="F193" i="12"/>
  <c r="H201" i="12"/>
  <c r="F201" i="12"/>
  <c r="K201" i="12" s="1"/>
  <c r="D250" i="12"/>
  <c r="D242" i="12"/>
  <c r="D253" i="12"/>
  <c r="F253" i="12" s="1"/>
  <c r="K253" i="12" s="1"/>
  <c r="F248" i="12"/>
  <c r="D258" i="12"/>
  <c r="F258" i="12" s="1"/>
  <c r="K258" i="12" s="1"/>
  <c r="D256" i="12"/>
  <c r="D255" i="12"/>
  <c r="F255" i="12" s="1"/>
  <c r="K255" i="12" s="1"/>
  <c r="F254" i="12"/>
  <c r="H254" i="12"/>
  <c r="J312" i="12"/>
  <c r="H373" i="12"/>
  <c r="F373" i="12"/>
  <c r="D370" i="12"/>
  <c r="J373" i="12"/>
  <c r="J393" i="12"/>
  <c r="D392" i="12"/>
  <c r="F393" i="12"/>
  <c r="K393" i="12" s="1"/>
  <c r="D199" i="12"/>
  <c r="J199" i="12" s="1"/>
  <c r="F204" i="12"/>
  <c r="K204" i="12" s="1"/>
  <c r="H248" i="12"/>
  <c r="F289" i="12"/>
  <c r="F301" i="12"/>
  <c r="D358" i="12"/>
  <c r="D353" i="12"/>
  <c r="D352" i="12"/>
  <c r="D357" i="12" s="1"/>
  <c r="H349" i="12"/>
  <c r="D355" i="12"/>
  <c r="H355" i="12" s="1"/>
  <c r="D351" i="12"/>
  <c r="D356" i="12" s="1"/>
  <c r="F349" i="12"/>
  <c r="D354" i="12"/>
  <c r="F192" i="12"/>
  <c r="F202" i="12"/>
  <c r="H225" i="12"/>
  <c r="F217" i="12"/>
  <c r="D218" i="12"/>
  <c r="D219" i="12" s="1"/>
  <c r="D220" i="12"/>
  <c r="D275" i="12"/>
  <c r="F282" i="12"/>
  <c r="K282" i="12" s="1"/>
  <c r="D281" i="12"/>
  <c r="F281" i="12" s="1"/>
  <c r="K281" i="12" s="1"/>
  <c r="F280" i="12"/>
  <c r="F288" i="12"/>
  <c r="K288" i="12" s="1"/>
  <c r="H289" i="12"/>
  <c r="F295" i="12"/>
  <c r="K295" i="12" s="1"/>
  <c r="D294" i="12"/>
  <c r="F294" i="12" s="1"/>
  <c r="K294" i="12" s="1"/>
  <c r="F293" i="12"/>
  <c r="D300" i="12"/>
  <c r="F300" i="12" s="1"/>
  <c r="K300" i="12" s="1"/>
  <c r="H301" i="12"/>
  <c r="F304" i="12"/>
  <c r="F385" i="12"/>
  <c r="H335" i="12"/>
  <c r="D336" i="12"/>
  <c r="D337" i="12" s="1"/>
  <c r="F335" i="12"/>
  <c r="H359" i="12"/>
  <c r="F359" i="12"/>
  <c r="K359" i="12" s="1"/>
  <c r="D347" i="12"/>
  <c r="D309" i="12"/>
  <c r="H308" i="12"/>
  <c r="D311" i="12"/>
  <c r="J381" i="12"/>
  <c r="K381" i="12" s="1"/>
  <c r="J391" i="12"/>
  <c r="K391" i="12" s="1"/>
  <c r="D424" i="12"/>
  <c r="F424" i="12" s="1"/>
  <c r="K424" i="12" s="1"/>
  <c r="F423" i="12"/>
  <c r="J376" i="12"/>
  <c r="J387" i="12"/>
  <c r="H423" i="12"/>
  <c r="H461" i="12"/>
  <c r="F401" i="12"/>
  <c r="K401" i="12" s="1"/>
  <c r="H408" i="12"/>
  <c r="D413" i="12"/>
  <c r="F413" i="12" s="1"/>
  <c r="K413" i="12" s="1"/>
  <c r="F412" i="12"/>
  <c r="K412" i="12" s="1"/>
  <c r="F411" i="12"/>
  <c r="K411" i="12" s="1"/>
  <c r="F410" i="12"/>
  <c r="K410" i="12" s="1"/>
  <c r="F409" i="12"/>
  <c r="K409" i="12" s="1"/>
  <c r="F408" i="12"/>
  <c r="K408" i="12" s="1"/>
  <c r="D420" i="12"/>
  <c r="F446" i="12"/>
  <c r="K446" i="12" s="1"/>
  <c r="F465" i="12"/>
  <c r="K465" i="12" s="1"/>
  <c r="F443" i="12"/>
  <c r="K384" i="12" l="1"/>
  <c r="K193" i="12"/>
  <c r="K142" i="12"/>
  <c r="K308" i="12"/>
  <c r="K402" i="12"/>
  <c r="K213" i="12"/>
  <c r="K473" i="12"/>
  <c r="K376" i="12"/>
  <c r="K217" i="12"/>
  <c r="K197" i="12"/>
  <c r="K394" i="12"/>
  <c r="K236" i="12"/>
  <c r="K202" i="12"/>
  <c r="K192" i="12"/>
  <c r="K293" i="12"/>
  <c r="K349" i="12"/>
  <c r="K189" i="12"/>
  <c r="K389" i="12"/>
  <c r="K304" i="12"/>
  <c r="K152" i="12"/>
  <c r="K135" i="12"/>
  <c r="K177" i="12"/>
  <c r="K373" i="12"/>
  <c r="I370" i="12" s="1"/>
  <c r="J370" i="12" s="1"/>
  <c r="K414" i="12"/>
  <c r="K254" i="12"/>
  <c r="K375" i="12"/>
  <c r="K173" i="12"/>
  <c r="K301" i="12"/>
  <c r="K323" i="12"/>
  <c r="K131" i="12"/>
  <c r="K423" i="12"/>
  <c r="K243" i="12"/>
  <c r="K443" i="12"/>
  <c r="K225" i="12"/>
  <c r="K280" i="12"/>
  <c r="K289" i="12"/>
  <c r="K210" i="12"/>
  <c r="K335" i="12"/>
  <c r="K248" i="12"/>
  <c r="K190" i="12"/>
  <c r="K203" i="12"/>
  <c r="K438" i="12"/>
  <c r="F357" i="12"/>
  <c r="H357" i="12"/>
  <c r="F310" i="12"/>
  <c r="H310" i="12"/>
  <c r="F219" i="12"/>
  <c r="H219" i="12"/>
  <c r="F170" i="12"/>
  <c r="F171" i="12"/>
  <c r="H121" i="12"/>
  <c r="F121" i="12"/>
  <c r="F116" i="12"/>
  <c r="H116" i="12"/>
  <c r="H111" i="12"/>
  <c r="F111" i="12"/>
  <c r="K111" i="12" s="1"/>
  <c r="H356" i="12"/>
  <c r="E141" i="12"/>
  <c r="F141" i="12" s="1"/>
  <c r="K141" i="12" s="1"/>
  <c r="G297" i="12"/>
  <c r="H297" i="12" s="1"/>
  <c r="G399" i="12"/>
  <c r="H399" i="12" s="1"/>
  <c r="E425" i="12"/>
  <c r="G407" i="12"/>
  <c r="H407" i="12" s="1"/>
  <c r="I374" i="12"/>
  <c r="J374" i="12" s="1"/>
  <c r="E284" i="12"/>
  <c r="F284" i="12" s="1"/>
  <c r="E275" i="12"/>
  <c r="F275" i="12" s="1"/>
  <c r="G275" i="12"/>
  <c r="F220" i="12"/>
  <c r="H220" i="12"/>
  <c r="F226" i="12"/>
  <c r="H226" i="12"/>
  <c r="F218" i="12"/>
  <c r="H218" i="12"/>
  <c r="E407" i="12"/>
  <c r="F407" i="12" s="1"/>
  <c r="F240" i="12"/>
  <c r="H240" i="12"/>
  <c r="G229" i="12" s="1"/>
  <c r="H229" i="12" s="1"/>
  <c r="F246" i="12"/>
  <c r="H246" i="12"/>
  <c r="F388" i="12"/>
  <c r="K388" i="12" s="1"/>
  <c r="F214" i="12"/>
  <c r="K214" i="12" s="1"/>
  <c r="G130" i="12"/>
  <c r="K77" i="12"/>
  <c r="D134" i="12"/>
  <c r="F134" i="12" s="1"/>
  <c r="F133" i="12"/>
  <c r="K133" i="12" s="1"/>
  <c r="H86" i="12"/>
  <c r="K86" i="12" s="1"/>
  <c r="E259" i="12"/>
  <c r="F259" i="12" s="1"/>
  <c r="K259" i="12" s="1"/>
  <c r="F245" i="12"/>
  <c r="K245" i="12" s="1"/>
  <c r="H170" i="12"/>
  <c r="F442" i="12"/>
  <c r="K442" i="12" s="1"/>
  <c r="F241" i="12"/>
  <c r="K241" i="12" s="1"/>
  <c r="K65" i="12"/>
  <c r="F180" i="12"/>
  <c r="K180" i="12" s="1"/>
  <c r="F215" i="12"/>
  <c r="K215" i="12" s="1"/>
  <c r="I385" i="12"/>
  <c r="J385" i="12" s="1"/>
  <c r="K385" i="12" s="1"/>
  <c r="F239" i="12"/>
  <c r="K239" i="12" s="1"/>
  <c r="F470" i="12"/>
  <c r="K470" i="12" s="1"/>
  <c r="E448" i="12"/>
  <c r="F448" i="12" s="1"/>
  <c r="K448" i="12" s="1"/>
  <c r="F404" i="12"/>
  <c r="F132" i="12"/>
  <c r="K132" i="12" s="1"/>
  <c r="F461" i="12"/>
  <c r="K461" i="12" s="1"/>
  <c r="F403" i="12"/>
  <c r="H466" i="12"/>
  <c r="F176" i="12"/>
  <c r="H176" i="12"/>
  <c r="J141" i="12"/>
  <c r="H141" i="12"/>
  <c r="H311" i="12"/>
  <c r="F311" i="12"/>
  <c r="K311" i="12" s="1"/>
  <c r="H350" i="12"/>
  <c r="F350" i="12"/>
  <c r="K350" i="12" s="1"/>
  <c r="H358" i="12"/>
  <c r="F358" i="12"/>
  <c r="K358" i="12" s="1"/>
  <c r="F179" i="12"/>
  <c r="H179" i="12"/>
  <c r="H71" i="12"/>
  <c r="F71" i="12"/>
  <c r="H212" i="12"/>
  <c r="F212" i="12"/>
  <c r="K212" i="12" s="1"/>
  <c r="H114" i="12"/>
  <c r="F114" i="12"/>
  <c r="K114" i="12" s="1"/>
  <c r="D139" i="12"/>
  <c r="F138" i="12"/>
  <c r="H138" i="12"/>
  <c r="F64" i="12"/>
  <c r="H64" i="12"/>
  <c r="D224" i="12"/>
  <c r="F221" i="12"/>
  <c r="H221" i="12"/>
  <c r="H119" i="12"/>
  <c r="F119" i="12"/>
  <c r="H115" i="12"/>
  <c r="D117" i="12"/>
  <c r="F115" i="12"/>
  <c r="H110" i="12"/>
  <c r="F110" i="12"/>
  <c r="K110" i="12" s="1"/>
  <c r="H309" i="12"/>
  <c r="F309" i="12"/>
  <c r="K309" i="12" s="1"/>
  <c r="H318" i="12"/>
  <c r="D321" i="12"/>
  <c r="F318" i="12"/>
  <c r="H352" i="12"/>
  <c r="F352" i="12"/>
  <c r="K352" i="12" s="1"/>
  <c r="D216" i="12"/>
  <c r="J392" i="12"/>
  <c r="F392" i="12"/>
  <c r="K392" i="12" s="1"/>
  <c r="F99" i="12"/>
  <c r="H99" i="12"/>
  <c r="D334" i="12"/>
  <c r="D328" i="12"/>
  <c r="D331" i="12"/>
  <c r="D326" i="12"/>
  <c r="F324" i="12"/>
  <c r="D330" i="12"/>
  <c r="D327" i="12"/>
  <c r="D329" i="12"/>
  <c r="D333" i="12" s="1"/>
  <c r="D325" i="12"/>
  <c r="H324" i="12"/>
  <c r="E90" i="12"/>
  <c r="F90" i="12" s="1"/>
  <c r="K90" i="12" s="1"/>
  <c r="H195" i="12"/>
  <c r="F195" i="12"/>
  <c r="K195" i="12" s="1"/>
  <c r="H120" i="12"/>
  <c r="D122" i="12"/>
  <c r="F120" i="12"/>
  <c r="F102" i="12"/>
  <c r="H102" i="12"/>
  <c r="D363" i="12"/>
  <c r="D368" i="12" s="1"/>
  <c r="H360" i="12"/>
  <c r="D366" i="12"/>
  <c r="D362" i="12"/>
  <c r="D367" i="12" s="1"/>
  <c r="F360" i="12"/>
  <c r="K360" i="12" s="1"/>
  <c r="D365" i="12"/>
  <c r="D364" i="12"/>
  <c r="D369" i="12"/>
  <c r="F302" i="12"/>
  <c r="K302" i="12" s="1"/>
  <c r="D303" i="12"/>
  <c r="F303" i="12" s="1"/>
  <c r="K303" i="12" s="1"/>
  <c r="D257" i="12"/>
  <c r="F256" i="12"/>
  <c r="K256" i="12" s="1"/>
  <c r="F137" i="12"/>
  <c r="H137" i="12"/>
  <c r="H72" i="12"/>
  <c r="D73" i="12"/>
  <c r="D80" i="12"/>
  <c r="D78" i="12"/>
  <c r="F72" i="12"/>
  <c r="H106" i="12"/>
  <c r="F106" i="12"/>
  <c r="K106" i="12" s="1"/>
  <c r="H167" i="12"/>
  <c r="F167" i="12"/>
  <c r="K167" i="12" s="1"/>
  <c r="F187" i="12"/>
  <c r="D188" i="12"/>
  <c r="H187" i="12"/>
  <c r="E420" i="12"/>
  <c r="F420" i="12" s="1"/>
  <c r="H420" i="12"/>
  <c r="H354" i="12"/>
  <c r="F354" i="12"/>
  <c r="F370" i="12"/>
  <c r="F250" i="12"/>
  <c r="K250" i="12" s="1"/>
  <c r="D252" i="12"/>
  <c r="H107" i="12"/>
  <c r="F69" i="12"/>
  <c r="D70" i="12"/>
  <c r="H69" i="12"/>
  <c r="F191" i="12"/>
  <c r="H191" i="12"/>
  <c r="G90" i="12"/>
  <c r="H90" i="12" s="1"/>
  <c r="D105" i="12"/>
  <c r="H103" i="12"/>
  <c r="F103" i="12"/>
  <c r="K103" i="12" s="1"/>
  <c r="F355" i="12"/>
  <c r="K355" i="12" s="1"/>
  <c r="F447" i="12"/>
  <c r="K447" i="12" s="1"/>
  <c r="F444" i="12"/>
  <c r="K444" i="12" s="1"/>
  <c r="D339" i="12"/>
  <c r="H336" i="12"/>
  <c r="D343" i="12"/>
  <c r="D338" i="12"/>
  <c r="F336" i="12"/>
  <c r="K336" i="12" s="1"/>
  <c r="D342" i="12"/>
  <c r="D341" i="12"/>
  <c r="D345" i="12" s="1"/>
  <c r="D340" i="12"/>
  <c r="D346" i="12"/>
  <c r="D306" i="12"/>
  <c r="F306" i="12" s="1"/>
  <c r="K306" i="12" s="1"/>
  <c r="F305" i="12"/>
  <c r="K305" i="12" s="1"/>
  <c r="F351" i="12"/>
  <c r="H351" i="12"/>
  <c r="H353" i="12"/>
  <c r="F353" i="12"/>
  <c r="H432" i="12"/>
  <c r="J318" i="12"/>
  <c r="D313" i="12"/>
  <c r="D317" i="12" s="1"/>
  <c r="H312" i="12"/>
  <c r="D315" i="12"/>
  <c r="D307" i="12"/>
  <c r="F312" i="12"/>
  <c r="K312" i="12" s="1"/>
  <c r="K63" i="12"/>
  <c r="F175" i="12"/>
  <c r="H175" i="12"/>
  <c r="D87" i="12"/>
  <c r="H81" i="12"/>
  <c r="D82" i="12"/>
  <c r="F81" i="12"/>
  <c r="D89" i="12"/>
  <c r="D62" i="12"/>
  <c r="F374" i="12"/>
  <c r="H374" i="12"/>
  <c r="F211" i="12"/>
  <c r="H211" i="12"/>
  <c r="H109" i="12"/>
  <c r="F109" i="12"/>
  <c r="K109" i="12" s="1"/>
  <c r="K353" i="12" l="1"/>
  <c r="K318" i="12"/>
  <c r="K119" i="12"/>
  <c r="K170" i="12"/>
  <c r="K374" i="12"/>
  <c r="K354" i="12"/>
  <c r="K120" i="12"/>
  <c r="K220" i="12"/>
  <c r="K137" i="12"/>
  <c r="K351" i="12"/>
  <c r="K219" i="12"/>
  <c r="K221" i="12"/>
  <c r="K310" i="12"/>
  <c r="K246" i="12"/>
  <c r="K175" i="12"/>
  <c r="K407" i="12"/>
  <c r="K218" i="12"/>
  <c r="K176" i="12"/>
  <c r="K99" i="12"/>
  <c r="K420" i="12"/>
  <c r="K179" i="12"/>
  <c r="K187" i="12"/>
  <c r="K191" i="12"/>
  <c r="K357" i="12"/>
  <c r="K240" i="12"/>
  <c r="K138" i="12"/>
  <c r="K324" i="12"/>
  <c r="K211" i="12"/>
  <c r="K226" i="12"/>
  <c r="K116" i="12"/>
  <c r="K102" i="12"/>
  <c r="K115" i="12"/>
  <c r="K403" i="12"/>
  <c r="E399" i="12" s="1"/>
  <c r="F399" i="12" s="1"/>
  <c r="K399" i="12" s="1"/>
  <c r="K121" i="12"/>
  <c r="K370" i="12"/>
  <c r="H317" i="12"/>
  <c r="F317" i="12"/>
  <c r="H368" i="12"/>
  <c r="F368" i="12"/>
  <c r="K368" i="12" s="1"/>
  <c r="H345" i="12"/>
  <c r="F345" i="12"/>
  <c r="K345" i="12" s="1"/>
  <c r="H333" i="12"/>
  <c r="F333" i="12"/>
  <c r="K333" i="12" s="1"/>
  <c r="H314" i="12"/>
  <c r="F314" i="12"/>
  <c r="K314" i="12" s="1"/>
  <c r="F356" i="12"/>
  <c r="K356" i="12" s="1"/>
  <c r="F425" i="12"/>
  <c r="K425" i="12" s="1"/>
  <c r="I307" i="12"/>
  <c r="J307" i="12" s="1"/>
  <c r="J493" i="12" s="1"/>
  <c r="E297" i="12"/>
  <c r="F297" i="12" s="1"/>
  <c r="K297" i="12" s="1"/>
  <c r="H199" i="12"/>
  <c r="G216" i="12"/>
  <c r="H216" i="12" s="1"/>
  <c r="E229" i="12"/>
  <c r="G206" i="12"/>
  <c r="H206" i="12" s="1"/>
  <c r="F222" i="12"/>
  <c r="H222" i="12"/>
  <c r="F224" i="12"/>
  <c r="H224" i="12"/>
  <c r="F257" i="12"/>
  <c r="H257" i="12"/>
  <c r="F252" i="12"/>
  <c r="H252" i="12"/>
  <c r="H134" i="12"/>
  <c r="K134" i="12" s="1"/>
  <c r="H171" i="12"/>
  <c r="K171" i="12" s="1"/>
  <c r="H404" i="12"/>
  <c r="K404" i="12" s="1"/>
  <c r="K64" i="12"/>
  <c r="D472" i="12"/>
  <c r="F472" i="12" s="1"/>
  <c r="K472" i="12" s="1"/>
  <c r="F471" i="12"/>
  <c r="K471" i="12" s="1"/>
  <c r="F432" i="12"/>
  <c r="K432" i="12" s="1"/>
  <c r="K72" i="12"/>
  <c r="K69" i="12"/>
  <c r="F89" i="12"/>
  <c r="H89" i="12"/>
  <c r="H188" i="12"/>
  <c r="G185" i="12" s="1"/>
  <c r="H185" i="12" s="1"/>
  <c r="F188" i="12"/>
  <c r="K188" i="12" s="1"/>
  <c r="H363" i="12"/>
  <c r="F363" i="12"/>
  <c r="K363" i="12" s="1"/>
  <c r="F326" i="12"/>
  <c r="H326" i="12"/>
  <c r="K81" i="12"/>
  <c r="H307" i="12"/>
  <c r="D344" i="12"/>
  <c r="H341" i="12"/>
  <c r="F341" i="12"/>
  <c r="H343" i="12"/>
  <c r="F343" i="12"/>
  <c r="H105" i="12"/>
  <c r="G94" i="12" s="1"/>
  <c r="H94" i="12" s="1"/>
  <c r="F105" i="12"/>
  <c r="H78" i="12"/>
  <c r="F78" i="12"/>
  <c r="D79" i="12"/>
  <c r="F361" i="12"/>
  <c r="H361" i="12"/>
  <c r="H362" i="12"/>
  <c r="F362" i="12"/>
  <c r="K362" i="12" s="1"/>
  <c r="H327" i="12"/>
  <c r="F327" i="12"/>
  <c r="K327" i="12" s="1"/>
  <c r="H331" i="12"/>
  <c r="F331" i="12"/>
  <c r="H321" i="12"/>
  <c r="F321" i="12"/>
  <c r="K321" i="12" s="1"/>
  <c r="H117" i="12"/>
  <c r="F117" i="12"/>
  <c r="K117" i="12" s="1"/>
  <c r="H139" i="12"/>
  <c r="H130" i="12" s="1"/>
  <c r="F139" i="12"/>
  <c r="K139" i="12" s="1"/>
  <c r="H87" i="12"/>
  <c r="F87" i="12"/>
  <c r="D88" i="12"/>
  <c r="H313" i="12"/>
  <c r="F313" i="12"/>
  <c r="K313" i="12" s="1"/>
  <c r="F337" i="12"/>
  <c r="H337" i="12"/>
  <c r="H364" i="12"/>
  <c r="F364" i="12"/>
  <c r="F329" i="12"/>
  <c r="H329" i="12"/>
  <c r="D332" i="12"/>
  <c r="H82" i="12"/>
  <c r="F82" i="12"/>
  <c r="H315" i="12"/>
  <c r="F315" i="12"/>
  <c r="K315" i="12" s="1"/>
  <c r="H346" i="12"/>
  <c r="F346" i="12"/>
  <c r="H342" i="12"/>
  <c r="F342" i="12"/>
  <c r="K342" i="12" s="1"/>
  <c r="H70" i="12"/>
  <c r="F70" i="12"/>
  <c r="H80" i="12"/>
  <c r="F80" i="12"/>
  <c r="H366" i="12"/>
  <c r="F366" i="12"/>
  <c r="H330" i="12"/>
  <c r="F330" i="12"/>
  <c r="K330" i="12" s="1"/>
  <c r="F328" i="12"/>
  <c r="H328" i="12"/>
  <c r="H112" i="12"/>
  <c r="F112" i="12"/>
  <c r="K112" i="12" s="1"/>
  <c r="H338" i="12"/>
  <c r="F338" i="12"/>
  <c r="K338" i="12" s="1"/>
  <c r="H122" i="12"/>
  <c r="F122" i="12"/>
  <c r="K122" i="12" s="1"/>
  <c r="G62" i="12"/>
  <c r="H62" i="12" s="1"/>
  <c r="H340" i="12"/>
  <c r="F340" i="12"/>
  <c r="K340" i="12" s="1"/>
  <c r="H339" i="12"/>
  <c r="F339" i="12"/>
  <c r="F73" i="12"/>
  <c r="H73" i="12"/>
  <c r="H369" i="12"/>
  <c r="F369" i="12"/>
  <c r="H365" i="12"/>
  <c r="F365" i="12"/>
  <c r="K365" i="12" s="1"/>
  <c r="H325" i="12"/>
  <c r="F325" i="12"/>
  <c r="H334" i="12"/>
  <c r="F334" i="12"/>
  <c r="K334" i="12" s="1"/>
  <c r="H319" i="12"/>
  <c r="F319" i="12"/>
  <c r="K71" i="12"/>
  <c r="K339" i="12" l="1"/>
  <c r="K364" i="12"/>
  <c r="K325" i="12"/>
  <c r="K346" i="12"/>
  <c r="K319" i="12"/>
  <c r="K329" i="12"/>
  <c r="K369" i="12"/>
  <c r="K343" i="12"/>
  <c r="K317" i="12"/>
  <c r="K337" i="12"/>
  <c r="K252" i="12"/>
  <c r="K224" i="12"/>
  <c r="K257" i="12"/>
  <c r="K222" i="12"/>
  <c r="K341" i="12"/>
  <c r="K326" i="12"/>
  <c r="K361" i="12"/>
  <c r="K328" i="12"/>
  <c r="K366" i="12"/>
  <c r="K331" i="12"/>
  <c r="E94" i="12"/>
  <c r="F94" i="12" s="1"/>
  <c r="K94" i="12" s="1"/>
  <c r="K105" i="12"/>
  <c r="H123" i="12"/>
  <c r="G242" i="12"/>
  <c r="H242" i="12" s="1"/>
  <c r="F229" i="12"/>
  <c r="K229" i="12" s="1"/>
  <c r="G168" i="12"/>
  <c r="H168" i="12" s="1"/>
  <c r="E206" i="12"/>
  <c r="F206" i="12" s="1"/>
  <c r="K206" i="12" s="1"/>
  <c r="E185" i="12"/>
  <c r="F185" i="12" s="1"/>
  <c r="K185" i="12" s="1"/>
  <c r="E466" i="12"/>
  <c r="F466" i="12" s="1"/>
  <c r="K466" i="12" s="1"/>
  <c r="E168" i="12"/>
  <c r="F168" i="12" s="1"/>
  <c r="K168" i="12" s="1"/>
  <c r="K70" i="12"/>
  <c r="E130" i="12"/>
  <c r="F130" i="12" s="1"/>
  <c r="K130" i="12" s="1"/>
  <c r="E199" i="12"/>
  <c r="F199" i="12" s="1"/>
  <c r="K199" i="12" s="1"/>
  <c r="K80" i="12"/>
  <c r="H406" i="12"/>
  <c r="K87" i="12"/>
  <c r="K82" i="12"/>
  <c r="K78" i="12"/>
  <c r="K89" i="12"/>
  <c r="H367" i="12"/>
  <c r="G347" i="12" s="1"/>
  <c r="H347" i="12" s="1"/>
  <c r="F367" i="12"/>
  <c r="K367" i="12" s="1"/>
  <c r="H88" i="12"/>
  <c r="F88" i="12"/>
  <c r="F79" i="12"/>
  <c r="H79" i="12"/>
  <c r="K73" i="12"/>
  <c r="H332" i="12"/>
  <c r="F332" i="12"/>
  <c r="F406" i="12"/>
  <c r="H344" i="12"/>
  <c r="F344" i="12"/>
  <c r="K344" i="12" l="1"/>
  <c r="K332" i="12"/>
  <c r="K406" i="12"/>
  <c r="F123" i="12"/>
  <c r="K123" i="12" s="1"/>
  <c r="E216" i="12"/>
  <c r="F216" i="12" s="1"/>
  <c r="K216" i="12" s="1"/>
  <c r="G322" i="12"/>
  <c r="H322" i="12" s="1"/>
  <c r="E322" i="12"/>
  <c r="E242" i="12"/>
  <c r="F242" i="12" s="1"/>
  <c r="K242" i="12" s="1"/>
  <c r="E107" i="12"/>
  <c r="F107" i="12" s="1"/>
  <c r="E307" i="12"/>
  <c r="F307" i="12" s="1"/>
  <c r="K307" i="12" s="1"/>
  <c r="E62" i="12"/>
  <c r="F62" i="12" s="1"/>
  <c r="E347" i="12"/>
  <c r="F347" i="12" s="1"/>
  <c r="K347" i="12" s="1"/>
  <c r="K88" i="12"/>
  <c r="K79" i="12"/>
  <c r="K107" i="12" l="1"/>
  <c r="F322" i="12"/>
  <c r="K322" i="12" s="1"/>
  <c r="K62" i="12"/>
  <c r="F493" i="12" l="1"/>
  <c r="F48" i="12"/>
  <c r="J47" i="12"/>
  <c r="H47" i="12"/>
  <c r="F47" i="12"/>
  <c r="H48" i="12" l="1"/>
  <c r="K48" i="12" s="1"/>
  <c r="K47" i="12"/>
  <c r="E7" i="3" l="1"/>
  <c r="E10" i="3" l="1"/>
  <c r="E11" i="3"/>
  <c r="E9" i="3"/>
  <c r="E8" i="3"/>
  <c r="C13" i="3"/>
  <c r="H39" i="12" l="1"/>
  <c r="F39" i="12"/>
  <c r="D38" i="12"/>
  <c r="H31" i="12"/>
  <c r="K31" i="12" s="1"/>
  <c r="E13" i="3"/>
  <c r="K39" i="12" l="1"/>
  <c r="H38" i="12"/>
  <c r="F38" i="12"/>
  <c r="D30" i="12"/>
  <c r="K38" i="12" l="1"/>
  <c r="I30" i="12"/>
  <c r="J30" i="12" s="1"/>
  <c r="J49" i="12" s="1"/>
  <c r="G30" i="12"/>
  <c r="E30" i="12"/>
  <c r="E9" i="12" l="1"/>
  <c r="F9" i="12" s="1"/>
  <c r="F15" i="12" s="1"/>
  <c r="H30" i="12"/>
  <c r="H49" i="12" s="1"/>
  <c r="K9" i="12" l="1"/>
  <c r="K15" i="12" s="1"/>
  <c r="F30" i="12"/>
  <c r="F49" i="12" s="1"/>
  <c r="K16" i="12" l="1"/>
  <c r="K17" i="12" s="1"/>
  <c r="K30" i="12"/>
  <c r="K49" i="12" s="1"/>
  <c r="K18" i="12" l="1"/>
  <c r="K19" i="12" s="1"/>
  <c r="K50" i="12"/>
  <c r="K51" i="12" s="1"/>
  <c r="K52" i="12" s="1"/>
  <c r="K53" i="12" s="1"/>
  <c r="K54" i="12" s="1"/>
  <c r="K55" i="12" s="1"/>
  <c r="K56" i="12" s="1"/>
  <c r="K57" i="12" s="1"/>
  <c r="K20" i="12" l="1"/>
  <c r="K21" i="12" s="1"/>
  <c r="K58" i="12"/>
  <c r="K59" i="12" s="1"/>
  <c r="B19" i="3" l="1"/>
  <c r="K22" i="12"/>
  <c r="K23" i="12" s="1"/>
  <c r="D19" i="3" l="1"/>
  <c r="E19" i="3" s="1"/>
  <c r="K24" i="12"/>
  <c r="K25" i="12" s="1"/>
  <c r="B18" i="3" s="1"/>
  <c r="D18" i="3" l="1"/>
  <c r="E18" i="3" s="1"/>
  <c r="H275" i="12"/>
  <c r="H284" i="12"/>
  <c r="K284" i="12" s="1"/>
  <c r="K275" i="12" l="1"/>
  <c r="H493" i="12"/>
  <c r="K493" i="12"/>
  <c r="K494" i="12" l="1"/>
  <c r="K495" i="12" s="1"/>
  <c r="K496" i="12" s="1"/>
  <c r="K497" i="12" s="1"/>
  <c r="K498" i="12" s="1"/>
  <c r="K499" i="12" s="1"/>
  <c r="K500" i="12" s="1"/>
  <c r="K501" i="12" s="1"/>
  <c r="B20" i="3" l="1"/>
  <c r="D20" i="3" l="1"/>
  <c r="E20" i="3" s="1"/>
  <c r="E21" i="3" s="1"/>
  <c r="D21" i="3" l="1"/>
</calcChain>
</file>

<file path=xl/sharedStrings.xml><?xml version="1.0" encoding="utf-8"?>
<sst xmlns="http://schemas.openxmlformats.org/spreadsheetml/2006/main" count="1485" uniqueCount="439">
  <si>
    <t>#</t>
  </si>
  <si>
    <t>samuSaos dasaxeleba</t>
  </si>
  <si>
    <t>gan/ba</t>
  </si>
  <si>
    <t>raod.</t>
  </si>
  <si>
    <t>masala, erT</t>
  </si>
  <si>
    <t>masala, sul</t>
  </si>
  <si>
    <t>xelf, erT</t>
  </si>
  <si>
    <t>xelf, sul</t>
  </si>
  <si>
    <t>jami</t>
  </si>
  <si>
    <t>m3</t>
  </si>
  <si>
    <t>m2</t>
  </si>
  <si>
    <t>rkinabetonis karkasi</t>
  </si>
  <si>
    <t>t</t>
  </si>
  <si>
    <t>armatura a500</t>
  </si>
  <si>
    <t>damxmare masala</t>
  </si>
  <si>
    <t>zednadebi xarji</t>
  </si>
  <si>
    <t>mogeba</t>
  </si>
  <si>
    <t>dRg</t>
  </si>
  <si>
    <t>mTliani</t>
  </si>
  <si>
    <t>sarTuli</t>
  </si>
  <si>
    <t>samS. farTi</t>
  </si>
  <si>
    <t>sasarg. farTi</t>
  </si>
  <si>
    <t>%</t>
  </si>
  <si>
    <t>saxuravi</t>
  </si>
  <si>
    <t>1ლ/m2</t>
  </si>
  <si>
    <t>sacxovrebeli saxlis winaswari xarjTaRricxva</t>
  </si>
  <si>
    <t>xarjTaRricxva</t>
  </si>
  <si>
    <t>konstruqciuli nawili</t>
  </si>
  <si>
    <t>$</t>
  </si>
  <si>
    <t>dRiuri muSebi</t>
  </si>
  <si>
    <t>kac/dRe</t>
  </si>
  <si>
    <t>1$/m2</t>
  </si>
  <si>
    <t>saZirkveli</t>
  </si>
  <si>
    <t>moms. erT</t>
  </si>
  <si>
    <t>moms, sul</t>
  </si>
  <si>
    <t>karkasis mowyoba</t>
  </si>
  <si>
    <t>TariRi</t>
  </si>
  <si>
    <t>usafrTxoebis xarji</t>
  </si>
  <si>
    <t>betoni b-25</t>
  </si>
  <si>
    <t>Tve</t>
  </si>
  <si>
    <t>grZ.m</t>
  </si>
  <si>
    <t>yalibi</t>
  </si>
  <si>
    <t>teqnika</t>
  </si>
  <si>
    <t>armatura a240</t>
  </si>
  <si>
    <t>q. TbilisSi, lisi</t>
  </si>
  <si>
    <t>Sveleris mowyoba</t>
  </si>
  <si>
    <t xml:space="preserve"> TeTri karkasi</t>
  </si>
  <si>
    <t>blokis wyoba 20</t>
  </si>
  <si>
    <t>bloki 20-iani</t>
  </si>
  <si>
    <t>c</t>
  </si>
  <si>
    <t>qviSa</t>
  </si>
  <si>
    <t>cementi m300</t>
  </si>
  <si>
    <t>blokis wyoba 20  niS 0.00</t>
  </si>
  <si>
    <t>fasadis mopirkeTeba aguriT</t>
  </si>
  <si>
    <t>aguri dekoratiuli</t>
  </si>
  <si>
    <t>cali</t>
  </si>
  <si>
    <t>kar-fanjrebis ferdilis mopirkeTeba aguriT</t>
  </si>
  <si>
    <t>ferdilis mopirkeTeba aguriT, niS. 0.00</t>
  </si>
  <si>
    <t>ferdilis mopirkeTeba parapetze</t>
  </si>
  <si>
    <t>niS 0.00</t>
  </si>
  <si>
    <t>fanjris bazaltis sacremle</t>
  </si>
  <si>
    <t>sacremle, niS. 0.00</t>
  </si>
  <si>
    <t>bazaltis fila 05</t>
  </si>
  <si>
    <t>webo/cementi</t>
  </si>
  <si>
    <t>sacremle, niS. 10.5</t>
  </si>
  <si>
    <t>kar-fanjrebis amolesva Signidan</t>
  </si>
  <si>
    <t>lesva, niS. 0.00</t>
  </si>
  <si>
    <t>kar-fanjrebis izolacia</t>
  </si>
  <si>
    <t>izolacia niS. 0.00</t>
  </si>
  <si>
    <t>sadarbazos SefiTxvna</t>
  </si>
  <si>
    <t>fiTxi</t>
  </si>
  <si>
    <t>SefiTxvna niS. 0.00</t>
  </si>
  <si>
    <t>sadarbazos Rebva</t>
  </si>
  <si>
    <t>Rebva, niS. -2.55</t>
  </si>
  <si>
    <t>saRebavi</t>
  </si>
  <si>
    <t>litri</t>
  </si>
  <si>
    <t>Rebva, niS. 0.00</t>
  </si>
  <si>
    <t>Rebva, niS. 3.20/6.40/9.60</t>
  </si>
  <si>
    <t xml:space="preserve">blokis wyoba 10sm tualetebi </t>
  </si>
  <si>
    <t>blokis wyoba niS. 0.00</t>
  </si>
  <si>
    <t>bloki 10-iani</t>
  </si>
  <si>
    <t>blokis wyoba 10 niS. 0.00</t>
  </si>
  <si>
    <t>Tunuqi</t>
  </si>
  <si>
    <t>membrana</t>
  </si>
  <si>
    <t>meTlaxi aivnebze</t>
  </si>
  <si>
    <t>meTlaxi niS. 0.00</t>
  </si>
  <si>
    <t>meTlaxi sadarbazoSi</t>
  </si>
  <si>
    <t>k/granitis plintusi</t>
  </si>
  <si>
    <t>plintusi niS. 0.00</t>
  </si>
  <si>
    <t>iatakebis moWimva</t>
  </si>
  <si>
    <t>Savi qviSa</t>
  </si>
  <si>
    <t>cementi m400</t>
  </si>
  <si>
    <t>iatakebis moWimva niS 0.00</t>
  </si>
  <si>
    <t>T/m mopirkeTeba kedlebi</t>
  </si>
  <si>
    <t>T/m niS, 0.00</t>
  </si>
  <si>
    <t>T/muyaos fila</t>
  </si>
  <si>
    <t>profili cd</t>
  </si>
  <si>
    <t>profili ud</t>
  </si>
  <si>
    <t>minabamba</t>
  </si>
  <si>
    <t>agrafi</t>
  </si>
  <si>
    <t>Surufi tn25</t>
  </si>
  <si>
    <t>Surufi tn35</t>
  </si>
  <si>
    <t>T/m mopirkeTeba tixrebi</t>
  </si>
  <si>
    <t>profili uv</t>
  </si>
  <si>
    <t>profili cv</t>
  </si>
  <si>
    <t>liTonis binis kari</t>
  </si>
  <si>
    <t>kari. niS. 0.00</t>
  </si>
  <si>
    <t>kari. niS. 3.20/6.40/9.60</t>
  </si>
  <si>
    <t>liTonis sadarbazos kari</t>
  </si>
  <si>
    <t>kari niS. 0.00</t>
  </si>
  <si>
    <t>saxuravze gasasvleli gisosi</t>
  </si>
  <si>
    <t>gisosi</t>
  </si>
  <si>
    <t>saevakuacio kari</t>
  </si>
  <si>
    <t>liTonis aivnis moajiri</t>
  </si>
  <si>
    <t>moajiri, niS. 0.00</t>
  </si>
  <si>
    <t>liTonis kibis moajiri</t>
  </si>
  <si>
    <t>liTonis kibis moajiri kedelze misamagrebeli</t>
  </si>
  <si>
    <t>moajiri, niS. 3.20/6.40/9.60</t>
  </si>
  <si>
    <t>sak. Saxta niS. 0.00</t>
  </si>
  <si>
    <t>sak. Saxta niS. 3.20/6.40/9.60</t>
  </si>
  <si>
    <t>gaTbobis milebis daqselva</t>
  </si>
  <si>
    <t>bina</t>
  </si>
  <si>
    <t>gaTboba, niS. 0.00</t>
  </si>
  <si>
    <t>gaTbobis mili</t>
  </si>
  <si>
    <t>kanalizaciis daqselva</t>
  </si>
  <si>
    <t>ventilaciis daqselva</t>
  </si>
  <si>
    <t>Sida eldaqselva</t>
  </si>
  <si>
    <t>wert.</t>
  </si>
  <si>
    <t>eldaqselva, niS. 0.00</t>
  </si>
  <si>
    <t>kabeli 3*2.5</t>
  </si>
  <si>
    <t>kabeli 3*1.5</t>
  </si>
  <si>
    <t>kabeli 2*1.5</t>
  </si>
  <si>
    <t>internetis kabeli</t>
  </si>
  <si>
    <t>aivnis sanaTebi</t>
  </si>
  <si>
    <t>sanaTi, niS. 0.00</t>
  </si>
  <si>
    <t>sanaTi</t>
  </si>
  <si>
    <t>sanaTi, niS. 3.20/6.40/9.60</t>
  </si>
  <si>
    <t>sadarbazos sanaTi</t>
  </si>
  <si>
    <t>sadarbazos daqselva</t>
  </si>
  <si>
    <t>Telasis kabeli</t>
  </si>
  <si>
    <t>kabeli 2*2.5</t>
  </si>
  <si>
    <t>wylis centraluri dgari</t>
  </si>
  <si>
    <t>wylis mili</t>
  </si>
  <si>
    <t>wylis dgari, niS. 0.00</t>
  </si>
  <si>
    <t>wylis daqselva binebSi</t>
  </si>
  <si>
    <t>daqselva, niS. 0.00</t>
  </si>
  <si>
    <t>liftebi</t>
  </si>
  <si>
    <t>lifti</t>
  </si>
  <si>
    <t>asaZromi kibe</t>
  </si>
  <si>
    <t>samisamarTo saxanZro signalizaciis mowyoba</t>
  </si>
  <si>
    <t>saxanZro mildgarebis sistemis mowyoba</t>
  </si>
  <si>
    <t>saxanZro saventilacio danadgarebis mowyoba</t>
  </si>
  <si>
    <t>sadarbazo</t>
  </si>
  <si>
    <t>domofonis mowyoba</t>
  </si>
  <si>
    <t>monoliTis kedlebis damuSaveba</t>
  </si>
  <si>
    <t>kibis mopirkeTeba</t>
  </si>
  <si>
    <t>blokis wyoba 20  niS 3.20/6.40/9.60</t>
  </si>
  <si>
    <t>vitraJi niS. 3.20/6.40/9.60</t>
  </si>
  <si>
    <t>vitraJi niS. -2.55</t>
  </si>
  <si>
    <t>fasadis mopirkeTeba aguriT niS 3.20/6.40/9.60</t>
  </si>
  <si>
    <t>ferdilis mopirkeTeba aguriT, niS. 3.20/6.40/9.60</t>
  </si>
  <si>
    <t>fasadis daTbuneba/SefiTxvna/Rebva</t>
  </si>
  <si>
    <t>niS 3.20/6.40/9.60</t>
  </si>
  <si>
    <t>sacremle, niS. -2.55</t>
  </si>
  <si>
    <t>sacremle, niS. 3.20/6.40/9.60</t>
  </si>
  <si>
    <t>lesva, niS. -2.55</t>
  </si>
  <si>
    <t>lesva, niS. 3.20/6.40/9.60</t>
  </si>
  <si>
    <t>lesva, niS.3.20/6.40/9.60</t>
  </si>
  <si>
    <t>SefiTxvna niS. -2.55</t>
  </si>
  <si>
    <t>SefiTxvna niS. 3.20/6.40/9.60</t>
  </si>
  <si>
    <t>blokis wyoba niS. 3.20/6.40/9.60</t>
  </si>
  <si>
    <t>blokis wyoba 10 niS. 3.20/6.40/9.60</t>
  </si>
  <si>
    <t>mwvane saxuravis mowyoba</t>
  </si>
  <si>
    <t>meTlaxi niS. 3.20/6.40/9.60</t>
  </si>
  <si>
    <t>meTlaxi niS. -2.55</t>
  </si>
  <si>
    <t>plintusi niS. -2.55</t>
  </si>
  <si>
    <t>plintusi niS. 3.20/6.40/9.60</t>
  </si>
  <si>
    <t>iatakebis moWimva niS -2.55</t>
  </si>
  <si>
    <t>T/m niS, 3.20/6.40/9.60</t>
  </si>
  <si>
    <t>iatakebis moWimva niS 3.20/6.40/9.60</t>
  </si>
  <si>
    <t>kari. niS. -2.55</t>
  </si>
  <si>
    <t>liTonis aivnis gisosi</t>
  </si>
  <si>
    <t>gaTboba, niS. 3.20/6.40/9.60</t>
  </si>
  <si>
    <t>daqselva, niS. 3.20/6.40/9.60</t>
  </si>
  <si>
    <t>fasadis mopirkeTeba aguriT niS -2.30</t>
  </si>
  <si>
    <t>kuTxovanis mowyoba</t>
  </si>
  <si>
    <t>liftis Saxtis mopirkeTeba aguriT</t>
  </si>
  <si>
    <t>sak. Saxtis mowyoba/lifti</t>
  </si>
  <si>
    <t>internetis kabelis daqselva</t>
  </si>
  <si>
    <t>gazis saqvabe</t>
  </si>
  <si>
    <t>გრძ/მ</t>
  </si>
  <si>
    <t>zRudari</t>
  </si>
  <si>
    <t>ცალი</t>
  </si>
  <si>
    <t>მ2</t>
  </si>
  <si>
    <t>რეტრო kabeli 2*1.5</t>
  </si>
  <si>
    <t>betoni b-7.5</t>
  </si>
  <si>
    <t>inertuli masala</t>
  </si>
  <si>
    <t>20 iani bloki</t>
  </si>
  <si>
    <t>niS.\</t>
  </si>
  <si>
    <t>fasadi</t>
  </si>
  <si>
    <t>binebis gamyofi</t>
  </si>
  <si>
    <t>vada</t>
  </si>
  <si>
    <t>m/plastmasi</t>
  </si>
  <si>
    <t>aguri</t>
  </si>
  <si>
    <t>daTbuneba/Rebva</t>
  </si>
  <si>
    <t>ferdili</t>
  </si>
  <si>
    <t>bazalti</t>
  </si>
  <si>
    <t>10 iani bloki</t>
  </si>
  <si>
    <t>sadabazo</t>
  </si>
  <si>
    <t>aivani</t>
  </si>
  <si>
    <t>sak.Saxta binebi</t>
  </si>
  <si>
    <t>sak.Saxta sadarbazo</t>
  </si>
  <si>
    <t>tualeti</t>
  </si>
  <si>
    <t>lesva</t>
  </si>
  <si>
    <t>SefiTvna</t>
  </si>
  <si>
    <t>Rebva</t>
  </si>
  <si>
    <t>kari</t>
  </si>
  <si>
    <t>binis kari</t>
  </si>
  <si>
    <t>kibis ujredis kari</t>
  </si>
  <si>
    <t>sadarbazos kari</t>
  </si>
  <si>
    <t>sakm.kari</t>
  </si>
  <si>
    <t>მოაჯირი</t>
  </si>
  <si>
    <t>აივანი</t>
  </si>
  <si>
    <t>ცხაური</t>
  </si>
  <si>
    <t>k/graniti</t>
  </si>
  <si>
    <t>plintusi</t>
  </si>
  <si>
    <t>მოჭიმვა</t>
  </si>
  <si>
    <t>ბინები</t>
  </si>
  <si>
    <t>T/muyao</t>
  </si>
  <si>
    <t>kedeli</t>
  </si>
  <si>
    <t>tixari</t>
  </si>
  <si>
    <t>Weri</t>
  </si>
  <si>
    <t>qvabulis samuSao</t>
  </si>
  <si>
    <t>qvabulis mowyoba</t>
  </si>
  <si>
    <t>qvabulis amoReba</t>
  </si>
  <si>
    <t>liftis Saxtis ormos amoReba</t>
  </si>
  <si>
    <t>svetis ormos amoReba</t>
  </si>
  <si>
    <t>kodaliT muSaoba</t>
  </si>
  <si>
    <t>qvabuli</t>
  </si>
  <si>
    <t>Savi karkasi</t>
  </si>
  <si>
    <t>TeTri karkasi</t>
  </si>
  <si>
    <t>liftis aguri</t>
  </si>
  <si>
    <t>betonis faqtura</t>
  </si>
  <si>
    <t>mdf</t>
  </si>
  <si>
    <t>მ3</t>
  </si>
  <si>
    <t>hidroizolacia, Roris da miwis gaSla</t>
  </si>
  <si>
    <t>ლიტრი</t>
  </si>
  <si>
    <t>saZirkvlis betonis kedlebis hidroizolacia</t>
  </si>
  <si>
    <r>
      <t>m</t>
    </r>
    <r>
      <rPr>
        <vertAlign val="superscript"/>
        <sz val="8"/>
        <rFont val="Avaza"/>
        <family val="2"/>
      </rPr>
      <t>2</t>
    </r>
  </si>
  <si>
    <t>სარტყელი</t>
  </si>
  <si>
    <t>ტონა</t>
  </si>
  <si>
    <t>სადარბაზო</t>
  </si>
  <si>
    <t xml:space="preserve"> vitraJi</t>
  </si>
  <si>
    <t>lifტი</t>
  </si>
  <si>
    <t>torecebis Savad lesva</t>
  </si>
  <si>
    <t>blokis wyoba 20  niS -2.30</t>
  </si>
  <si>
    <t>RorRi 10*20</t>
  </si>
  <si>
    <t>bazaltis fila 03</t>
  </si>
  <si>
    <t>bazaltis fila 02</t>
  </si>
  <si>
    <t>xis dasamuSavebeli xsnari</t>
  </si>
  <si>
    <t>ლ</t>
  </si>
  <si>
    <t>milkvadrati 60*80</t>
  </si>
  <si>
    <t>milkvadrati 100*100</t>
  </si>
  <si>
    <t>dubel Surufi k6</t>
  </si>
  <si>
    <t>orTqlizolacia</t>
  </si>
  <si>
    <t>mili kanalizaciis</t>
  </si>
  <si>
    <t>aqsesuari</t>
  </si>
  <si>
    <t>mili ventilaciis 3m</t>
  </si>
  <si>
    <t>mili ventilaciis 0.3m</t>
  </si>
  <si>
    <t>mili ventilaciis 2m</t>
  </si>
  <si>
    <t>sanaTi aivnis</t>
  </si>
  <si>
    <t>sanaTi sadarbazo</t>
  </si>
  <si>
    <t>wylis dgari</t>
  </si>
  <si>
    <t>mili 25</t>
  </si>
  <si>
    <t>milis gadasabmeli 25</t>
  </si>
  <si>
    <t>milis samagri 25</t>
  </si>
  <si>
    <t>milis muxli 25</t>
  </si>
  <si>
    <t>defleqtori</t>
  </si>
  <si>
    <t>Rirebuleba, erT</t>
  </si>
  <si>
    <t>m/p kar-fanjara</t>
  </si>
  <si>
    <t xml:space="preserve"> mdf-iT mowyoba</t>
  </si>
  <si>
    <t>saqvabis kari</t>
  </si>
  <si>
    <t>liTonis kibis ujredis kari</t>
  </si>
  <si>
    <t>internetis daqselva</t>
  </si>
  <si>
    <t>inertuli masalis tkepnis Semowmeba</t>
  </si>
  <si>
    <t>geodeziuri momsaxureba</t>
  </si>
  <si>
    <t>betonis kubikebis Semowmeba</t>
  </si>
  <si>
    <t>ბლოკი</t>
  </si>
  <si>
    <t>ზღუდარი</t>
  </si>
  <si>
    <t>აგური</t>
  </si>
  <si>
    <t>aguris ferdili</t>
  </si>
  <si>
    <t>bazaltis sacremlis mowyoba</t>
  </si>
  <si>
    <t>kar-fanjris ferdilebis amovseba</t>
  </si>
  <si>
    <t>საცრემლის მოწყობა</t>
  </si>
  <si>
    <t>saxuravze Tunuqis mowyoba</t>
  </si>
  <si>
    <t>k/granitis mowyoba</t>
  </si>
  <si>
    <t>k/granitis plintusis mowyoba</t>
  </si>
  <si>
    <t>bazaltis safexuris mowyoba</t>
  </si>
  <si>
    <t>T/muyaos kedlis mowyoba</t>
  </si>
  <si>
    <t>T/muyaos tixris  mowyoba</t>
  </si>
  <si>
    <t>gaTfobis milebis daqselva</t>
  </si>
  <si>
    <t>kanalizaciis qselis mowyoba</t>
  </si>
  <si>
    <t>ventilaciis qselis mowyoba</t>
  </si>
  <si>
    <t>eleqtroobis mowyoba</t>
  </si>
  <si>
    <t>aivnis sanaTis mowyoba</t>
  </si>
  <si>
    <t>sadarbazos sanaTis mowyoba</t>
  </si>
  <si>
    <t>Telasis kabelis mowyoba</t>
  </si>
  <si>
    <t>wylis centraluri dgaris mowyoba</t>
  </si>
  <si>
    <t>kedlis gaxvreta kondincionerisTvis</t>
  </si>
  <si>
    <t>Sida aivanze trapebis mowyoba</t>
  </si>
  <si>
    <t>fasadis daTfuneba</t>
  </si>
  <si>
    <t>SefiTxvna</t>
  </si>
  <si>
    <t>vitraJi  niS. 0.00</t>
  </si>
  <si>
    <t>aguris cxauris mowyoba</t>
  </si>
  <si>
    <t>aguris cxauris mowyoba aivnebze</t>
  </si>
  <si>
    <t>fasadis mopirkeTeba aguriT niS -2.30/0.00</t>
  </si>
  <si>
    <t>შავად ლესვა</t>
  </si>
  <si>
    <t>izolacia niS. -2.30</t>
  </si>
  <si>
    <t>izolacia niS. 3.20/6.40/9.60</t>
  </si>
  <si>
    <t>blokis wyoba 10 niS. -2.30</t>
  </si>
  <si>
    <t>Savi miwa</t>
  </si>
  <si>
    <t>semiWka Surufi</t>
  </si>
  <si>
    <t>სარდაფის kari</t>
  </si>
  <si>
    <t>. niS. 0.00</t>
  </si>
  <si>
    <t>. niS. 3.20/6.40/9.60</t>
  </si>
  <si>
    <t>liTonis aivnis moajiri ცხაური</t>
  </si>
  <si>
    <t xml:space="preserve">kari. </t>
  </si>
  <si>
    <t>კიბის მოაჯირი</t>
  </si>
  <si>
    <t xml:space="preserve">კედლის კიბის მოაჯირი </t>
  </si>
  <si>
    <t>moajiri, niS. -2.30</t>
  </si>
  <si>
    <t>moajiri, niS. -2.3/0.00</t>
  </si>
  <si>
    <t xml:space="preserve">საქვაბის კარი </t>
  </si>
  <si>
    <t>sak. Saxta niS. -2.30</t>
  </si>
  <si>
    <t>komunikaciis karis damzareba xis dgarebiT</t>
  </si>
  <si>
    <t>sakomunikacio liTonis kari xis dgarebiT</t>
  </si>
  <si>
    <t>ezos gamyofi xis tixrebi</t>
  </si>
  <si>
    <t>sadarbazos aluminis kari</t>
  </si>
  <si>
    <t>aluminis vitraJi</t>
  </si>
  <si>
    <t>kanalizaciis mowyoba binaSi</t>
  </si>
  <si>
    <t>kanalizaciis qselis mowyoba binaSi</t>
  </si>
  <si>
    <t>kanalizacia</t>
  </si>
  <si>
    <t>kanalizacia binaSi</t>
  </si>
  <si>
    <t xml:space="preserve">ventilacia </t>
  </si>
  <si>
    <t>ezos saniaRvris mowyoba</t>
  </si>
  <si>
    <t>saniaRvre Rari</t>
  </si>
  <si>
    <t>betoni</t>
  </si>
  <si>
    <t>ეზოს სანიაღვრე ღარის მოწყობა</t>
  </si>
  <si>
    <t>sanaTi, niS. -2.3</t>
  </si>
  <si>
    <t>eldaqselva, niS. 3.20/6.40/9.60</t>
  </si>
  <si>
    <t>kabeli</t>
  </si>
  <si>
    <t>eldaqselva, niS. -2.30</t>
  </si>
  <si>
    <t>რეტრო kabelis samagri</t>
  </si>
  <si>
    <t>kabeli 2*16</t>
  </si>
  <si>
    <t>retro sadeni</t>
  </si>
  <si>
    <t>retro sadenis samagri</t>
  </si>
  <si>
    <t>wylis dgari, niS. -2.30</t>
  </si>
  <si>
    <t>mili 50</t>
  </si>
  <si>
    <t>კიბის საფეხურის მოწყობა</t>
  </si>
  <si>
    <t>dRe</t>
  </si>
  <si>
    <t>ips 2sm ni</t>
  </si>
  <si>
    <t>saZirkvlis hidroizolacia</t>
  </si>
  <si>
    <t>ლითონის შველერის მოწყობა</t>
  </si>
  <si>
    <t>ინტერნეტის დაქსელვა</t>
  </si>
  <si>
    <t>betonis Semowmeba kubikebiT</t>
  </si>
  <si>
    <t>სართული</t>
  </si>
  <si>
    <t>liTonis furclis mowyoba</t>
  </si>
  <si>
    <t>hidrosaizolacio masala</t>
  </si>
  <si>
    <t>hidroizolaciis damxmare masala</t>
  </si>
  <si>
    <t>sartyeli</t>
  </si>
  <si>
    <t>blokis damxmare masala</t>
  </si>
  <si>
    <t>aguris damxmare masala</t>
  </si>
  <si>
    <t>aguris cxauri damxmare masala</t>
  </si>
  <si>
    <t>fasadis bade</t>
  </si>
  <si>
    <t>fasadis fiTxi</t>
  </si>
  <si>
    <t>grunti</t>
  </si>
  <si>
    <t>qvabamba 5 ni</t>
  </si>
  <si>
    <t>qvabamba 3 ni</t>
  </si>
  <si>
    <t>fasadis daTfunebis damxmare masala</t>
  </si>
  <si>
    <t>Savad lesva damxmare masala</t>
  </si>
  <si>
    <t>bazaltis sacremle damxmare masala</t>
  </si>
  <si>
    <t>giperiT lesvis damxmare masala</t>
  </si>
  <si>
    <t>SefiTxvnis damxmare masala</t>
  </si>
  <si>
    <t>Rebva damxmare masala</t>
  </si>
  <si>
    <t>jeoteqstili</t>
  </si>
  <si>
    <t>xis masala</t>
  </si>
  <si>
    <t>osb</t>
  </si>
  <si>
    <t>saxuravis damxmare masala</t>
  </si>
  <si>
    <t>k/graniti damxmare masala</t>
  </si>
  <si>
    <t>moWiva damxmare masala</t>
  </si>
  <si>
    <t>T/muyao damxmare masala</t>
  </si>
  <si>
    <t>Sida eldaqselva damxmare masala</t>
  </si>
  <si>
    <t>sadarbazos eldaqselva damxmare masala</t>
  </si>
  <si>
    <t>wylis daqselva damxmare masala</t>
  </si>
  <si>
    <t>bazaltis safexuris damxmare masala</t>
  </si>
  <si>
    <t>რკინა ბეტონის მოწყობა</t>
  </si>
  <si>
    <t>iqspiesi 3 ni</t>
  </si>
  <si>
    <t>iqspiesi 5 ni</t>
  </si>
  <si>
    <t>ipdm membrana</t>
  </si>
  <si>
    <t>sadrenaJe membrana</t>
  </si>
  <si>
    <t>sadarbazos saRebavi</t>
  </si>
  <si>
    <t>fasadis saRebavi</t>
  </si>
  <si>
    <t>webocementi 185</t>
  </si>
  <si>
    <t>webocementi 186</t>
  </si>
  <si>
    <t>qvabambis dubeli</t>
  </si>
  <si>
    <t>kibis safexuri</t>
  </si>
  <si>
    <t>Sveleri 22 ni</t>
  </si>
  <si>
    <t>ips 2 ni</t>
  </si>
  <si>
    <t>bitumis praimeri</t>
  </si>
  <si>
    <t>Savi karkasis damxmare masala</t>
  </si>
  <si>
    <t>შავი კარკასი</t>
  </si>
  <si>
    <t>ფილა</t>
  </si>
  <si>
    <t>ლიფტის შახტა</t>
  </si>
  <si>
    <t>მონ.კედელი</t>
  </si>
  <si>
    <t>დამატებები</t>
  </si>
  <si>
    <t>სახურავი</t>
  </si>
  <si>
    <t xml:space="preserve">k/graniti </t>
  </si>
  <si>
    <t>meTlaxis fila</t>
  </si>
  <si>
    <t>bazaltis safexuri</t>
  </si>
  <si>
    <t>tenti</t>
  </si>
  <si>
    <t>iqspiesi</t>
  </si>
  <si>
    <r>
      <t>m</t>
    </r>
    <r>
      <rPr>
        <vertAlign val="superscript"/>
        <sz val="8"/>
        <rFont val="Avaza"/>
        <family val="2"/>
      </rPr>
      <t>3</t>
    </r>
    <r>
      <rPr>
        <sz val="11"/>
        <color theme="1"/>
        <rFont val="Calibri"/>
        <family val="2"/>
        <scheme val="minor"/>
      </rPr>
      <t/>
    </r>
  </si>
  <si>
    <t xml:space="preserve">TunuqiT </t>
  </si>
  <si>
    <t>wylis dgari, niS. 3.20</t>
  </si>
  <si>
    <t>wylis dgari, niS. 6.40/9.60</t>
  </si>
  <si>
    <t xml:space="preserve">sadarbazos lesva </t>
  </si>
  <si>
    <t>fasadis mopirkeTeba aguriT niS 0.00.3.20/6.40/9.60</t>
  </si>
  <si>
    <t>blokis wyoba 10sm Saxtebi/aivnebi</t>
  </si>
  <si>
    <t>hidroizolacia wasasmeli</t>
  </si>
  <si>
    <t>wasasmeli hidroizolacia</t>
  </si>
  <si>
    <t>damxmare masala hidroizolacia</t>
  </si>
  <si>
    <t>saxli #10</t>
  </si>
  <si>
    <t>lisi saxli - 9/10</t>
  </si>
  <si>
    <t>armatura</t>
  </si>
  <si>
    <t>გაძვირებულია წინა ბიუჯეტებში არ შეგვიცვლია</t>
  </si>
  <si>
    <t>არსებული ფილები არღარ არის, ჩავსვი საორენტაციო ფასი</t>
  </si>
  <si>
    <t>მცირე მეწარმის გამო გაძვირდა, წინა პროექტებზე არ შევუცვალე</t>
  </si>
  <si>
    <t>lisi 8</t>
  </si>
  <si>
    <t>kranis da armaturis adgilis amoReba</t>
  </si>
  <si>
    <t>korpusis generaluri dasufTaveba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</si>
</sst>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#,##0.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vaza"/>
      <family val="2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vaza"/>
      <family val="2"/>
    </font>
    <font>
      <sz val="8"/>
      <name val="Arial"/>
      <family val="2"/>
    </font>
    <font>
      <sz val="8"/>
      <name val="Avaza"/>
      <family val="2"/>
    </font>
    <font>
      <b/>
      <sz val="10"/>
      <color theme="1"/>
      <name val="Arial"/>
      <family val="2"/>
    </font>
    <font>
      <b/>
      <sz val="11"/>
      <color theme="1"/>
      <name val="Avaza"/>
      <family val="2"/>
    </font>
    <font>
      <sz val="11"/>
      <color theme="1"/>
      <name val="Avaza"/>
      <family val="2"/>
    </font>
    <font>
      <b/>
      <sz val="8"/>
      <name val="Avaza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11"/>
      <name val="Avaza"/>
      <family val="2"/>
    </font>
    <font>
      <b/>
      <sz val="8"/>
      <name val="Arial"/>
      <family val="2"/>
    </font>
    <font>
      <sz val="10"/>
      <color theme="1"/>
      <name val="Avaza"/>
      <family val="2"/>
    </font>
    <font>
      <sz val="11"/>
      <color theme="1"/>
      <name val="Arial"/>
      <family val="2"/>
      <charset val="204"/>
    </font>
    <font>
      <sz val="10"/>
      <name val="Arial"/>
      <family val="2"/>
    </font>
    <font>
      <b/>
      <sz val="10"/>
      <name val="Avaza"/>
      <family val="2"/>
    </font>
    <font>
      <b/>
      <sz val="8"/>
      <color theme="1"/>
      <name val="Arial"/>
      <family val="2"/>
      <charset val="204"/>
    </font>
    <font>
      <b/>
      <sz val="8"/>
      <color theme="1"/>
      <name val="Avaza"/>
      <family val="2"/>
    </font>
    <font>
      <sz val="8"/>
      <color theme="1"/>
      <name val="Avaza"/>
      <family val="2"/>
    </font>
    <font>
      <sz val="8"/>
      <color theme="1"/>
      <name val="Arial"/>
      <family val="2"/>
    </font>
    <font>
      <vertAlign val="superscript"/>
      <sz val="8"/>
      <name val="Avaza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/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10" fillId="0" borderId="0" xfId="0" applyNumberFormat="1" applyFont="1"/>
    <xf numFmtId="43" fontId="8" fillId="2" borderId="1" xfId="2" applyFont="1" applyFill="1" applyBorder="1" applyAlignment="1">
      <alignment horizontal="center" vertical="center"/>
    </xf>
    <xf numFmtId="43" fontId="10" fillId="0" borderId="0" xfId="0" applyNumberFormat="1" applyFont="1"/>
    <xf numFmtId="0" fontId="11" fillId="0" borderId="1" xfId="0" applyFont="1" applyBorder="1" applyAlignment="1">
      <alignment horizontal="center" vertical="center"/>
    </xf>
    <xf numFmtId="10" fontId="12" fillId="0" borderId="1" xfId="1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vertical="center"/>
    </xf>
    <xf numFmtId="4" fontId="7" fillId="0" borderId="1" xfId="0" applyNumberFormat="1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right" vertical="center"/>
    </xf>
    <xf numFmtId="10" fontId="12" fillId="0" borderId="1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4" fontId="13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8" fillId="0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4" fontId="13" fillId="0" borderId="1" xfId="0" applyNumberFormat="1" applyFont="1" applyBorder="1" applyAlignmen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4" fontId="14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" fontId="0" fillId="0" borderId="0" xfId="0" applyNumberFormat="1"/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0" fillId="0" borderId="1" xfId="0" applyBorder="1"/>
    <xf numFmtId="2" fontId="25" fillId="0" borderId="1" xfId="0" applyNumberFormat="1" applyFont="1" applyBorder="1" applyAlignment="1">
      <alignment horizontal="center"/>
    </xf>
    <xf numFmtId="0" fontId="28" fillId="0" borderId="1" xfId="0" applyFont="1" applyBorder="1"/>
    <xf numFmtId="4" fontId="29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4" fontId="18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2" fontId="0" fillId="3" borderId="0" xfId="0" applyNumberFormat="1" applyFill="1"/>
    <xf numFmtId="0" fontId="9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4" fontId="23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0" xfId="0" applyFont="1" applyAlignment="1">
      <alignment horizontal="center"/>
    </xf>
    <xf numFmtId="14" fontId="14" fillId="0" borderId="2" xfId="0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2" fontId="4" fillId="3" borderId="6" xfId="0" applyNumberFormat="1" applyFont="1" applyFill="1" applyBorder="1" applyAlignment="1">
      <alignment horizontal="center" vertical="center"/>
    </xf>
    <xf numFmtId="2" fontId="4" fillId="3" borderId="7" xfId="0" applyNumberFormat="1" applyFont="1" applyFill="1" applyBorder="1" applyAlignment="1">
      <alignment horizontal="center" vertical="center"/>
    </xf>
    <xf numFmtId="2" fontId="4" fillId="3" borderId="8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" fontId="6" fillId="3" borderId="6" xfId="0" applyNumberFormat="1" applyFont="1" applyFill="1" applyBorder="1" applyAlignment="1">
      <alignment horizontal="center" vertical="center"/>
    </xf>
    <xf numFmtId="4" fontId="6" fillId="3" borderId="7" xfId="0" applyNumberFormat="1" applyFont="1" applyFill="1" applyBorder="1" applyAlignment="1">
      <alignment horizontal="center" vertical="center"/>
    </xf>
    <xf numFmtId="4" fontId="6" fillId="3" borderId="8" xfId="0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vani/Downloads/&#4305;&#4312;&#4323;&#4335;&#4308;&#4322;&#4312;%20&#4321;&#4304;&#4334;&#4314;&#4312;%20%236%20u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ფართები"/>
      <sheetName val="შესათანხმებელი ბიუჯეტი"/>
      <sheetName val="ბიუჯეტი"/>
      <sheetName val="სამუშაო"/>
      <sheetName val="მასალა"/>
      <sheetName val="მომსახურება"/>
      <sheetName val="ხელფასები"/>
    </sheetNames>
    <sheetDataSet>
      <sheetData sheetId="0" refreshError="1">
        <row r="2">
          <cell r="E2">
            <v>2.74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zoomScaleNormal="100" workbookViewId="0">
      <selection activeCell="C8" sqref="C8"/>
    </sheetView>
  </sheetViews>
  <sheetFormatPr defaultColWidth="9.109375" defaultRowHeight="14.4" x14ac:dyDescent="0.3"/>
  <cols>
    <col min="1" max="1" width="17.5546875" style="5" bestFit="1" customWidth="1"/>
    <col min="2" max="2" width="16.6640625" style="5" customWidth="1"/>
    <col min="3" max="3" width="22.109375" style="5" customWidth="1"/>
    <col min="4" max="4" width="24.44140625" style="5" bestFit="1" customWidth="1"/>
    <col min="5" max="5" width="19.33203125" style="5" bestFit="1" customWidth="1"/>
    <col min="6" max="6" width="3" style="5" customWidth="1"/>
    <col min="7" max="7" width="12.33203125" style="5" bestFit="1" customWidth="1"/>
    <col min="8" max="9" width="9.109375" style="5" customWidth="1"/>
    <col min="10" max="16384" width="9.109375" style="5"/>
  </cols>
  <sheetData>
    <row r="1" spans="1:8" x14ac:dyDescent="0.3">
      <c r="A1" s="69" t="s">
        <v>431</v>
      </c>
      <c r="B1" s="69"/>
      <c r="C1" s="69"/>
      <c r="D1" s="69"/>
      <c r="E1" s="69"/>
    </row>
    <row r="2" spans="1:8" x14ac:dyDescent="0.3">
      <c r="A2" s="33"/>
      <c r="B2" s="33"/>
      <c r="C2" s="33"/>
      <c r="D2" s="33"/>
      <c r="E2" s="33"/>
    </row>
    <row r="3" spans="1:8" x14ac:dyDescent="0.3">
      <c r="A3" s="29"/>
      <c r="B3" s="30" t="s">
        <v>36</v>
      </c>
      <c r="C3" s="31">
        <v>45590</v>
      </c>
      <c r="D3" s="29" t="s">
        <v>28</v>
      </c>
      <c r="E3" s="32">
        <v>2.7456</v>
      </c>
    </row>
    <row r="4" spans="1:8" x14ac:dyDescent="0.3">
      <c r="A4" s="29"/>
      <c r="B4" s="30"/>
      <c r="C4" s="31"/>
      <c r="D4" s="29"/>
      <c r="E4" s="32"/>
    </row>
    <row r="5" spans="1:8" ht="16.2" x14ac:dyDescent="0.3">
      <c r="A5" s="6" t="s">
        <v>0</v>
      </c>
      <c r="B5" s="6" t="s">
        <v>19</v>
      </c>
      <c r="C5" s="6" t="s">
        <v>20</v>
      </c>
      <c r="D5" s="6" t="s">
        <v>21</v>
      </c>
      <c r="E5" s="6" t="s">
        <v>22</v>
      </c>
    </row>
    <row r="6" spans="1:8" x14ac:dyDescent="0.3">
      <c r="A6" s="7">
        <v>1</v>
      </c>
      <c r="B6" s="7">
        <v>2</v>
      </c>
      <c r="C6" s="7">
        <v>3</v>
      </c>
      <c r="D6" s="7">
        <v>4</v>
      </c>
      <c r="E6" s="7">
        <v>5</v>
      </c>
    </row>
    <row r="7" spans="1:8" x14ac:dyDescent="0.3">
      <c r="A7" s="8">
        <v>1</v>
      </c>
      <c r="B7" s="26" t="s">
        <v>32</v>
      </c>
      <c r="C7" s="10">
        <f>(20.7*15.2)*3</f>
        <v>943.92</v>
      </c>
      <c r="D7" s="10">
        <v>633.70000000000005</v>
      </c>
      <c r="E7" s="27">
        <f t="shared" ref="E7:E13" si="0">D7/C7</f>
        <v>0.67134926688702445</v>
      </c>
    </row>
    <row r="8" spans="1:8" x14ac:dyDescent="0.3">
      <c r="A8" s="8">
        <v>2</v>
      </c>
      <c r="B8" s="8">
        <v>1</v>
      </c>
      <c r="C8" s="10">
        <f>(20.7*15.2)*3+8.28+8.28+0.63+0.63+0.63+0.63+16.02+16.02+4.14+8.28</f>
        <v>1007.4599999999998</v>
      </c>
      <c r="D8" s="10">
        <v>626.80999999999995</v>
      </c>
      <c r="E8" s="27">
        <f t="shared" si="0"/>
        <v>0.62216862207928858</v>
      </c>
    </row>
    <row r="9" spans="1:8" x14ac:dyDescent="0.3">
      <c r="A9" s="8">
        <v>3</v>
      </c>
      <c r="B9" s="8">
        <v>2</v>
      </c>
      <c r="C9" s="10">
        <f>(20.7*15.2)*3+8.28+8.28+0.63+0.63+0.63+0.63+16.02+16.02+4.14+8.28</f>
        <v>1007.4599999999998</v>
      </c>
      <c r="D9" s="10">
        <v>753.8</v>
      </c>
      <c r="E9" s="27">
        <f t="shared" si="0"/>
        <v>0.7482182915450738</v>
      </c>
    </row>
    <row r="10" spans="1:8" x14ac:dyDescent="0.3">
      <c r="A10" s="8">
        <v>4</v>
      </c>
      <c r="B10" s="8">
        <v>3</v>
      </c>
      <c r="C10" s="10">
        <f>(20.7*15.2)*3+8.28+8.28+0.63+0.63+0.63+0.63+16.02+16.02+4.14+8.28</f>
        <v>1007.4599999999998</v>
      </c>
      <c r="D10" s="10">
        <v>753.8</v>
      </c>
      <c r="E10" s="27">
        <f t="shared" si="0"/>
        <v>0.7482182915450738</v>
      </c>
    </row>
    <row r="11" spans="1:8" x14ac:dyDescent="0.3">
      <c r="A11" s="8">
        <v>5</v>
      </c>
      <c r="B11" s="8">
        <v>4</v>
      </c>
      <c r="C11" s="10">
        <f>(20.7*15.2)*3+8.28+8.28+0.63+0.63+0.63+0.63+16.02+16.02+4.14+8.28</f>
        <v>1007.4599999999998</v>
      </c>
      <c r="D11" s="10">
        <v>753.8</v>
      </c>
      <c r="E11" s="27">
        <f t="shared" si="0"/>
        <v>0.7482182915450738</v>
      </c>
    </row>
    <row r="12" spans="1:8" x14ac:dyDescent="0.3">
      <c r="A12" s="8">
        <v>6</v>
      </c>
      <c r="B12" s="28" t="s">
        <v>23</v>
      </c>
      <c r="C12" s="10">
        <f>(20.7*15.2)*3+8.28+8.28+16.02+16.02+4.14+8.28</f>
        <v>1004.9399999999998</v>
      </c>
      <c r="E12" s="27"/>
    </row>
    <row r="13" spans="1:8" x14ac:dyDescent="0.3">
      <c r="A13" s="8"/>
      <c r="B13" s="11" t="s">
        <v>8</v>
      </c>
      <c r="C13" s="12">
        <f>SUM(C7:C12)</f>
        <v>5978.6999999999989</v>
      </c>
      <c r="D13" s="12">
        <f>SUM(D7:D12)</f>
        <v>3521.91</v>
      </c>
      <c r="E13" s="9">
        <f t="shared" si="0"/>
        <v>0.58907622058306996</v>
      </c>
      <c r="G13" s="15"/>
    </row>
    <row r="14" spans="1:8" x14ac:dyDescent="0.3">
      <c r="D14" s="13"/>
      <c r="G14" s="15"/>
      <c r="H14" s="15"/>
    </row>
    <row r="17" spans="1:5" x14ac:dyDescent="0.3">
      <c r="D17" s="24" t="s">
        <v>24</v>
      </c>
      <c r="E17" s="24" t="s">
        <v>31</v>
      </c>
    </row>
    <row r="18" spans="1:5" x14ac:dyDescent="0.3">
      <c r="A18" s="35" t="s">
        <v>238</v>
      </c>
      <c r="B18" s="14">
        <f>ბიუჯეტი!K25</f>
        <v>212951.22128392433</v>
      </c>
      <c r="C18" s="14"/>
      <c r="D18" s="14">
        <f>B18/C13</f>
        <v>35.618315233064777</v>
      </c>
      <c r="E18" s="14">
        <f>D18/E3</f>
        <v>12.972871224164036</v>
      </c>
    </row>
    <row r="19" spans="1:5" x14ac:dyDescent="0.3">
      <c r="A19" s="35" t="s">
        <v>239</v>
      </c>
      <c r="B19" s="14">
        <f>ბიუჯეტი!K59</f>
        <v>2646954.9843731532</v>
      </c>
      <c r="C19" s="14"/>
      <c r="D19" s="14">
        <f>B19/C13</f>
        <v>442.73085861025868</v>
      </c>
      <c r="E19" s="14">
        <f>D19/E3</f>
        <v>161.2510411604963</v>
      </c>
    </row>
    <row r="20" spans="1:5" x14ac:dyDescent="0.3">
      <c r="A20" s="35" t="s">
        <v>240</v>
      </c>
      <c r="B20" s="14">
        <f>ბიუჯეტი!K501</f>
        <v>3891303.9256422468</v>
      </c>
      <c r="C20" s="14"/>
      <c r="D20" s="14">
        <f>B20/C13</f>
        <v>650.86121157479852</v>
      </c>
      <c r="E20" s="14">
        <f>D20/E3</f>
        <v>237.05609395935261</v>
      </c>
    </row>
    <row r="21" spans="1:5" x14ac:dyDescent="0.3">
      <c r="D21" s="12">
        <f>SUM(D18:D20)</f>
        <v>1129.2103854181219</v>
      </c>
      <c r="E21" s="12">
        <f>SUM(E18:E20)</f>
        <v>411.28000634401292</v>
      </c>
    </row>
    <row r="25" spans="1:5" x14ac:dyDescent="0.3">
      <c r="A25" s="70" t="s">
        <v>436</v>
      </c>
      <c r="B25" s="70"/>
      <c r="C25" s="71"/>
      <c r="D25" s="24" t="s">
        <v>24</v>
      </c>
      <c r="E25" s="24" t="s">
        <v>31</v>
      </c>
    </row>
    <row r="26" spans="1:5" x14ac:dyDescent="0.3">
      <c r="A26" s="35" t="s">
        <v>238</v>
      </c>
      <c r="B26" s="14">
        <v>170960.66299520896</v>
      </c>
      <c r="C26" s="14"/>
      <c r="D26" s="14">
        <v>37.686749507360297</v>
      </c>
      <c r="E26" s="14">
        <v>13.804670149216227</v>
      </c>
    </row>
    <row r="27" spans="1:5" x14ac:dyDescent="0.3">
      <c r="A27" s="35" t="s">
        <v>239</v>
      </c>
      <c r="B27" s="14">
        <v>1847670.3793619799</v>
      </c>
      <c r="C27" s="14"/>
      <c r="D27" s="14">
        <v>407.30241412982656</v>
      </c>
      <c r="E27" s="14">
        <v>149.19502349077896</v>
      </c>
    </row>
    <row r="28" spans="1:5" x14ac:dyDescent="0.3">
      <c r="A28" s="35" t="s">
        <v>240</v>
      </c>
      <c r="B28" s="14">
        <v>2850672.0042014527</v>
      </c>
      <c r="C28" s="14"/>
      <c r="D28" s="14">
        <v>628.40515395635555</v>
      </c>
      <c r="E28" s="14">
        <v>230.18503807925111</v>
      </c>
    </row>
    <row r="29" spans="1:5" x14ac:dyDescent="0.3">
      <c r="D29" s="12">
        <v>1073.3943175935424</v>
      </c>
      <c r="E29" s="12">
        <v>393.18473171924632</v>
      </c>
    </row>
  </sheetData>
  <mergeCells count="2">
    <mergeCell ref="A1:E1"/>
    <mergeCell ref="A25:C25"/>
  </mergeCells>
  <pageMargins left="0.2" right="0.2" top="0.2" bottom="0.2" header="0.3" footer="0.3"/>
  <pageSetup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1"/>
  <sheetViews>
    <sheetView tabSelected="1" topLeftCell="A90" workbookViewId="0">
      <selection activeCell="B41" sqref="B41"/>
    </sheetView>
  </sheetViews>
  <sheetFormatPr defaultRowHeight="14.4" outlineLevelRow="1" x14ac:dyDescent="0.3"/>
  <cols>
    <col min="1" max="1" width="4.44140625" bestFit="1" customWidth="1"/>
    <col min="2" max="2" width="63.44140625" customWidth="1"/>
    <col min="3" max="3" width="9.6640625" customWidth="1"/>
    <col min="4" max="4" width="12.88671875" customWidth="1"/>
    <col min="5" max="5" width="14.109375" customWidth="1"/>
    <col min="6" max="6" width="10.88671875" customWidth="1"/>
    <col min="7" max="7" width="9.44140625" customWidth="1"/>
    <col min="8" max="8" width="17.44140625" bestFit="1" customWidth="1"/>
    <col min="9" max="10" width="10" customWidth="1"/>
    <col min="11" max="11" width="14.44140625" bestFit="1" customWidth="1"/>
    <col min="12" max="12" width="21.33203125" bestFit="1" customWidth="1"/>
  </cols>
  <sheetData>
    <row r="1" spans="1:11" x14ac:dyDescent="0.3">
      <c r="A1" s="69" t="s">
        <v>44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x14ac:dyDescent="0.3">
      <c r="A2" s="69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11" x14ac:dyDescent="0.3">
      <c r="A3" s="69" t="s">
        <v>430</v>
      </c>
      <c r="B3" s="69"/>
      <c r="C3" s="69"/>
      <c r="D3" s="69"/>
      <c r="E3" s="69"/>
      <c r="F3" s="69"/>
      <c r="G3" s="69"/>
      <c r="H3" s="69"/>
      <c r="I3" s="69"/>
      <c r="J3" s="69"/>
      <c r="K3" s="69"/>
    </row>
    <row r="4" spans="1:11" x14ac:dyDescent="0.3">
      <c r="A4" s="72" t="s">
        <v>26</v>
      </c>
      <c r="B4" s="72"/>
      <c r="C4" s="72"/>
      <c r="D4" s="72"/>
      <c r="E4" s="72"/>
      <c r="F4" s="72"/>
      <c r="G4" s="72"/>
      <c r="H4" s="72"/>
      <c r="I4" s="72"/>
      <c r="J4" s="72"/>
      <c r="K4" s="72"/>
    </row>
    <row r="5" spans="1:11" ht="17.25" customHeight="1" x14ac:dyDescent="0.35">
      <c r="B5" s="36"/>
      <c r="C5" s="36"/>
      <c r="D5" s="36"/>
      <c r="E5" s="37"/>
      <c r="F5" s="36"/>
      <c r="G5" s="36"/>
      <c r="H5" s="36"/>
      <c r="I5" s="73">
        <v>45969</v>
      </c>
      <c r="J5" s="73"/>
      <c r="K5" s="73"/>
    </row>
    <row r="6" spans="1:11" ht="51" customHeight="1" x14ac:dyDescent="0.3">
      <c r="A6" s="39" t="s">
        <v>0</v>
      </c>
      <c r="B6" s="39" t="s">
        <v>1</v>
      </c>
      <c r="C6" s="39" t="s">
        <v>2</v>
      </c>
      <c r="D6" s="39" t="s">
        <v>3</v>
      </c>
      <c r="E6" s="39" t="s">
        <v>4</v>
      </c>
      <c r="F6" s="39" t="s">
        <v>5</v>
      </c>
      <c r="G6" s="39" t="s">
        <v>6</v>
      </c>
      <c r="H6" s="39" t="s">
        <v>7</v>
      </c>
      <c r="I6" s="39" t="s">
        <v>33</v>
      </c>
      <c r="J6" s="39" t="s">
        <v>34</v>
      </c>
      <c r="K6" s="39" t="s">
        <v>8</v>
      </c>
    </row>
    <row r="7" spans="1:11" ht="14.4" customHeight="1" x14ac:dyDescent="0.3">
      <c r="A7" s="40">
        <v>1</v>
      </c>
      <c r="B7" s="40">
        <v>2</v>
      </c>
      <c r="C7" s="40">
        <v>3</v>
      </c>
      <c r="D7" s="40">
        <v>4</v>
      </c>
      <c r="E7" s="40">
        <v>5</v>
      </c>
      <c r="F7" s="40">
        <v>6</v>
      </c>
      <c r="G7" s="40">
        <v>7</v>
      </c>
      <c r="H7" s="40">
        <v>8</v>
      </c>
      <c r="I7" s="40">
        <v>9</v>
      </c>
      <c r="J7" s="40">
        <v>10</v>
      </c>
      <c r="K7" s="40">
        <v>11</v>
      </c>
    </row>
    <row r="8" spans="1:11" ht="17.25" customHeight="1" x14ac:dyDescent="0.3">
      <c r="A8" s="8"/>
      <c r="B8" s="41" t="s">
        <v>232</v>
      </c>
      <c r="C8" s="8"/>
      <c r="D8" s="8"/>
      <c r="E8" s="8"/>
      <c r="F8" s="8"/>
      <c r="G8" s="8"/>
      <c r="H8" s="8"/>
      <c r="I8" s="8"/>
      <c r="J8" s="8"/>
      <c r="K8" s="8"/>
    </row>
    <row r="9" spans="1:11" ht="16.8" customHeight="1" x14ac:dyDescent="0.3">
      <c r="A9" s="42">
        <v>1</v>
      </c>
      <c r="B9" s="23" t="s">
        <v>233</v>
      </c>
      <c r="C9" s="4" t="s">
        <v>10</v>
      </c>
      <c r="D9" s="1">
        <f>SUM(D10:D13)</f>
        <v>6124.9154999999992</v>
      </c>
      <c r="E9" s="1">
        <f>SUM(F10:F13)/D9</f>
        <v>0</v>
      </c>
      <c r="F9" s="1">
        <f>D9*E9</f>
        <v>0</v>
      </c>
      <c r="G9" s="1">
        <v>0</v>
      </c>
      <c r="H9" s="1">
        <f t="shared" ref="H9:H14" si="0">D9*G9</f>
        <v>0</v>
      </c>
      <c r="I9" s="1">
        <v>18.7</v>
      </c>
      <c r="J9" s="1">
        <f t="shared" ref="J9:J14" si="1">I9*D9</f>
        <v>114535.91984999998</v>
      </c>
      <c r="K9" s="1">
        <f t="shared" ref="K9:K14" si="2">F9+H9+J9</f>
        <v>114535.91984999998</v>
      </c>
    </row>
    <row r="10" spans="1:11" ht="17.25" hidden="1" customHeight="1" outlineLevel="1" x14ac:dyDescent="0.3">
      <c r="A10" s="42"/>
      <c r="B10" s="3" t="s">
        <v>234</v>
      </c>
      <c r="C10" s="4" t="s">
        <v>9</v>
      </c>
      <c r="D10" s="1">
        <f>20*68.5*2.3*1.3</f>
        <v>4096.2999999999993</v>
      </c>
      <c r="E10" s="1">
        <v>0</v>
      </c>
      <c r="F10" s="1">
        <v>0</v>
      </c>
      <c r="G10" s="1">
        <v>0</v>
      </c>
      <c r="H10" s="1">
        <f t="shared" si="0"/>
        <v>0</v>
      </c>
      <c r="I10" s="1">
        <v>0</v>
      </c>
      <c r="J10" s="1">
        <f t="shared" si="1"/>
        <v>0</v>
      </c>
      <c r="K10" s="1">
        <f t="shared" si="2"/>
        <v>0</v>
      </c>
    </row>
    <row r="11" spans="1:11" ht="17.25" hidden="1" customHeight="1" outlineLevel="1" x14ac:dyDescent="0.3">
      <c r="A11" s="42"/>
      <c r="B11" s="3" t="s">
        <v>437</v>
      </c>
      <c r="C11" s="4" t="s">
        <v>9</v>
      </c>
      <c r="D11" s="1">
        <f>70*15*1.5</f>
        <v>1575</v>
      </c>
      <c r="E11" s="1">
        <v>0</v>
      </c>
      <c r="F11" s="1">
        <v>0</v>
      </c>
      <c r="G11" s="1">
        <v>0</v>
      </c>
      <c r="H11" s="1">
        <f t="shared" ref="H11" si="3">D11*G11</f>
        <v>0</v>
      </c>
      <c r="I11" s="1">
        <v>0</v>
      </c>
      <c r="J11" s="1">
        <f t="shared" ref="J11" si="4">I11*D11</f>
        <v>0</v>
      </c>
      <c r="K11" s="1">
        <f t="shared" ref="K11" si="5">F11+H11+J11</f>
        <v>0</v>
      </c>
    </row>
    <row r="12" spans="1:11" ht="17.25" hidden="1" customHeight="1" outlineLevel="1" x14ac:dyDescent="0.3">
      <c r="A12" s="2"/>
      <c r="B12" s="3" t="s">
        <v>235</v>
      </c>
      <c r="C12" s="4" t="s">
        <v>9</v>
      </c>
      <c r="D12" s="1">
        <f>(4.7*4.5*1.5*1.3)*3</f>
        <v>123.72749999999999</v>
      </c>
      <c r="E12" s="1">
        <v>0</v>
      </c>
      <c r="F12" s="1">
        <f>D12*E12</f>
        <v>0</v>
      </c>
      <c r="G12" s="1">
        <v>0</v>
      </c>
      <c r="H12" s="1">
        <f t="shared" si="0"/>
        <v>0</v>
      </c>
      <c r="I12" s="1">
        <v>0</v>
      </c>
      <c r="J12" s="1">
        <f t="shared" si="1"/>
        <v>0</v>
      </c>
      <c r="K12" s="1">
        <f t="shared" si="2"/>
        <v>0</v>
      </c>
    </row>
    <row r="13" spans="1:11" ht="17.25" hidden="1" customHeight="1" outlineLevel="1" x14ac:dyDescent="0.3">
      <c r="A13" s="2"/>
      <c r="B13" s="3" t="s">
        <v>236</v>
      </c>
      <c r="C13" s="4" t="s">
        <v>9</v>
      </c>
      <c r="D13" s="1">
        <f>((2.6*2*1.9*2)+(2.6*2*2.7*2)+(2.6*2*3.8*2)+(2*2*8*0.9)+(2*2*8*1.7)+(2*2*8*2.6))*1.3</f>
        <v>329.88799999999998</v>
      </c>
      <c r="E13" s="1">
        <v>0</v>
      </c>
      <c r="F13" s="1">
        <f>D13*E13</f>
        <v>0</v>
      </c>
      <c r="G13" s="1">
        <v>0</v>
      </c>
      <c r="H13" s="1">
        <f t="shared" si="0"/>
        <v>0</v>
      </c>
      <c r="I13" s="1">
        <v>0</v>
      </c>
      <c r="J13" s="1">
        <f t="shared" si="1"/>
        <v>0</v>
      </c>
      <c r="K13" s="1">
        <f t="shared" si="2"/>
        <v>0</v>
      </c>
    </row>
    <row r="14" spans="1:11" ht="17.25" customHeight="1" collapsed="1" x14ac:dyDescent="0.3">
      <c r="A14" s="51">
        <v>2</v>
      </c>
      <c r="B14" s="23" t="s">
        <v>237</v>
      </c>
      <c r="C14" s="4" t="s">
        <v>358</v>
      </c>
      <c r="D14" s="1">
        <v>20</v>
      </c>
      <c r="E14" s="1">
        <v>0</v>
      </c>
      <c r="F14" s="1">
        <f>D14*E14</f>
        <v>0</v>
      </c>
      <c r="G14" s="1"/>
      <c r="H14" s="1">
        <f t="shared" si="0"/>
        <v>0</v>
      </c>
      <c r="I14" s="22">
        <f>1400/1.18</f>
        <v>1186.4406779661017</v>
      </c>
      <c r="J14" s="1">
        <f t="shared" si="1"/>
        <v>23728.813559322036</v>
      </c>
      <c r="K14" s="1">
        <f t="shared" si="2"/>
        <v>23728.813559322036</v>
      </c>
    </row>
    <row r="15" spans="1:11" ht="17.25" customHeight="1" x14ac:dyDescent="0.3">
      <c r="A15" s="2"/>
      <c r="B15" s="16" t="s">
        <v>8</v>
      </c>
      <c r="C15" s="4"/>
      <c r="D15" s="25"/>
      <c r="E15" s="25"/>
      <c r="F15" s="25">
        <f>F14+F9</f>
        <v>0</v>
      </c>
      <c r="G15" s="25"/>
      <c r="H15" s="25">
        <f>H14+H9</f>
        <v>0</v>
      </c>
      <c r="I15" s="25"/>
      <c r="J15" s="25">
        <f>J14+J9</f>
        <v>138264.73340932201</v>
      </c>
      <c r="K15" s="25">
        <f>K14+K9</f>
        <v>138264.73340932201</v>
      </c>
    </row>
    <row r="16" spans="1:11" ht="17.25" customHeight="1" x14ac:dyDescent="0.3">
      <c r="A16" s="2"/>
      <c r="B16" s="16" t="s">
        <v>15</v>
      </c>
      <c r="C16" s="17">
        <v>7.3999999999999996E-2</v>
      </c>
      <c r="D16" s="18"/>
      <c r="E16" s="19"/>
      <c r="F16" s="20"/>
      <c r="G16" s="18"/>
      <c r="H16" s="20"/>
      <c r="I16" s="20"/>
      <c r="J16" s="20"/>
      <c r="K16" s="20">
        <f>K15*C16</f>
        <v>10231.590272289828</v>
      </c>
    </row>
    <row r="17" spans="1:12" ht="17.25" customHeight="1" x14ac:dyDescent="0.3">
      <c r="A17" s="2"/>
      <c r="B17" s="16" t="s">
        <v>8</v>
      </c>
      <c r="C17" s="21"/>
      <c r="D17" s="18"/>
      <c r="E17" s="19"/>
      <c r="F17" s="20"/>
      <c r="G17" s="18"/>
      <c r="H17" s="22"/>
      <c r="I17" s="20"/>
      <c r="J17" s="20"/>
      <c r="K17" s="20">
        <f>SUM(K15:K16)</f>
        <v>148496.32368161183</v>
      </c>
    </row>
    <row r="18" spans="1:12" ht="17.25" customHeight="1" x14ac:dyDescent="0.3">
      <c r="A18" s="2"/>
      <c r="B18" s="16" t="s">
        <v>41</v>
      </c>
      <c r="C18" s="17">
        <v>0.03</v>
      </c>
      <c r="D18" s="18"/>
      <c r="E18" s="19"/>
      <c r="F18" s="22"/>
      <c r="G18" s="18"/>
      <c r="H18" s="22"/>
      <c r="I18" s="22"/>
      <c r="J18" s="22"/>
      <c r="K18" s="20">
        <f>K17*C18</f>
        <v>4454.8897104483549</v>
      </c>
    </row>
    <row r="19" spans="1:12" ht="17.25" customHeight="1" x14ac:dyDescent="0.3">
      <c r="A19" s="2"/>
      <c r="B19" s="16" t="s">
        <v>8</v>
      </c>
      <c r="C19" s="4"/>
      <c r="D19" s="18"/>
      <c r="E19" s="18"/>
      <c r="F19" s="22"/>
      <c r="G19" s="18"/>
      <c r="H19" s="22"/>
      <c r="I19" s="22"/>
      <c r="J19" s="22"/>
      <c r="K19" s="20">
        <f>SUM(K17:K18)</f>
        <v>152951.21339206019</v>
      </c>
    </row>
    <row r="20" spans="1:12" ht="17.25" customHeight="1" x14ac:dyDescent="0.3">
      <c r="A20" s="2"/>
      <c r="B20" s="16" t="s">
        <v>42</v>
      </c>
      <c r="C20" s="17">
        <v>3.5000000000000003E-2</v>
      </c>
      <c r="D20" s="18"/>
      <c r="E20" s="19"/>
      <c r="F20" s="22"/>
      <c r="G20" s="18"/>
      <c r="H20" s="22"/>
      <c r="I20" s="22"/>
      <c r="J20" s="22"/>
      <c r="K20" s="20">
        <f>K19*C20</f>
        <v>5353.2924687221075</v>
      </c>
    </row>
    <row r="21" spans="1:12" ht="17.25" customHeight="1" x14ac:dyDescent="0.3">
      <c r="A21" s="2"/>
      <c r="B21" s="16" t="s">
        <v>8</v>
      </c>
      <c r="C21" s="4"/>
      <c r="D21" s="18"/>
      <c r="E21" s="18"/>
      <c r="F21" s="22"/>
      <c r="G21" s="18"/>
      <c r="H21" s="22"/>
      <c r="I21" s="22"/>
      <c r="J21" s="22"/>
      <c r="K21" s="20">
        <f>SUM(K19:K20)</f>
        <v>158304.50586078229</v>
      </c>
    </row>
    <row r="22" spans="1:12" ht="17.25" customHeight="1" x14ac:dyDescent="0.3">
      <c r="A22" s="2"/>
      <c r="B22" s="16" t="s">
        <v>16</v>
      </c>
      <c r="C22" s="17">
        <v>0.14000000000000001</v>
      </c>
      <c r="D22" s="18"/>
      <c r="E22" s="19"/>
      <c r="F22" s="22"/>
      <c r="G22" s="18"/>
      <c r="H22" s="22"/>
      <c r="I22" s="22"/>
      <c r="J22" s="22"/>
      <c r="K22" s="20">
        <f>K21*C22</f>
        <v>22162.630820509523</v>
      </c>
    </row>
    <row r="23" spans="1:12" ht="17.25" customHeight="1" x14ac:dyDescent="0.3">
      <c r="A23" s="2"/>
      <c r="B23" s="16" t="s">
        <v>8</v>
      </c>
      <c r="C23" s="4"/>
      <c r="D23" s="18"/>
      <c r="E23" s="18"/>
      <c r="F23" s="22"/>
      <c r="G23" s="18"/>
      <c r="H23" s="22"/>
      <c r="I23" s="22"/>
      <c r="J23" s="22"/>
      <c r="K23" s="20">
        <f>SUM(K21:K22)</f>
        <v>180467.1366812918</v>
      </c>
    </row>
    <row r="24" spans="1:12" ht="17.25" customHeight="1" x14ac:dyDescent="0.3">
      <c r="A24" s="2"/>
      <c r="B24" s="16" t="s">
        <v>17</v>
      </c>
      <c r="C24" s="17">
        <v>0.18</v>
      </c>
      <c r="D24" s="18"/>
      <c r="E24" s="18"/>
      <c r="F24" s="22"/>
      <c r="G24" s="18"/>
      <c r="H24" s="22"/>
      <c r="I24" s="22"/>
      <c r="J24" s="22"/>
      <c r="K24" s="20">
        <f>K23*C24</f>
        <v>32484.084602632523</v>
      </c>
    </row>
    <row r="25" spans="1:12" ht="17.25" customHeight="1" x14ac:dyDescent="0.3">
      <c r="A25" s="2"/>
      <c r="B25" s="16" t="s">
        <v>18</v>
      </c>
      <c r="C25" s="4"/>
      <c r="D25" s="18"/>
      <c r="E25" s="18"/>
      <c r="F25" s="22"/>
      <c r="G25" s="18"/>
      <c r="H25" s="22"/>
      <c r="I25" s="22"/>
      <c r="J25" s="22"/>
      <c r="K25" s="20">
        <f>SUM(K23:K24)</f>
        <v>212951.22128392433</v>
      </c>
    </row>
    <row r="26" spans="1:12" ht="17.25" customHeight="1" x14ac:dyDescent="0.35">
      <c r="B26" s="36"/>
      <c r="C26" s="36"/>
      <c r="D26" s="36"/>
      <c r="E26" s="37"/>
      <c r="F26" s="36"/>
      <c r="G26" s="36"/>
      <c r="H26" s="36"/>
      <c r="I26" s="38"/>
      <c r="J26" s="38"/>
      <c r="K26" s="38"/>
    </row>
    <row r="27" spans="1:12" ht="36" customHeight="1" x14ac:dyDescent="0.3">
      <c r="A27" s="39" t="s">
        <v>0</v>
      </c>
      <c r="B27" s="39" t="s">
        <v>1</v>
      </c>
      <c r="C27" s="39" t="s">
        <v>2</v>
      </c>
      <c r="D27" s="39" t="s">
        <v>3</v>
      </c>
      <c r="E27" s="39" t="s">
        <v>4</v>
      </c>
      <c r="F27" s="39" t="s">
        <v>5</v>
      </c>
      <c r="G27" s="39" t="s">
        <v>6</v>
      </c>
      <c r="H27" s="39" t="s">
        <v>7</v>
      </c>
      <c r="I27" s="39" t="s">
        <v>33</v>
      </c>
      <c r="J27" s="39" t="s">
        <v>34</v>
      </c>
      <c r="K27" s="39" t="s">
        <v>8</v>
      </c>
    </row>
    <row r="28" spans="1:12" x14ac:dyDescent="0.3">
      <c r="A28" s="40">
        <v>1</v>
      </c>
      <c r="B28" s="40">
        <v>2</v>
      </c>
      <c r="C28" s="40">
        <v>3</v>
      </c>
      <c r="D28" s="40">
        <v>4</v>
      </c>
      <c r="E28" s="40">
        <v>5</v>
      </c>
      <c r="F28" s="40">
        <v>6</v>
      </c>
      <c r="G28" s="40">
        <v>7</v>
      </c>
      <c r="H28" s="40">
        <v>8</v>
      </c>
      <c r="I28" s="40">
        <v>9</v>
      </c>
      <c r="J28" s="40">
        <v>10</v>
      </c>
      <c r="K28" s="40">
        <v>11</v>
      </c>
    </row>
    <row r="29" spans="1:12" x14ac:dyDescent="0.3">
      <c r="A29" s="8"/>
      <c r="B29" s="41" t="s">
        <v>27</v>
      </c>
      <c r="C29" s="8"/>
      <c r="D29" s="8"/>
      <c r="E29" s="8"/>
      <c r="F29" s="8"/>
      <c r="G29" s="8"/>
      <c r="H29" s="8"/>
      <c r="I29" s="8"/>
      <c r="J29" s="8"/>
      <c r="K29" s="8"/>
    </row>
    <row r="30" spans="1:12" x14ac:dyDescent="0.3">
      <c r="A30" s="42">
        <v>1</v>
      </c>
      <c r="B30" s="23" t="s">
        <v>11</v>
      </c>
      <c r="C30" s="4" t="s">
        <v>10</v>
      </c>
      <c r="D30" s="1">
        <f>D31</f>
        <v>7571.646999999999</v>
      </c>
      <c r="E30" s="1">
        <f>SUM(F31:F42)/D30</f>
        <v>136.76513253873637</v>
      </c>
      <c r="F30" s="1">
        <f>D30*E30</f>
        <v>1035537.3054915254</v>
      </c>
      <c r="G30" s="1">
        <f>SUM(H31:H42)/D30</f>
        <v>64.800762139333756</v>
      </c>
      <c r="H30" s="1">
        <f t="shared" ref="H30:H38" si="6">D30*G30</f>
        <v>490648.49624999997</v>
      </c>
      <c r="I30" s="1">
        <f>SUM(J31:J42)/D30</f>
        <v>7.4784268697261469</v>
      </c>
      <c r="J30" s="1">
        <f>I30*D30</f>
        <v>56624.008372881362</v>
      </c>
      <c r="K30" s="1">
        <f t="shared" ref="K30:K47" si="7">F30+H30+J30</f>
        <v>1582809.810114407</v>
      </c>
    </row>
    <row r="31" spans="1:12" hidden="1" outlineLevel="1" x14ac:dyDescent="0.3">
      <c r="A31" s="42"/>
      <c r="B31" s="3" t="s">
        <v>35</v>
      </c>
      <c r="C31" s="4" t="s">
        <v>10</v>
      </c>
      <c r="D31" s="1">
        <f>სამუშაო!I111</f>
        <v>7571.646999999999</v>
      </c>
      <c r="E31" s="1"/>
      <c r="F31" s="1">
        <v>0</v>
      </c>
      <c r="G31" s="1">
        <f>ხელფასი!D3</f>
        <v>63.749999999999993</v>
      </c>
      <c r="H31" s="1">
        <f t="shared" si="6"/>
        <v>482692.49624999991</v>
      </c>
      <c r="I31" s="1"/>
      <c r="J31" s="1"/>
      <c r="K31" s="1">
        <f t="shared" si="7"/>
        <v>482692.49624999991</v>
      </c>
      <c r="L31" s="43"/>
    </row>
    <row r="32" spans="1:12" hidden="1" outlineLevel="1" x14ac:dyDescent="0.3">
      <c r="A32" s="2"/>
      <c r="B32" s="3" t="s">
        <v>195</v>
      </c>
      <c r="C32" s="4" t="s">
        <v>9</v>
      </c>
      <c r="D32" s="1">
        <f>117.5*1.02</f>
        <v>119.85000000000001</v>
      </c>
      <c r="E32" s="1">
        <f>მასალა!D5</f>
        <v>173.72881355932205</v>
      </c>
      <c r="F32" s="1">
        <f t="shared" ref="F32:F46" si="8">D32*E32</f>
        <v>20821.398305084749</v>
      </c>
      <c r="G32" s="1"/>
      <c r="H32" s="1">
        <f t="shared" si="6"/>
        <v>0</v>
      </c>
      <c r="I32" s="1">
        <f>1000/1.18</f>
        <v>847.45762711864415</v>
      </c>
      <c r="J32" s="1">
        <f>I32*6</f>
        <v>5084.7457627118647</v>
      </c>
      <c r="K32" s="1">
        <f t="shared" si="7"/>
        <v>25906.144067796613</v>
      </c>
    </row>
    <row r="33" spans="1:12" hidden="1" outlineLevel="1" x14ac:dyDescent="0.3">
      <c r="A33" s="2"/>
      <c r="B33" s="3" t="s">
        <v>38</v>
      </c>
      <c r="C33" s="4" t="s">
        <v>9</v>
      </c>
      <c r="D33" s="1">
        <f>1814.5*1.02</f>
        <v>1850.79</v>
      </c>
      <c r="E33" s="1">
        <f>მასალა!D6</f>
        <v>219.49152542372883</v>
      </c>
      <c r="F33" s="1">
        <f t="shared" si="8"/>
        <v>406232.72033898305</v>
      </c>
      <c r="G33" s="1"/>
      <c r="H33" s="1">
        <f t="shared" si="6"/>
        <v>0</v>
      </c>
      <c r="I33" s="1"/>
      <c r="J33" s="1"/>
      <c r="K33" s="1">
        <f t="shared" si="7"/>
        <v>406232.72033898305</v>
      </c>
    </row>
    <row r="34" spans="1:12" hidden="1" outlineLevel="1" x14ac:dyDescent="0.3">
      <c r="A34" s="2"/>
      <c r="B34" s="3" t="s">
        <v>45</v>
      </c>
      <c r="C34" s="4" t="s">
        <v>40</v>
      </c>
      <c r="D34" s="1">
        <v>312</v>
      </c>
      <c r="E34" s="1">
        <f>მასალა!D9</f>
        <v>98.305084745762713</v>
      </c>
      <c r="F34" s="1">
        <f t="shared" si="8"/>
        <v>30671.186440677968</v>
      </c>
      <c r="G34" s="1">
        <f>ხელფასი!D42</f>
        <v>25.5</v>
      </c>
      <c r="H34" s="1">
        <f t="shared" si="6"/>
        <v>7956</v>
      </c>
      <c r="I34" s="1">
        <v>8</v>
      </c>
      <c r="J34" s="1">
        <f>I34*D34</f>
        <v>2496</v>
      </c>
      <c r="K34" s="1">
        <f t="shared" si="7"/>
        <v>41123.186440677964</v>
      </c>
    </row>
    <row r="35" spans="1:12" hidden="1" outlineLevel="1" x14ac:dyDescent="0.3">
      <c r="A35" s="2"/>
      <c r="B35" s="3" t="s">
        <v>365</v>
      </c>
      <c r="C35" s="4" t="s">
        <v>40</v>
      </c>
      <c r="D35" s="1">
        <f>(3.1*16+4.2*8+4*4)*1.1</f>
        <v>109.12000000000002</v>
      </c>
      <c r="E35" s="1">
        <v>0</v>
      </c>
      <c r="F35" s="1">
        <f>D35*E35</f>
        <v>0</v>
      </c>
      <c r="G35" s="1">
        <v>0</v>
      </c>
      <c r="H35" s="1">
        <f>D35*G35</f>
        <v>0</v>
      </c>
      <c r="I35" s="1">
        <f>მომსახურება!D27</f>
        <v>177.96610169491527</v>
      </c>
      <c r="J35" s="1">
        <f>I35*D35+1500</f>
        <v>20919.661016949158</v>
      </c>
      <c r="K35" s="1">
        <f>F35+H35+J35</f>
        <v>20919.661016949158</v>
      </c>
    </row>
    <row r="36" spans="1:12" hidden="1" outlineLevel="1" x14ac:dyDescent="0.3">
      <c r="A36" s="2"/>
      <c r="B36" s="3" t="s">
        <v>43</v>
      </c>
      <c r="C36" s="4" t="s">
        <v>12</v>
      </c>
      <c r="D36" s="1">
        <f>18.8*1.05</f>
        <v>19.740000000000002</v>
      </c>
      <c r="E36" s="1">
        <f>მასალა!$D$7</f>
        <v>1931.2271186440678</v>
      </c>
      <c r="F36" s="1">
        <f t="shared" si="8"/>
        <v>38122.423322033901</v>
      </c>
      <c r="G36" s="1"/>
      <c r="H36" s="1">
        <f t="shared" si="6"/>
        <v>0</v>
      </c>
      <c r="I36" s="1"/>
      <c r="J36" s="1"/>
      <c r="K36" s="1">
        <f t="shared" si="7"/>
        <v>38122.423322033901</v>
      </c>
    </row>
    <row r="37" spans="1:12" hidden="1" outlineLevel="1" x14ac:dyDescent="0.3">
      <c r="A37" s="2"/>
      <c r="B37" s="3" t="s">
        <v>13</v>
      </c>
      <c r="C37" s="4" t="s">
        <v>12</v>
      </c>
      <c r="D37" s="50">
        <f>217.275*1.05</f>
        <v>228.13875000000002</v>
      </c>
      <c r="E37" s="1">
        <f>მასალა!$D$7</f>
        <v>1931.2271186440678</v>
      </c>
      <c r="F37" s="1">
        <f t="shared" si="8"/>
        <v>440587.74081355933</v>
      </c>
      <c r="G37" s="1"/>
      <c r="H37" s="1">
        <f t="shared" si="6"/>
        <v>0</v>
      </c>
      <c r="I37" s="1"/>
      <c r="J37" s="1"/>
      <c r="K37" s="1">
        <f t="shared" si="7"/>
        <v>440587.74081355933</v>
      </c>
    </row>
    <row r="38" spans="1:12" hidden="1" outlineLevel="1" x14ac:dyDescent="0.3">
      <c r="A38" s="2"/>
      <c r="B38" s="3" t="s">
        <v>408</v>
      </c>
      <c r="C38" s="4" t="s">
        <v>10</v>
      </c>
      <c r="D38" s="1">
        <f>$D$31</f>
        <v>7571.646999999999</v>
      </c>
      <c r="E38" s="1">
        <f>SUMIFS(მასალა!D3:D112,მასალა!B3:B112,ბიუჯეტი!B38)</f>
        <v>10.16949152542373</v>
      </c>
      <c r="F38" s="1">
        <f t="shared" si="8"/>
        <v>76999.8</v>
      </c>
      <c r="G38" s="1"/>
      <c r="H38" s="1">
        <f t="shared" si="6"/>
        <v>0</v>
      </c>
      <c r="I38" s="1"/>
      <c r="J38" s="1"/>
      <c r="K38" s="1">
        <f t="shared" si="7"/>
        <v>76999.8</v>
      </c>
    </row>
    <row r="39" spans="1:12" hidden="1" outlineLevel="1" x14ac:dyDescent="0.3">
      <c r="A39" s="2"/>
      <c r="B39" s="3" t="s">
        <v>363</v>
      </c>
      <c r="C39" s="4" t="s">
        <v>55</v>
      </c>
      <c r="D39" s="50">
        <f>D33*0.15</f>
        <v>277.61849999999998</v>
      </c>
      <c r="E39" s="1">
        <v>0</v>
      </c>
      <c r="F39" s="1">
        <f t="shared" ref="F39" si="9">D39*E39</f>
        <v>0</v>
      </c>
      <c r="G39" s="1"/>
      <c r="H39" s="1">
        <f t="shared" ref="H39" si="10">D39*G39</f>
        <v>0</v>
      </c>
      <c r="I39" s="1">
        <f>მომსახურება!D26</f>
        <v>42.372881355932208</v>
      </c>
      <c r="J39" s="1">
        <f>I39*D39</f>
        <v>11763.495762711866</v>
      </c>
      <c r="K39" s="1">
        <f t="shared" ref="K39" si="11">F39+H39+J39</f>
        <v>11763.495762711866</v>
      </c>
    </row>
    <row r="40" spans="1:12" hidden="1" outlineLevel="1" x14ac:dyDescent="0.3">
      <c r="A40" s="2"/>
      <c r="B40" s="3" t="s">
        <v>285</v>
      </c>
      <c r="C40" s="4" t="s">
        <v>55</v>
      </c>
      <c r="D40" s="1">
        <v>27</v>
      </c>
      <c r="E40" s="1">
        <v>0</v>
      </c>
      <c r="F40" s="1">
        <f t="shared" ref="F40" si="12">D40*E40</f>
        <v>0</v>
      </c>
      <c r="G40" s="1"/>
      <c r="H40" s="1">
        <f t="shared" ref="H40" si="13">D40*G40</f>
        <v>0</v>
      </c>
      <c r="I40" s="1">
        <f>მომსახურება!D25</f>
        <v>466.10169491525426</v>
      </c>
      <c r="J40" s="1">
        <f>I40*D40</f>
        <v>12584.745762711866</v>
      </c>
      <c r="K40" s="1">
        <f t="shared" ref="K40" si="14">F40+H40+J40</f>
        <v>12584.745762711866</v>
      </c>
    </row>
    <row r="41" spans="1:12" hidden="1" outlineLevel="1" x14ac:dyDescent="0.3">
      <c r="A41" s="42"/>
      <c r="B41" s="3" t="s">
        <v>256</v>
      </c>
      <c r="C41" s="4" t="s">
        <v>9</v>
      </c>
      <c r="D41" s="1">
        <f>64.5*15.8*0.12*1.02</f>
        <v>124.73784000000001</v>
      </c>
      <c r="E41" s="1">
        <f>მასალა!D4</f>
        <v>38.135593220338983</v>
      </c>
      <c r="F41" s="1">
        <f t="shared" ref="F41" si="15">D41*E41</f>
        <v>4756.9515254237294</v>
      </c>
      <c r="G41" s="1"/>
      <c r="H41" s="1">
        <f>G41*D41</f>
        <v>0</v>
      </c>
      <c r="I41" s="1">
        <f>7/1.18</f>
        <v>5.9322033898305087</v>
      </c>
      <c r="J41" s="1">
        <f>I41*D41</f>
        <v>739.97023728813565</v>
      </c>
      <c r="K41" s="1">
        <f t="shared" ref="K41" si="16">F41+H41+J41</f>
        <v>5496.9217627118651</v>
      </c>
      <c r="L41" s="43"/>
    </row>
    <row r="42" spans="1:12" hidden="1" outlineLevel="1" x14ac:dyDescent="0.3">
      <c r="A42" s="42"/>
      <c r="B42" s="3" t="s">
        <v>196</v>
      </c>
      <c r="C42" s="4" t="s">
        <v>9</v>
      </c>
      <c r="D42" s="1">
        <f>(65.5+16.5)*1.5*3.2*1.3</f>
        <v>511.68000000000006</v>
      </c>
      <c r="E42" s="1">
        <f>მასალა!D3</f>
        <v>33.898305084745765</v>
      </c>
      <c r="F42" s="1">
        <f t="shared" si="8"/>
        <v>17345.084745762713</v>
      </c>
      <c r="G42" s="1"/>
      <c r="H42" s="1">
        <f>G42*D42</f>
        <v>0</v>
      </c>
      <c r="I42" s="1">
        <f>7/1.18</f>
        <v>5.9322033898305087</v>
      </c>
      <c r="J42" s="1">
        <f>I42*D42</f>
        <v>3035.3898305084749</v>
      </c>
      <c r="K42" s="1">
        <f t="shared" si="7"/>
        <v>20380.47457627119</v>
      </c>
      <c r="L42" s="43"/>
    </row>
    <row r="43" spans="1:12" collapsed="1" x14ac:dyDescent="0.3">
      <c r="A43" s="51">
        <v>2</v>
      </c>
      <c r="B43" s="23" t="s">
        <v>247</v>
      </c>
      <c r="C43" s="4" t="s">
        <v>10</v>
      </c>
      <c r="D43" s="1">
        <f>(61.7+15.2)*3.65</f>
        <v>280.685</v>
      </c>
      <c r="E43" s="1">
        <f>SUM(F44:F46)/D43</f>
        <v>2.6271186440677967</v>
      </c>
      <c r="F43" s="1">
        <f t="shared" si="8"/>
        <v>737.39279661016951</v>
      </c>
      <c r="G43" s="1">
        <f>SUM(H44:H46)/D43</f>
        <v>0</v>
      </c>
      <c r="H43" s="1">
        <f>G43*D43</f>
        <v>0</v>
      </c>
      <c r="I43" s="1">
        <f>მომსახურება!D33</f>
        <v>53.389830508474581</v>
      </c>
      <c r="J43" s="1">
        <f>D43*I43</f>
        <v>14985.724576271188</v>
      </c>
      <c r="K43" s="1">
        <f t="shared" si="7"/>
        <v>15723.117372881357</v>
      </c>
      <c r="L43" s="43"/>
    </row>
    <row r="44" spans="1:12" hidden="1" outlineLevel="1" x14ac:dyDescent="0.3">
      <c r="A44" s="51"/>
      <c r="B44" s="23" t="s">
        <v>427</v>
      </c>
      <c r="C44" s="4" t="s">
        <v>10</v>
      </c>
      <c r="D44" s="1">
        <f>D43</f>
        <v>280.685</v>
      </c>
      <c r="E44" s="1"/>
      <c r="F44" s="1">
        <f t="shared" si="8"/>
        <v>0</v>
      </c>
      <c r="G44" s="1">
        <v>0</v>
      </c>
      <c r="H44" s="1">
        <f t="shared" ref="H44:H47" si="17">D44*G44</f>
        <v>0</v>
      </c>
      <c r="I44" s="1"/>
      <c r="J44" s="1">
        <f>D44*I44</f>
        <v>0</v>
      </c>
      <c r="K44" s="1">
        <f t="shared" si="7"/>
        <v>0</v>
      </c>
      <c r="L44" s="43"/>
    </row>
    <row r="45" spans="1:12" hidden="1" outlineLevel="1" x14ac:dyDescent="0.3">
      <c r="A45" s="51"/>
      <c r="B45" s="3" t="s">
        <v>359</v>
      </c>
      <c r="C45" s="4" t="s">
        <v>248</v>
      </c>
      <c r="D45" s="1">
        <f>D44*1.05</f>
        <v>294.71924999999999</v>
      </c>
      <c r="E45" s="1">
        <f>მასალა!D91</f>
        <v>1.6949152542372883</v>
      </c>
      <c r="F45" s="1">
        <f t="shared" ref="F45" si="18">D45*E45</f>
        <v>499.52415254237292</v>
      </c>
      <c r="G45" s="1"/>
      <c r="H45" s="1">
        <f t="shared" si="17"/>
        <v>0</v>
      </c>
      <c r="I45" s="1"/>
      <c r="J45" s="1"/>
      <c r="K45" s="1">
        <f>F45+H45</f>
        <v>499.52415254237292</v>
      </c>
      <c r="L45" s="43"/>
    </row>
    <row r="46" spans="1:12" hidden="1" outlineLevel="1" x14ac:dyDescent="0.3">
      <c r="A46" s="51"/>
      <c r="B46" s="3" t="s">
        <v>429</v>
      </c>
      <c r="C46" s="4" t="s">
        <v>10</v>
      </c>
      <c r="D46" s="1">
        <f>D44</f>
        <v>280.685</v>
      </c>
      <c r="E46" s="1">
        <f>მასალა!D95</f>
        <v>0.84745762711864414</v>
      </c>
      <c r="F46" s="1">
        <f t="shared" si="8"/>
        <v>237.86864406779662</v>
      </c>
      <c r="G46" s="1"/>
      <c r="H46" s="1">
        <f t="shared" si="17"/>
        <v>0</v>
      </c>
      <c r="I46" s="1"/>
      <c r="J46" s="1"/>
      <c r="K46" s="1">
        <f>F46+H46</f>
        <v>237.86864406779662</v>
      </c>
      <c r="L46" s="43"/>
    </row>
    <row r="47" spans="1:12" ht="17.25" customHeight="1" collapsed="1" x14ac:dyDescent="0.3">
      <c r="A47" s="51">
        <v>3</v>
      </c>
      <c r="B47" s="23" t="s">
        <v>37</v>
      </c>
      <c r="C47" s="4" t="s">
        <v>39</v>
      </c>
      <c r="D47" s="1">
        <v>2</v>
      </c>
      <c r="E47" s="1">
        <f>9500/1.18</f>
        <v>8050.8474576271192</v>
      </c>
      <c r="F47" s="1">
        <f>D47*E47</f>
        <v>16101.694915254238</v>
      </c>
      <c r="G47" s="1"/>
      <c r="H47" s="1">
        <f t="shared" si="17"/>
        <v>0</v>
      </c>
      <c r="I47" s="1">
        <f>9500/1.18</f>
        <v>8050.8474576271192</v>
      </c>
      <c r="J47" s="1">
        <f>I47*D47</f>
        <v>16101.694915254238</v>
      </c>
      <c r="K47" s="1">
        <f t="shared" si="7"/>
        <v>32203.389830508477</v>
      </c>
    </row>
    <row r="48" spans="1:12" ht="17.25" customHeight="1" x14ac:dyDescent="0.3">
      <c r="A48" s="51">
        <v>4</v>
      </c>
      <c r="B48" s="23" t="s">
        <v>29</v>
      </c>
      <c r="C48" s="4" t="s">
        <v>30</v>
      </c>
      <c r="D48" s="1">
        <v>60</v>
      </c>
      <c r="E48" s="1"/>
      <c r="F48" s="1">
        <f>D48*E48</f>
        <v>0</v>
      </c>
      <c r="G48" s="1">
        <f>4*80*1.275</f>
        <v>408</v>
      </c>
      <c r="H48" s="1">
        <f>G48*D48</f>
        <v>24480</v>
      </c>
      <c r="I48" s="1">
        <v>0</v>
      </c>
      <c r="J48" s="1">
        <v>0</v>
      </c>
      <c r="K48" s="1">
        <f>F48+H48</f>
        <v>24480</v>
      </c>
    </row>
    <row r="49" spans="1:12" ht="17.25" customHeight="1" x14ac:dyDescent="0.3">
      <c r="A49" s="2"/>
      <c r="B49" s="16" t="s">
        <v>8</v>
      </c>
      <c r="C49" s="4"/>
      <c r="D49" s="25"/>
      <c r="E49" s="25"/>
      <c r="F49" s="25">
        <f>F48+F47+F30+F43</f>
        <v>1052376.3932033898</v>
      </c>
      <c r="G49" s="25"/>
      <c r="H49" s="25">
        <f>H48+H47+H30+H43</f>
        <v>515128.49624999997</v>
      </c>
      <c r="I49" s="25"/>
      <c r="J49" s="25">
        <f>J48+J47+J30+J43</f>
        <v>87711.427864406782</v>
      </c>
      <c r="K49" s="25">
        <f>K48+K47+K30+K43</f>
        <v>1655216.3173177969</v>
      </c>
    </row>
    <row r="50" spans="1:12" ht="17.25" customHeight="1" x14ac:dyDescent="0.3">
      <c r="A50" s="2"/>
      <c r="B50" s="16" t="s">
        <v>15</v>
      </c>
      <c r="C50" s="17">
        <v>7.3999999999999996E-2</v>
      </c>
      <c r="D50" s="18"/>
      <c r="E50" s="19"/>
      <c r="F50" s="20"/>
      <c r="G50" s="18"/>
      <c r="H50" s="20"/>
      <c r="I50" s="20"/>
      <c r="J50" s="20"/>
      <c r="K50" s="20">
        <f>K49*C50</f>
        <v>122486.00748151696</v>
      </c>
    </row>
    <row r="51" spans="1:12" ht="17.25" customHeight="1" x14ac:dyDescent="0.3">
      <c r="A51" s="2"/>
      <c r="B51" s="16" t="s">
        <v>8</v>
      </c>
      <c r="C51" s="21"/>
      <c r="D51" s="18"/>
      <c r="E51" s="19"/>
      <c r="F51" s="20"/>
      <c r="G51" s="18"/>
      <c r="H51" s="22"/>
      <c r="I51" s="20"/>
      <c r="J51" s="20"/>
      <c r="K51" s="20">
        <f>SUM(K49:K50)</f>
        <v>1777702.3247993139</v>
      </c>
    </row>
    <row r="52" spans="1:12" ht="17.25" customHeight="1" x14ac:dyDescent="0.3">
      <c r="A52" s="2"/>
      <c r="B52" s="16" t="s">
        <v>41</v>
      </c>
      <c r="C52" s="17">
        <v>4.65E-2</v>
      </c>
      <c r="D52" s="18"/>
      <c r="E52" s="19"/>
      <c r="F52" s="22"/>
      <c r="G52" s="18"/>
      <c r="H52" s="22"/>
      <c r="I52" s="22"/>
      <c r="J52" s="22"/>
      <c r="K52" s="20">
        <f>K51*C52</f>
        <v>82663.158103168098</v>
      </c>
    </row>
    <row r="53" spans="1:12" ht="17.25" customHeight="1" x14ac:dyDescent="0.3">
      <c r="A53" s="2"/>
      <c r="B53" s="16" t="s">
        <v>8</v>
      </c>
      <c r="C53" s="4"/>
      <c r="D53" s="18"/>
      <c r="E53" s="18"/>
      <c r="F53" s="22"/>
      <c r="G53" s="18"/>
      <c r="H53" s="22"/>
      <c r="I53" s="22"/>
      <c r="J53" s="22"/>
      <c r="K53" s="20">
        <f>SUM(K51:K52)</f>
        <v>1860365.4829024819</v>
      </c>
    </row>
    <row r="54" spans="1:12" ht="17.25" customHeight="1" x14ac:dyDescent="0.3">
      <c r="A54" s="2"/>
      <c r="B54" s="16" t="s">
        <v>42</v>
      </c>
      <c r="C54" s="17">
        <v>3.5000000000000003E-2</v>
      </c>
      <c r="D54" s="18"/>
      <c r="E54" s="19"/>
      <c r="F54" s="22"/>
      <c r="G54" s="18"/>
      <c r="H54" s="22"/>
      <c r="I54" s="22"/>
      <c r="J54" s="22"/>
      <c r="K54" s="20">
        <f>K53*C54</f>
        <v>65112.791901586876</v>
      </c>
    </row>
    <row r="55" spans="1:12" ht="17.25" customHeight="1" x14ac:dyDescent="0.3">
      <c r="A55" s="2"/>
      <c r="B55" s="16" t="s">
        <v>8</v>
      </c>
      <c r="C55" s="4"/>
      <c r="D55" s="18"/>
      <c r="E55" s="18"/>
      <c r="F55" s="22"/>
      <c r="G55" s="18"/>
      <c r="H55" s="22"/>
      <c r="I55" s="22"/>
      <c r="J55" s="22"/>
      <c r="K55" s="20">
        <f>SUM(K53:K54)</f>
        <v>1925478.2748040687</v>
      </c>
    </row>
    <row r="56" spans="1:12" ht="17.25" customHeight="1" x14ac:dyDescent="0.3">
      <c r="A56" s="2"/>
      <c r="B56" s="16" t="s">
        <v>16</v>
      </c>
      <c r="C56" s="17">
        <v>0.16500000000000001</v>
      </c>
      <c r="D56" s="18"/>
      <c r="E56" s="19"/>
      <c r="F56" s="22"/>
      <c r="G56" s="18"/>
      <c r="H56" s="22"/>
      <c r="I56" s="22"/>
      <c r="J56" s="22"/>
      <c r="K56" s="20">
        <f>K55*C56</f>
        <v>317703.91534267133</v>
      </c>
    </row>
    <row r="57" spans="1:12" ht="17.25" customHeight="1" x14ac:dyDescent="0.3">
      <c r="A57" s="2"/>
      <c r="B57" s="16" t="s">
        <v>8</v>
      </c>
      <c r="C57" s="4"/>
      <c r="D57" s="18"/>
      <c r="E57" s="18"/>
      <c r="F57" s="22"/>
      <c r="G57" s="18"/>
      <c r="H57" s="22"/>
      <c r="I57" s="22"/>
      <c r="J57" s="22"/>
      <c r="K57" s="20">
        <f>SUM(K55:K56)</f>
        <v>2243182.1901467401</v>
      </c>
    </row>
    <row r="58" spans="1:12" ht="17.25" customHeight="1" x14ac:dyDescent="0.3">
      <c r="A58" s="2"/>
      <c r="B58" s="16" t="s">
        <v>17</v>
      </c>
      <c r="C58" s="17">
        <v>0.18</v>
      </c>
      <c r="D58" s="18"/>
      <c r="E58" s="18"/>
      <c r="F58" s="22"/>
      <c r="G58" s="18"/>
      <c r="H58" s="22"/>
      <c r="I58" s="22"/>
      <c r="J58" s="22"/>
      <c r="K58" s="20">
        <f>K57*C58</f>
        <v>403772.79422641319</v>
      </c>
    </row>
    <row r="59" spans="1:12" ht="17.25" customHeight="1" x14ac:dyDescent="0.3">
      <c r="A59" s="2"/>
      <c r="B59" s="16" t="s">
        <v>18</v>
      </c>
      <c r="C59" s="4"/>
      <c r="D59" s="18"/>
      <c r="E59" s="18"/>
      <c r="F59" s="22"/>
      <c r="G59" s="18"/>
      <c r="H59" s="22"/>
      <c r="I59" s="22"/>
      <c r="J59" s="22"/>
      <c r="K59" s="20">
        <f>SUM(K57:K58)</f>
        <v>2646954.9843731532</v>
      </c>
    </row>
    <row r="60" spans="1:12" x14ac:dyDescent="0.3">
      <c r="L60" s="43"/>
    </row>
    <row r="61" spans="1:12" x14ac:dyDescent="0.3">
      <c r="A61" s="44"/>
      <c r="B61" s="45" t="s">
        <v>46</v>
      </c>
      <c r="C61" s="44"/>
      <c r="D61" s="44"/>
      <c r="E61" s="44"/>
      <c r="F61" s="44"/>
      <c r="G61" s="44"/>
      <c r="H61" s="44"/>
      <c r="I61" s="44"/>
      <c r="J61" s="44"/>
      <c r="K61" s="44"/>
    </row>
    <row r="62" spans="1:12" x14ac:dyDescent="0.3">
      <c r="A62" s="51">
        <v>1</v>
      </c>
      <c r="B62" s="23" t="s">
        <v>47</v>
      </c>
      <c r="C62" s="4" t="s">
        <v>10</v>
      </c>
      <c r="D62" s="1">
        <f>SUM(,D63,D72,D81)</f>
        <v>4151.9690000000001</v>
      </c>
      <c r="E62" s="1">
        <f>SUM(F82:F89,F73:F80,F64:F71,)/D62</f>
        <v>27.127081185359391</v>
      </c>
      <c r="F62" s="1">
        <f t="shared" ref="F62:F136" si="19">D62*E62</f>
        <v>112630.80014209544</v>
      </c>
      <c r="G62" s="1">
        <f>SUM(H86,H81,H77,H72,H65,H63,)/D62</f>
        <v>24.242506123299574</v>
      </c>
      <c r="H62" s="1">
        <f>G62*D62</f>
        <v>100654.13390625</v>
      </c>
      <c r="I62" s="1">
        <v>0</v>
      </c>
      <c r="J62" s="1">
        <v>0</v>
      </c>
      <c r="K62" s="1">
        <f>F62+H62+J62</f>
        <v>213284.93404834543</v>
      </c>
    </row>
    <row r="63" spans="1:12" hidden="1" outlineLevel="1" x14ac:dyDescent="0.3">
      <c r="A63" s="51">
        <v>1</v>
      </c>
      <c r="B63" s="23" t="s">
        <v>255</v>
      </c>
      <c r="C63" s="4" t="s">
        <v>10</v>
      </c>
      <c r="D63" s="1">
        <f>სამუშაო!I4</f>
        <v>658.10799999999995</v>
      </c>
      <c r="E63" s="1"/>
      <c r="F63" s="1">
        <f t="shared" si="19"/>
        <v>0</v>
      </c>
      <c r="G63" s="1">
        <f>ხელფასი!D4</f>
        <v>23.90625</v>
      </c>
      <c r="H63" s="1">
        <f t="shared" ref="H63:H89" si="20">D63*G63</f>
        <v>15732.894374999998</v>
      </c>
      <c r="I63" s="1"/>
      <c r="J63" s="1"/>
      <c r="K63" s="1">
        <f t="shared" ref="K63:K89" si="21">F63+H63</f>
        <v>15732.894374999998</v>
      </c>
    </row>
    <row r="64" spans="1:12" hidden="1" outlineLevel="1" x14ac:dyDescent="0.3">
      <c r="A64" s="51"/>
      <c r="B64" s="3" t="s">
        <v>48</v>
      </c>
      <c r="C64" s="4" t="s">
        <v>49</v>
      </c>
      <c r="D64" s="1">
        <f>D63*13</f>
        <v>8555.4039999999986</v>
      </c>
      <c r="E64" s="1">
        <f>SUMIFS(მასალა!D3:D139,მასალა!B3:B139,ბიუჯეტი!B64)</f>
        <v>1.6694915254237288</v>
      </c>
      <c r="F64" s="1">
        <f t="shared" si="19"/>
        <v>14283.174474576268</v>
      </c>
      <c r="G64" s="1"/>
      <c r="H64" s="1">
        <f t="shared" si="20"/>
        <v>0</v>
      </c>
      <c r="I64" s="1"/>
      <c r="J64" s="1"/>
      <c r="K64" s="1">
        <f t="shared" si="21"/>
        <v>14283.174474576268</v>
      </c>
    </row>
    <row r="65" spans="1:11" hidden="1" outlineLevel="1" x14ac:dyDescent="0.3">
      <c r="A65" s="51"/>
      <c r="B65" s="3" t="s">
        <v>368</v>
      </c>
      <c r="C65" s="4" t="s">
        <v>40</v>
      </c>
      <c r="D65" s="1">
        <f>სამუშაო!H4</f>
        <v>3</v>
      </c>
      <c r="E65" s="1">
        <f>SUMIFS(მასალა!D4:D140,მასალა!B4:B140,ბიუჯეტი!B65)</f>
        <v>0</v>
      </c>
      <c r="F65" s="1">
        <f t="shared" si="19"/>
        <v>0</v>
      </c>
      <c r="G65" s="1">
        <f>ხელფასი!D6</f>
        <v>44.625</v>
      </c>
      <c r="H65" s="1">
        <f t="shared" si="20"/>
        <v>133.875</v>
      </c>
      <c r="I65" s="1"/>
      <c r="J65" s="1"/>
      <c r="K65" s="1">
        <f t="shared" si="21"/>
        <v>133.875</v>
      </c>
    </row>
    <row r="66" spans="1:11" hidden="1" outlineLevel="1" x14ac:dyDescent="0.3">
      <c r="A66" s="51"/>
      <c r="B66" s="3" t="s">
        <v>38</v>
      </c>
      <c r="C66" s="4" t="s">
        <v>244</v>
      </c>
      <c r="D66" s="1">
        <f>(D65+D68)*0.2*0.4*1.05</f>
        <v>0.58800000000000008</v>
      </c>
      <c r="E66" s="1">
        <f>SUMIFS(მასალა!D3:D141,მასალა!B3:B141,ბიუჯეტი!B66)</f>
        <v>219.49152542372883</v>
      </c>
      <c r="F66" s="1">
        <f>D66*E66</f>
        <v>129.06101694915256</v>
      </c>
      <c r="G66" s="1"/>
      <c r="H66" s="1">
        <f>D66*G66</f>
        <v>0</v>
      </c>
      <c r="I66" s="1"/>
      <c r="J66" s="1"/>
      <c r="K66" s="1">
        <f>F66+H66</f>
        <v>129.06101694915256</v>
      </c>
    </row>
    <row r="67" spans="1:11" hidden="1" outlineLevel="1" x14ac:dyDescent="0.3">
      <c r="A67" s="51"/>
      <c r="B67" s="3" t="s">
        <v>13</v>
      </c>
      <c r="C67" s="4" t="s">
        <v>250</v>
      </c>
      <c r="D67" s="1">
        <v>1.4999999999999999E-2</v>
      </c>
      <c r="E67" s="1">
        <f>SUMIFS(მასალა!D3:D142,მასალა!B3:B142,ბიუჯეტი!B67)</f>
        <v>0</v>
      </c>
      <c r="F67" s="1">
        <f>D67*E67</f>
        <v>0</v>
      </c>
      <c r="G67" s="1"/>
      <c r="H67" s="1">
        <f>D67*G67</f>
        <v>0</v>
      </c>
      <c r="I67" s="1"/>
      <c r="J67" s="1"/>
      <c r="K67" s="1">
        <f>F67+H67</f>
        <v>0</v>
      </c>
    </row>
    <row r="68" spans="1:11" hidden="1" outlineLevel="1" x14ac:dyDescent="0.3">
      <c r="A68" s="51"/>
      <c r="B68" s="3" t="s">
        <v>191</v>
      </c>
      <c r="C68" s="4" t="s">
        <v>190</v>
      </c>
      <c r="D68" s="1">
        <f>სამუშაო!G4</f>
        <v>4</v>
      </c>
      <c r="E68" s="1">
        <f>SUMIFS(მასალა!D4:D143,მასალა!B4:B143,ბიუჯეტი!B68)</f>
        <v>0</v>
      </c>
      <c r="F68" s="1">
        <f>D68*E68</f>
        <v>0</v>
      </c>
      <c r="G68" s="1"/>
      <c r="H68" s="1">
        <f>D68*G68</f>
        <v>0</v>
      </c>
      <c r="I68" s="1"/>
      <c r="J68" s="1"/>
      <c r="K68" s="1">
        <f>F68+H68</f>
        <v>0</v>
      </c>
    </row>
    <row r="69" spans="1:11" hidden="1" outlineLevel="1" x14ac:dyDescent="0.3">
      <c r="A69" s="51"/>
      <c r="B69" s="3" t="s">
        <v>50</v>
      </c>
      <c r="C69" s="4" t="s">
        <v>9</v>
      </c>
      <c r="D69" s="1">
        <f>D63*0.03*1.05</f>
        <v>20.730401999999998</v>
      </c>
      <c r="E69" s="1">
        <f>SUMIFS(მასალა!D3:D143,მასალა!B3:B143,ბიუჯეტი!B69)</f>
        <v>59.322033898305087</v>
      </c>
      <c r="F69" s="1">
        <f t="shared" si="19"/>
        <v>1229.7696101694914</v>
      </c>
      <c r="G69" s="1"/>
      <c r="H69" s="1">
        <f t="shared" si="20"/>
        <v>0</v>
      </c>
      <c r="I69" s="1"/>
      <c r="J69" s="1"/>
      <c r="K69" s="1">
        <f t="shared" si="21"/>
        <v>1229.7696101694914</v>
      </c>
    </row>
    <row r="70" spans="1:11" hidden="1" outlineLevel="1" x14ac:dyDescent="0.3">
      <c r="A70" s="51"/>
      <c r="B70" s="3" t="s">
        <v>51</v>
      </c>
      <c r="C70" s="4" t="s">
        <v>12</v>
      </c>
      <c r="D70" s="1">
        <f>D69/4*1.05</f>
        <v>5.4417305249999997</v>
      </c>
      <c r="E70" s="1">
        <f>SUMIFS(მასალა!D3:D144,მასალა!B3:B144,ბიუჯეტი!B70)</f>
        <v>265.47457627118644</v>
      </c>
      <c r="F70" s="1">
        <f t="shared" si="19"/>
        <v>1444.6411053063557</v>
      </c>
      <c r="G70" s="1"/>
      <c r="H70" s="1">
        <f t="shared" si="20"/>
        <v>0</v>
      </c>
      <c r="I70" s="1"/>
      <c r="J70" s="1"/>
      <c r="K70" s="1">
        <f t="shared" si="21"/>
        <v>1444.6411053063557</v>
      </c>
    </row>
    <row r="71" spans="1:11" hidden="1" outlineLevel="1" x14ac:dyDescent="0.3">
      <c r="A71" s="51"/>
      <c r="B71" s="3" t="s">
        <v>369</v>
      </c>
      <c r="C71" s="4" t="s">
        <v>10</v>
      </c>
      <c r="D71" s="1">
        <f>D63</f>
        <v>658.10799999999995</v>
      </c>
      <c r="E71" s="1">
        <f>SUMIFS(მასალა!D9:D145,მასალა!B9:B145,ბიუჯეტი!B71)</f>
        <v>0.84745762711864414</v>
      </c>
      <c r="F71" s="1">
        <f t="shared" si="19"/>
        <v>557.71864406779662</v>
      </c>
      <c r="G71" s="1"/>
      <c r="H71" s="1">
        <f t="shared" si="20"/>
        <v>0</v>
      </c>
      <c r="I71" s="1"/>
      <c r="J71" s="1"/>
      <c r="K71" s="1">
        <f t="shared" si="21"/>
        <v>557.71864406779662</v>
      </c>
    </row>
    <row r="72" spans="1:11" hidden="1" outlineLevel="1" x14ac:dyDescent="0.3">
      <c r="A72" s="51">
        <v>2</v>
      </c>
      <c r="B72" s="23" t="s">
        <v>52</v>
      </c>
      <c r="C72" s="4" t="s">
        <v>10</v>
      </c>
      <c r="D72" s="1">
        <f>სამუშაო!I5</f>
        <v>917.83000000000015</v>
      </c>
      <c r="E72" s="1"/>
      <c r="F72" s="1">
        <f t="shared" si="19"/>
        <v>0</v>
      </c>
      <c r="G72" s="1">
        <f>ხელფასი!D4</f>
        <v>23.90625</v>
      </c>
      <c r="H72" s="1">
        <f t="shared" si="20"/>
        <v>21941.873437500002</v>
      </c>
      <c r="I72" s="1"/>
      <c r="J72" s="1"/>
      <c r="K72" s="1">
        <f t="shared" si="21"/>
        <v>21941.873437500002</v>
      </c>
    </row>
    <row r="73" spans="1:11" hidden="1" outlineLevel="1" x14ac:dyDescent="0.3">
      <c r="A73" s="51"/>
      <c r="B73" s="3" t="s">
        <v>48</v>
      </c>
      <c r="C73" s="4" t="s">
        <v>49</v>
      </c>
      <c r="D73" s="1">
        <f>D72*13</f>
        <v>11931.790000000003</v>
      </c>
      <c r="E73" s="1">
        <f>SUMIFS(მასალა!D3:D147,მასალა!B3:B147,ბიუჯეტი!B73)</f>
        <v>1.6694915254237288</v>
      </c>
      <c r="F73" s="1">
        <f t="shared" si="19"/>
        <v>19920.022288135599</v>
      </c>
      <c r="G73" s="1"/>
      <c r="H73" s="1">
        <f t="shared" si="20"/>
        <v>0</v>
      </c>
      <c r="I73" s="1"/>
      <c r="J73" s="1"/>
      <c r="K73" s="1">
        <f t="shared" si="21"/>
        <v>19920.022288135599</v>
      </c>
    </row>
    <row r="74" spans="1:11" hidden="1" outlineLevel="1" x14ac:dyDescent="0.3">
      <c r="A74" s="51"/>
      <c r="B74" s="3" t="s">
        <v>368</v>
      </c>
      <c r="C74" s="4" t="s">
        <v>40</v>
      </c>
      <c r="D74" s="1">
        <f>სამუშაო!H5</f>
        <v>41.000000000000007</v>
      </c>
      <c r="E74" s="1">
        <f>SUMIFS(მასალა!D4:D148,მასალა!B4:B148,ბიუჯეტი!B74)</f>
        <v>0</v>
      </c>
      <c r="F74" s="1">
        <f>D74*E74</f>
        <v>0</v>
      </c>
      <c r="G74" s="1">
        <f>ხელფასი!D6</f>
        <v>44.625</v>
      </c>
      <c r="H74" s="1">
        <f>D74*G74</f>
        <v>1829.6250000000002</v>
      </c>
      <c r="I74" s="1"/>
      <c r="J74" s="1"/>
      <c r="K74" s="1">
        <f>F74+H74</f>
        <v>1829.6250000000002</v>
      </c>
    </row>
    <row r="75" spans="1:11" hidden="1" outlineLevel="1" x14ac:dyDescent="0.3">
      <c r="A75" s="51"/>
      <c r="B75" s="3" t="s">
        <v>38</v>
      </c>
      <c r="C75" s="4" t="s">
        <v>244</v>
      </c>
      <c r="D75" s="1">
        <f>(D74+D77)*0.2*0.2*1.05</f>
        <v>2.4150000000000005</v>
      </c>
      <c r="E75" s="1">
        <f>SUMIFS(მასალა!D5:D149,მასალა!B5:B149,ბიუჯეტი!B75)</f>
        <v>219.49152542372883</v>
      </c>
      <c r="F75" s="1">
        <f>D75*E75</f>
        <v>530.07203389830522</v>
      </c>
      <c r="G75" s="1"/>
      <c r="H75" s="1">
        <f>D75*G75</f>
        <v>0</v>
      </c>
      <c r="I75" s="1"/>
      <c r="J75" s="1"/>
      <c r="K75" s="1">
        <f>F75+H75</f>
        <v>530.07203389830522</v>
      </c>
    </row>
    <row r="76" spans="1:11" hidden="1" outlineLevel="1" x14ac:dyDescent="0.3">
      <c r="A76" s="51"/>
      <c r="B76" s="3" t="s">
        <v>13</v>
      </c>
      <c r="C76" s="4" t="s">
        <v>250</v>
      </c>
      <c r="D76" s="1">
        <v>0.06</v>
      </c>
      <c r="E76" s="1">
        <f>SUMIFS(მასალა!D6:D150,მასალა!B6:B150,ბიუჯეტი!B76)</f>
        <v>0</v>
      </c>
      <c r="F76" s="1">
        <f>D76*E76</f>
        <v>0</v>
      </c>
      <c r="G76" s="1"/>
      <c r="H76" s="1">
        <f>D76*G76</f>
        <v>0</v>
      </c>
      <c r="I76" s="1"/>
      <c r="J76" s="1"/>
      <c r="K76" s="1">
        <f>F76+H76</f>
        <v>0</v>
      </c>
    </row>
    <row r="77" spans="1:11" hidden="1" outlineLevel="1" x14ac:dyDescent="0.3">
      <c r="A77" s="51"/>
      <c r="B77" s="3" t="s">
        <v>191</v>
      </c>
      <c r="C77" s="4" t="s">
        <v>190</v>
      </c>
      <c r="D77" s="1">
        <f>სამუშაო!G5</f>
        <v>16.5</v>
      </c>
      <c r="E77" s="1">
        <f>SUMIFS(მასალა!D7:D151,მასალა!B7:B151,ბიუჯეტი!B77)</f>
        <v>0</v>
      </c>
      <c r="F77" s="1">
        <f t="shared" si="19"/>
        <v>0</v>
      </c>
      <c r="G77" s="1">
        <f>ხელფასი!D5</f>
        <v>19.125</v>
      </c>
      <c r="H77" s="1">
        <f t="shared" si="20"/>
        <v>315.5625</v>
      </c>
      <c r="I77" s="1"/>
      <c r="J77" s="1"/>
      <c r="K77" s="1">
        <f t="shared" si="21"/>
        <v>315.5625</v>
      </c>
    </row>
    <row r="78" spans="1:11" hidden="1" outlineLevel="1" x14ac:dyDescent="0.3">
      <c r="A78" s="51"/>
      <c r="B78" s="3" t="s">
        <v>50</v>
      </c>
      <c r="C78" s="4" t="s">
        <v>9</v>
      </c>
      <c r="D78" s="1">
        <f>D72*0.03*1.05</f>
        <v>28.911645000000004</v>
      </c>
      <c r="E78" s="1">
        <f>SUMIFS(მასალა!D8:D152,მასალა!B8:B152,ბიუჯეტი!B78)</f>
        <v>59.322033898305087</v>
      </c>
      <c r="F78" s="1">
        <f t="shared" si="19"/>
        <v>1715.097584745763</v>
      </c>
      <c r="G78" s="1"/>
      <c r="H78" s="1">
        <f t="shared" si="20"/>
        <v>0</v>
      </c>
      <c r="I78" s="1"/>
      <c r="J78" s="1"/>
      <c r="K78" s="1">
        <f t="shared" si="21"/>
        <v>1715.097584745763</v>
      </c>
    </row>
    <row r="79" spans="1:11" hidden="1" outlineLevel="1" x14ac:dyDescent="0.3">
      <c r="A79" s="51"/>
      <c r="B79" s="3" t="s">
        <v>51</v>
      </c>
      <c r="C79" s="4" t="s">
        <v>12</v>
      </c>
      <c r="D79" s="1">
        <f>D78/4*1.05</f>
        <v>7.5893068125000012</v>
      </c>
      <c r="E79" s="1">
        <f>SUMIFS(მასალა!D9:D153,მასალა!B9:B153,ბიუჯეტი!B79)</f>
        <v>265.47457627118644</v>
      </c>
      <c r="F79" s="1">
        <f t="shared" si="19"/>
        <v>2014.7680102404663</v>
      </c>
      <c r="G79" s="1"/>
      <c r="H79" s="1">
        <f t="shared" si="20"/>
        <v>0</v>
      </c>
      <c r="I79" s="1"/>
      <c r="J79" s="1"/>
      <c r="K79" s="1">
        <f t="shared" si="21"/>
        <v>2014.7680102404663</v>
      </c>
    </row>
    <row r="80" spans="1:11" hidden="1" outlineLevel="1" x14ac:dyDescent="0.3">
      <c r="A80" s="51"/>
      <c r="B80" s="3" t="s">
        <v>369</v>
      </c>
      <c r="C80" s="4" t="s">
        <v>10</v>
      </c>
      <c r="D80" s="1">
        <f>D72</f>
        <v>917.83000000000015</v>
      </c>
      <c r="E80" s="1">
        <f>SUMIFS(მასალა!D10:D154,მასალა!B10:B154,ბიუჯეტი!B80)</f>
        <v>0.84745762711864414</v>
      </c>
      <c r="F80" s="1">
        <f t="shared" si="19"/>
        <v>777.82203389830534</v>
      </c>
      <c r="G80" s="1"/>
      <c r="H80" s="1">
        <f t="shared" si="20"/>
        <v>0</v>
      </c>
      <c r="I80" s="1"/>
      <c r="J80" s="1"/>
      <c r="K80" s="1">
        <f t="shared" si="21"/>
        <v>777.82203389830534</v>
      </c>
    </row>
    <row r="81" spans="1:12" hidden="1" outlineLevel="1" x14ac:dyDescent="0.3">
      <c r="A81" s="51">
        <v>3</v>
      </c>
      <c r="B81" s="23" t="s">
        <v>156</v>
      </c>
      <c r="C81" s="4" t="s">
        <v>10</v>
      </c>
      <c r="D81" s="1">
        <f>სამუშაო!I6+სამუშაო!I7+სამუშაო!I8</f>
        <v>2576.0309999999999</v>
      </c>
      <c r="E81" s="1"/>
      <c r="F81" s="1">
        <f t="shared" si="19"/>
        <v>0</v>
      </c>
      <c r="G81" s="1">
        <f>ხელფასი!D4</f>
        <v>23.90625</v>
      </c>
      <c r="H81" s="1">
        <f t="shared" si="20"/>
        <v>61583.241093749995</v>
      </c>
      <c r="I81" s="1"/>
      <c r="J81" s="1"/>
      <c r="K81" s="1">
        <f t="shared" si="21"/>
        <v>61583.241093749995</v>
      </c>
    </row>
    <row r="82" spans="1:12" hidden="1" outlineLevel="1" x14ac:dyDescent="0.3">
      <c r="A82" s="51"/>
      <c r="B82" s="3" t="s">
        <v>48</v>
      </c>
      <c r="C82" s="4" t="s">
        <v>49</v>
      </c>
      <c r="D82" s="1">
        <f>D81*13</f>
        <v>33488.402999999998</v>
      </c>
      <c r="E82" s="1">
        <f>SUMIFS(მასალა!D1:D156,მასალა!B1:B156,ბიუჯეტი!B82)</f>
        <v>1.6694915254237288</v>
      </c>
      <c r="F82" s="1">
        <f t="shared" si="19"/>
        <v>55908.605008474573</v>
      </c>
      <c r="G82" s="1"/>
      <c r="H82" s="1">
        <f t="shared" si="20"/>
        <v>0</v>
      </c>
      <c r="I82" s="1"/>
      <c r="J82" s="1"/>
      <c r="K82" s="1">
        <f t="shared" si="21"/>
        <v>55908.605008474573</v>
      </c>
    </row>
    <row r="83" spans="1:12" hidden="1" outlineLevel="1" x14ac:dyDescent="0.3">
      <c r="A83" s="51"/>
      <c r="B83" s="3" t="s">
        <v>368</v>
      </c>
      <c r="C83" s="4" t="s">
        <v>40</v>
      </c>
      <c r="D83" s="1">
        <f>სამუშაო!H6+სამუშაო!H7+სამუშაო!H8</f>
        <v>109.80000000000001</v>
      </c>
      <c r="E83" s="1">
        <f>SUMIFS(მასალა!D2:D157,მასალა!B2:B157,ბიუჯეტი!B83)</f>
        <v>0</v>
      </c>
      <c r="F83" s="1">
        <f t="shared" si="19"/>
        <v>0</v>
      </c>
      <c r="G83" s="1">
        <f>ხელფასი!D6</f>
        <v>44.625</v>
      </c>
      <c r="H83" s="1">
        <f t="shared" si="20"/>
        <v>4899.8250000000007</v>
      </c>
      <c r="I83" s="1"/>
      <c r="J83" s="1"/>
      <c r="K83" s="1">
        <f t="shared" si="21"/>
        <v>4899.8250000000007</v>
      </c>
    </row>
    <row r="84" spans="1:12" hidden="1" outlineLevel="1" x14ac:dyDescent="0.3">
      <c r="A84" s="51"/>
      <c r="B84" s="3" t="s">
        <v>38</v>
      </c>
      <c r="C84" s="4" t="s">
        <v>244</v>
      </c>
      <c r="D84" s="1">
        <f>(D83+D86)*0.2*0.2*1.05</f>
        <v>6.6906000000000008</v>
      </c>
      <c r="E84" s="1">
        <f>SUMIFS(მასალა!D3:D158,მასალა!B3:B158,ბიუჯეტი!B84)</f>
        <v>219.49152542372883</v>
      </c>
      <c r="F84" s="1">
        <f t="shared" si="19"/>
        <v>1468.5300000000002</v>
      </c>
      <c r="G84" s="1"/>
      <c r="H84" s="1">
        <f t="shared" si="20"/>
        <v>0</v>
      </c>
      <c r="I84" s="1"/>
      <c r="J84" s="1"/>
      <c r="K84" s="1">
        <f t="shared" si="21"/>
        <v>1468.5300000000002</v>
      </c>
    </row>
    <row r="85" spans="1:12" hidden="1" outlineLevel="1" x14ac:dyDescent="0.3">
      <c r="A85" s="51"/>
      <c r="B85" s="3" t="s">
        <v>13</v>
      </c>
      <c r="C85" s="4" t="s">
        <v>250</v>
      </c>
      <c r="D85" s="1">
        <v>0.3</v>
      </c>
      <c r="E85" s="1">
        <f>SUMIFS(მასალა!D3:D159,მასალა!B3:B159,ბიუჯეტი!B85)</f>
        <v>0</v>
      </c>
      <c r="F85" s="1">
        <f t="shared" si="19"/>
        <v>0</v>
      </c>
      <c r="G85" s="1"/>
      <c r="H85" s="1">
        <f t="shared" si="20"/>
        <v>0</v>
      </c>
      <c r="I85" s="1"/>
      <c r="J85" s="1"/>
      <c r="K85" s="1">
        <f t="shared" si="21"/>
        <v>0</v>
      </c>
    </row>
    <row r="86" spans="1:12" hidden="1" outlineLevel="1" x14ac:dyDescent="0.3">
      <c r="A86" s="51"/>
      <c r="B86" s="3" t="s">
        <v>191</v>
      </c>
      <c r="C86" s="4" t="s">
        <v>190</v>
      </c>
      <c r="D86" s="1">
        <f>სამუშაო!G6+სამუშაო!G7+სამუშაო!G8</f>
        <v>49.5</v>
      </c>
      <c r="E86" s="1">
        <f>SUMIFS(მასალა!D5:D160,მასალა!B5:B160,ბიუჯეტი!B86)</f>
        <v>0</v>
      </c>
      <c r="F86" s="1">
        <f t="shared" si="19"/>
        <v>0</v>
      </c>
      <c r="G86" s="1">
        <f>ხელფასი!D5</f>
        <v>19.125</v>
      </c>
      <c r="H86" s="1">
        <f t="shared" si="20"/>
        <v>946.6875</v>
      </c>
      <c r="I86" s="1"/>
      <c r="J86" s="1"/>
      <c r="K86" s="1">
        <f t="shared" si="21"/>
        <v>946.6875</v>
      </c>
    </row>
    <row r="87" spans="1:12" hidden="1" outlineLevel="1" x14ac:dyDescent="0.3">
      <c r="A87" s="51"/>
      <c r="B87" s="3" t="s">
        <v>50</v>
      </c>
      <c r="C87" s="4" t="s">
        <v>9</v>
      </c>
      <c r="D87" s="1">
        <f>D81*0.03*1.05</f>
        <v>81.144976499999999</v>
      </c>
      <c r="E87" s="1">
        <f>SUMIFS(მასალა!D3:D161,მასალა!B3:B161,ბიუჯეტი!B87)</f>
        <v>59.322033898305087</v>
      </c>
      <c r="F87" s="1">
        <f t="shared" si="19"/>
        <v>4813.6850466101696</v>
      </c>
      <c r="G87" s="1"/>
      <c r="H87" s="1">
        <f t="shared" si="20"/>
        <v>0</v>
      </c>
      <c r="I87" s="1"/>
      <c r="J87" s="1"/>
      <c r="K87" s="1">
        <f t="shared" si="21"/>
        <v>4813.6850466101696</v>
      </c>
    </row>
    <row r="88" spans="1:12" hidden="1" outlineLevel="1" x14ac:dyDescent="0.3">
      <c r="A88" s="51"/>
      <c r="B88" s="3" t="s">
        <v>51</v>
      </c>
      <c r="C88" s="4" t="s">
        <v>12</v>
      </c>
      <c r="D88" s="1">
        <f>D87/4*1.05</f>
        <v>21.30055633125</v>
      </c>
      <c r="E88" s="1">
        <f>SUMIFS(მასალა!D3:D162,მასალა!B3:B162,ბიუჯეტი!B88)</f>
        <v>265.47457627118644</v>
      </c>
      <c r="F88" s="1">
        <f t="shared" si="19"/>
        <v>5654.7561663791312</v>
      </c>
      <c r="G88" s="1"/>
      <c r="H88" s="1">
        <f t="shared" si="20"/>
        <v>0</v>
      </c>
      <c r="I88" s="1"/>
      <c r="J88" s="1"/>
      <c r="K88" s="1">
        <f t="shared" si="21"/>
        <v>5654.7561663791312</v>
      </c>
    </row>
    <row r="89" spans="1:12" hidden="1" outlineLevel="1" x14ac:dyDescent="0.3">
      <c r="A89" s="51"/>
      <c r="B89" s="3" t="s">
        <v>369</v>
      </c>
      <c r="C89" s="4" t="s">
        <v>10</v>
      </c>
      <c r="D89" s="1">
        <f>D81</f>
        <v>2576.0309999999999</v>
      </c>
      <c r="E89" s="1">
        <f>SUMIFS(მასალა!D3:D163,მასალა!B3:B163,ბიუჯეტი!B89)</f>
        <v>0.84745762711864414</v>
      </c>
      <c r="F89" s="1">
        <f t="shared" si="19"/>
        <v>2183.0771186440679</v>
      </c>
      <c r="G89" s="1"/>
      <c r="H89" s="1">
        <f t="shared" si="20"/>
        <v>0</v>
      </c>
      <c r="I89" s="1"/>
      <c r="J89" s="1"/>
      <c r="K89" s="1">
        <f t="shared" si="21"/>
        <v>2183.0771186440679</v>
      </c>
    </row>
    <row r="90" spans="1:12" collapsed="1" x14ac:dyDescent="0.3">
      <c r="A90" s="51">
        <v>2</v>
      </c>
      <c r="B90" s="23" t="s">
        <v>252</v>
      </c>
      <c r="C90" s="4" t="s">
        <v>10</v>
      </c>
      <c r="D90" s="1">
        <f>SUM(D91,D92,D93)</f>
        <v>592.40000000000009</v>
      </c>
      <c r="E90" s="1">
        <f>SUM(F91:F93)/D90</f>
        <v>0</v>
      </c>
      <c r="F90" s="1">
        <f t="shared" si="19"/>
        <v>0</v>
      </c>
      <c r="G90" s="1">
        <f>SUM(H91:H93)/D90</f>
        <v>0</v>
      </c>
      <c r="H90" s="1">
        <f>G90*D90</f>
        <v>0</v>
      </c>
      <c r="I90" s="1">
        <f>SUM(J91:J93)/D90</f>
        <v>301.86440677966107</v>
      </c>
      <c r="J90" s="1">
        <f>I90*D90</f>
        <v>178824.47457627126</v>
      </c>
      <c r="K90" s="1">
        <f t="shared" ref="K90:K153" si="22">F90+H90+J90</f>
        <v>178824.47457627126</v>
      </c>
      <c r="L90" s="43"/>
    </row>
    <row r="91" spans="1:12" hidden="1" outlineLevel="1" x14ac:dyDescent="0.3">
      <c r="A91" s="64">
        <v>1</v>
      </c>
      <c r="B91" s="3" t="s">
        <v>158</v>
      </c>
      <c r="C91" s="4" t="s">
        <v>10</v>
      </c>
      <c r="D91" s="1">
        <f>სამუშაო!I14</f>
        <v>17.28</v>
      </c>
      <c r="E91" s="1"/>
      <c r="F91" s="1">
        <f t="shared" si="19"/>
        <v>0</v>
      </c>
      <c r="G91" s="1"/>
      <c r="H91" s="1">
        <f>D91*G91</f>
        <v>0</v>
      </c>
      <c r="I91" s="1">
        <f>მომსახურება!D3</f>
        <v>301.86440677966107</v>
      </c>
      <c r="J91" s="1">
        <f>I91*D91</f>
        <v>5216.2169491525437</v>
      </c>
      <c r="K91" s="1">
        <f t="shared" si="22"/>
        <v>5216.2169491525437</v>
      </c>
    </row>
    <row r="92" spans="1:12" hidden="1" outlineLevel="1" x14ac:dyDescent="0.3">
      <c r="A92" s="64">
        <v>2</v>
      </c>
      <c r="B92" s="3" t="s">
        <v>312</v>
      </c>
      <c r="C92" s="4" t="s">
        <v>10</v>
      </c>
      <c r="D92" s="1">
        <f>სამუშაო!I15</f>
        <v>118.16</v>
      </c>
      <c r="E92" s="1"/>
      <c r="F92" s="1">
        <f t="shared" si="19"/>
        <v>0</v>
      </c>
      <c r="G92" s="1"/>
      <c r="H92" s="1">
        <f>D92*G92</f>
        <v>0</v>
      </c>
      <c r="I92" s="1">
        <f>მომსახურება!D3</f>
        <v>301.86440677966107</v>
      </c>
      <c r="J92" s="1">
        <f>I92*D92</f>
        <v>35668.298305084754</v>
      </c>
      <c r="K92" s="1">
        <f t="shared" si="22"/>
        <v>35668.298305084754</v>
      </c>
    </row>
    <row r="93" spans="1:12" hidden="1" outlineLevel="1" x14ac:dyDescent="0.3">
      <c r="A93" s="64">
        <v>3</v>
      </c>
      <c r="B93" s="3" t="s">
        <v>157</v>
      </c>
      <c r="C93" s="4" t="s">
        <v>10</v>
      </c>
      <c r="D93" s="1">
        <f>სამუშაო!I16+სამუშაო!I17+სამუშაო!I18</f>
        <v>456.96000000000004</v>
      </c>
      <c r="E93" s="1"/>
      <c r="F93" s="1">
        <f t="shared" si="19"/>
        <v>0</v>
      </c>
      <c r="G93" s="1"/>
      <c r="H93" s="1">
        <f>D93*G93</f>
        <v>0</v>
      </c>
      <c r="I93" s="1">
        <f>მომსახურება!D3</f>
        <v>301.86440677966107</v>
      </c>
      <c r="J93" s="1">
        <f>I93*D93</f>
        <v>137939.95932203394</v>
      </c>
      <c r="K93" s="1">
        <f t="shared" si="22"/>
        <v>137939.95932203394</v>
      </c>
    </row>
    <row r="94" spans="1:12" collapsed="1" x14ac:dyDescent="0.3">
      <c r="A94" s="51">
        <v>3</v>
      </c>
      <c r="B94" s="23" t="s">
        <v>53</v>
      </c>
      <c r="C94" s="4" t="s">
        <v>10</v>
      </c>
      <c r="D94" s="1">
        <f>D101+D95</f>
        <v>1072.18</v>
      </c>
      <c r="E94" s="1">
        <f>SUM(F95:F106)/D94</f>
        <v>46.640923051230018</v>
      </c>
      <c r="F94" s="1">
        <f t="shared" si="19"/>
        <v>50007.464877067803</v>
      </c>
      <c r="G94" s="1">
        <f>SUM(H95:H106)/D94</f>
        <v>84.887782368632145</v>
      </c>
      <c r="H94" s="1">
        <f>G94*D94</f>
        <v>91014.982500000013</v>
      </c>
      <c r="I94" s="1">
        <v>15</v>
      </c>
      <c r="J94" s="1">
        <f>I94*D94</f>
        <v>16082.7</v>
      </c>
      <c r="K94" s="1">
        <f t="shared" si="22"/>
        <v>157105.14737706783</v>
      </c>
    </row>
    <row r="95" spans="1:12" hidden="1" outlineLevel="1" x14ac:dyDescent="0.3">
      <c r="A95" s="51">
        <v>1</v>
      </c>
      <c r="B95" s="23" t="s">
        <v>184</v>
      </c>
      <c r="C95" s="4" t="s">
        <v>10</v>
      </c>
      <c r="D95" s="1">
        <f>სამუშაო!D24</f>
        <v>0</v>
      </c>
      <c r="E95" s="1"/>
      <c r="F95" s="1">
        <f t="shared" si="19"/>
        <v>0</v>
      </c>
      <c r="G95" s="1">
        <f>ხელფასი!D7</f>
        <v>82.875</v>
      </c>
      <c r="H95" s="1">
        <f t="shared" ref="H95:H106" si="23">D95*G95</f>
        <v>0</v>
      </c>
      <c r="I95" s="1"/>
      <c r="J95" s="1"/>
      <c r="K95" s="1">
        <f t="shared" si="22"/>
        <v>0</v>
      </c>
    </row>
    <row r="96" spans="1:12" hidden="1" outlineLevel="1" x14ac:dyDescent="0.3">
      <c r="A96" s="51"/>
      <c r="B96" s="3" t="s">
        <v>54</v>
      </c>
      <c r="C96" s="4" t="s">
        <v>55</v>
      </c>
      <c r="D96" s="1">
        <f>D95*35*1.05</f>
        <v>0</v>
      </c>
      <c r="E96" s="1">
        <f>SUMIFS(მასალა!D1:D170,მასალა!B1:B170,ბიუჯეტი!B96)</f>
        <v>0.80508474576271183</v>
      </c>
      <c r="F96" s="1">
        <f t="shared" si="19"/>
        <v>0</v>
      </c>
      <c r="G96" s="1"/>
      <c r="H96" s="1">
        <f t="shared" si="23"/>
        <v>0</v>
      </c>
      <c r="I96" s="1"/>
      <c r="J96" s="1"/>
      <c r="K96" s="1">
        <f t="shared" si="22"/>
        <v>0</v>
      </c>
    </row>
    <row r="97" spans="1:11" hidden="1" outlineLevel="1" x14ac:dyDescent="0.3">
      <c r="A97" s="51"/>
      <c r="B97" s="3" t="s">
        <v>50</v>
      </c>
      <c r="C97" s="4" t="s">
        <v>9</v>
      </c>
      <c r="D97" s="1">
        <f>D95*0.03*1.05</f>
        <v>0</v>
      </c>
      <c r="E97" s="1">
        <f>SUMIFS(მასალა!D2:D171,მასალა!B2:B171,ბიუჯეტი!B97)</f>
        <v>59.322033898305087</v>
      </c>
      <c r="F97" s="1">
        <f t="shared" si="19"/>
        <v>0</v>
      </c>
      <c r="G97" s="1"/>
      <c r="H97" s="1">
        <f t="shared" si="23"/>
        <v>0</v>
      </c>
      <c r="I97" s="1"/>
      <c r="J97" s="1"/>
      <c r="K97" s="1">
        <f t="shared" si="22"/>
        <v>0</v>
      </c>
    </row>
    <row r="98" spans="1:11" hidden="1" outlineLevel="1" x14ac:dyDescent="0.3">
      <c r="A98" s="51"/>
      <c r="B98" s="3" t="s">
        <v>185</v>
      </c>
      <c r="C98" s="4" t="s">
        <v>40</v>
      </c>
      <c r="D98" s="1">
        <v>0</v>
      </c>
      <c r="E98" s="1">
        <f>SUMIFS(მასალა!D3:D172,მასალა!B3:B172,ბიუჯეტი!B98)</f>
        <v>12.542372881355934</v>
      </c>
      <c r="F98" s="1">
        <f t="shared" si="19"/>
        <v>0</v>
      </c>
      <c r="G98" s="1">
        <f>ხელფასი!D31</f>
        <v>12.75</v>
      </c>
      <c r="H98" s="1">
        <f t="shared" si="23"/>
        <v>0</v>
      </c>
      <c r="I98" s="1"/>
      <c r="J98" s="1"/>
      <c r="K98" s="1">
        <f t="shared" si="22"/>
        <v>0</v>
      </c>
    </row>
    <row r="99" spans="1:11" hidden="1" outlineLevel="1" x14ac:dyDescent="0.3">
      <c r="A99" s="51"/>
      <c r="B99" s="3" t="s">
        <v>51</v>
      </c>
      <c r="C99" s="4" t="s">
        <v>12</v>
      </c>
      <c r="D99" s="1">
        <f>D97/4*1.05</f>
        <v>0</v>
      </c>
      <c r="E99" s="1">
        <f>SUMIFS(მასალა!D4:D173,მასალა!B4:B173,ბიუჯეტი!B99)</f>
        <v>265.47457627118644</v>
      </c>
      <c r="F99" s="1">
        <f t="shared" si="19"/>
        <v>0</v>
      </c>
      <c r="G99" s="1"/>
      <c r="H99" s="1">
        <f t="shared" si="23"/>
        <v>0</v>
      </c>
      <c r="I99" s="1"/>
      <c r="J99" s="1"/>
      <c r="K99" s="1">
        <f t="shared" si="22"/>
        <v>0</v>
      </c>
    </row>
    <row r="100" spans="1:11" hidden="1" outlineLevel="1" x14ac:dyDescent="0.3">
      <c r="A100" s="51"/>
      <c r="B100" s="3" t="s">
        <v>370</v>
      </c>
      <c r="C100" s="4" t="s">
        <v>10</v>
      </c>
      <c r="D100" s="1">
        <f>D95</f>
        <v>0</v>
      </c>
      <c r="E100" s="1">
        <f>SUMIFS(მასალა!D5:D174,მასალა!B5:B174,ბიუჯეტი!B100)</f>
        <v>4.2372881355932206</v>
      </c>
      <c r="F100" s="1">
        <f t="shared" si="19"/>
        <v>0</v>
      </c>
      <c r="G100" s="1"/>
      <c r="H100" s="1">
        <f t="shared" si="23"/>
        <v>0</v>
      </c>
      <c r="I100" s="1"/>
      <c r="J100" s="1"/>
      <c r="K100" s="1">
        <f t="shared" si="22"/>
        <v>0</v>
      </c>
    </row>
    <row r="101" spans="1:11" hidden="1" outlineLevel="1" x14ac:dyDescent="0.3">
      <c r="A101" s="51">
        <v>1</v>
      </c>
      <c r="B101" s="23" t="s">
        <v>425</v>
      </c>
      <c r="C101" s="4" t="s">
        <v>10</v>
      </c>
      <c r="D101" s="1">
        <f>სამუშაო!D25</f>
        <v>1072.18</v>
      </c>
      <c r="E101" s="1"/>
      <c r="F101" s="1">
        <f t="shared" si="19"/>
        <v>0</v>
      </c>
      <c r="G101" s="1">
        <f>ხელფასი!D7</f>
        <v>82.875</v>
      </c>
      <c r="H101" s="1">
        <f t="shared" si="23"/>
        <v>88856.91750000001</v>
      </c>
      <c r="I101" s="1"/>
      <c r="J101" s="1"/>
      <c r="K101" s="1">
        <f t="shared" si="22"/>
        <v>88856.91750000001</v>
      </c>
    </row>
    <row r="102" spans="1:11" hidden="1" outlineLevel="1" x14ac:dyDescent="0.3">
      <c r="A102" s="51"/>
      <c r="B102" s="3" t="s">
        <v>54</v>
      </c>
      <c r="C102" s="4" t="s">
        <v>55</v>
      </c>
      <c r="D102" s="1">
        <f>D101*35*1.05</f>
        <v>39402.615000000005</v>
      </c>
      <c r="E102" s="1">
        <f>SUMIFS(მასალა!D1:D176,მასალა!B1:B176,ბიუჯეტი!B102)</f>
        <v>0.80508474576271183</v>
      </c>
      <c r="F102" s="1">
        <f t="shared" si="19"/>
        <v>31722.44427966102</v>
      </c>
      <c r="G102" s="1"/>
      <c r="H102" s="1">
        <f t="shared" si="23"/>
        <v>0</v>
      </c>
      <c r="I102" s="1"/>
      <c r="J102" s="1"/>
      <c r="K102" s="1">
        <f t="shared" si="22"/>
        <v>31722.44427966102</v>
      </c>
    </row>
    <row r="103" spans="1:11" hidden="1" outlineLevel="1" x14ac:dyDescent="0.3">
      <c r="A103" s="51"/>
      <c r="B103" s="3" t="s">
        <v>50</v>
      </c>
      <c r="C103" s="4" t="s">
        <v>9</v>
      </c>
      <c r="D103" s="1">
        <f>D101*0.08*1.05</f>
        <v>90.063119999999998</v>
      </c>
      <c r="E103" s="1">
        <f>SUMIFS(მასალა!D2:D177,მასალა!B2:B177,ბიუჯეტი!B103)</f>
        <v>59.322033898305087</v>
      </c>
      <c r="F103" s="1">
        <f t="shared" si="19"/>
        <v>5342.7274576271184</v>
      </c>
      <c r="G103" s="1"/>
      <c r="H103" s="1">
        <f t="shared" si="23"/>
        <v>0</v>
      </c>
      <c r="I103" s="1"/>
      <c r="J103" s="1"/>
      <c r="K103" s="1">
        <f t="shared" si="22"/>
        <v>5342.7274576271184</v>
      </c>
    </row>
    <row r="104" spans="1:11" hidden="1" outlineLevel="1" x14ac:dyDescent="0.3">
      <c r="A104" s="51"/>
      <c r="B104" s="3" t="s">
        <v>185</v>
      </c>
      <c r="C104" s="4" t="s">
        <v>40</v>
      </c>
      <c r="D104" s="1">
        <f>161.2*1.05</f>
        <v>169.26</v>
      </c>
      <c r="E104" s="1">
        <f>SUMIFS(მასალა!D3:D178,მასალა!B3:B178,ბიუჯეტი!B104)</f>
        <v>12.542372881355934</v>
      </c>
      <c r="F104" s="1">
        <f t="shared" si="19"/>
        <v>2122.9220338983055</v>
      </c>
      <c r="G104" s="1">
        <f>ხელფასი!D31</f>
        <v>12.75</v>
      </c>
      <c r="H104" s="1">
        <f t="shared" si="23"/>
        <v>2158.0650000000001</v>
      </c>
      <c r="I104" s="1"/>
      <c r="J104" s="1"/>
      <c r="K104" s="1">
        <f t="shared" si="22"/>
        <v>4280.9870338983055</v>
      </c>
    </row>
    <row r="105" spans="1:11" hidden="1" outlineLevel="1" x14ac:dyDescent="0.3">
      <c r="A105" s="51"/>
      <c r="B105" s="3" t="s">
        <v>51</v>
      </c>
      <c r="C105" s="4" t="s">
        <v>12</v>
      </c>
      <c r="D105" s="1">
        <f>D103/4*1.05</f>
        <v>23.641569</v>
      </c>
      <c r="E105" s="1">
        <f>SUMIFS(მასალა!D4:D179,მასალა!B4:B179,ბიუჯეტი!B105)</f>
        <v>265.47457627118644</v>
      </c>
      <c r="F105" s="1">
        <f t="shared" si="19"/>
        <v>6276.2355126610173</v>
      </c>
      <c r="G105" s="1"/>
      <c r="H105" s="1">
        <f t="shared" si="23"/>
        <v>0</v>
      </c>
      <c r="I105" s="1"/>
      <c r="J105" s="1"/>
      <c r="K105" s="1">
        <f t="shared" si="22"/>
        <v>6276.2355126610173</v>
      </c>
    </row>
    <row r="106" spans="1:11" hidden="1" outlineLevel="1" x14ac:dyDescent="0.3">
      <c r="A106" s="51"/>
      <c r="B106" s="3" t="s">
        <v>370</v>
      </c>
      <c r="C106" s="4" t="s">
        <v>10</v>
      </c>
      <c r="D106" s="1">
        <f>D101</f>
        <v>1072.18</v>
      </c>
      <c r="E106" s="1">
        <f>SUMIFS(მასალა!D5:D180,მასალა!B5:B180,ბიუჯეტი!B106)</f>
        <v>4.2372881355932206</v>
      </c>
      <c r="F106" s="1">
        <f t="shared" si="19"/>
        <v>4543.1355932203396</v>
      </c>
      <c r="G106" s="1"/>
      <c r="H106" s="1">
        <f t="shared" si="23"/>
        <v>0</v>
      </c>
      <c r="I106" s="1"/>
      <c r="J106" s="1"/>
      <c r="K106" s="1">
        <f t="shared" si="22"/>
        <v>4543.1355932203396</v>
      </c>
    </row>
    <row r="107" spans="1:11" collapsed="1" x14ac:dyDescent="0.3">
      <c r="A107" s="51">
        <v>4</v>
      </c>
      <c r="B107" s="23" t="s">
        <v>56</v>
      </c>
      <c r="C107" s="4" t="s">
        <v>40</v>
      </c>
      <c r="D107" s="1">
        <f>SUM(D108,D113,D118)</f>
        <v>729.95</v>
      </c>
      <c r="E107" s="1">
        <f>SUM(K119:K122,K114:K117,K109:K112)/D107</f>
        <v>9.5092812414684253</v>
      </c>
      <c r="F107" s="1">
        <f t="shared" si="19"/>
        <v>6941.2998422098772</v>
      </c>
      <c r="G107" s="1">
        <f>G108</f>
        <v>44.625</v>
      </c>
      <c r="H107" s="1">
        <f>G107*D107</f>
        <v>32574.018750000003</v>
      </c>
      <c r="I107" s="1">
        <v>0</v>
      </c>
      <c r="J107" s="1">
        <v>0</v>
      </c>
      <c r="K107" s="1">
        <f t="shared" si="22"/>
        <v>39515.318592209878</v>
      </c>
    </row>
    <row r="108" spans="1:11" hidden="1" outlineLevel="1" x14ac:dyDescent="0.3">
      <c r="A108" s="51">
        <v>1</v>
      </c>
      <c r="B108" s="23" t="s">
        <v>57</v>
      </c>
      <c r="C108" s="4" t="s">
        <v>40</v>
      </c>
      <c r="D108" s="1">
        <f>სამუშაო!F24+სამუშაო!F25</f>
        <v>218.95</v>
      </c>
      <c r="E108" s="1"/>
      <c r="F108" s="1">
        <f t="shared" si="19"/>
        <v>0</v>
      </c>
      <c r="G108" s="1">
        <f>ხელფასი!D8</f>
        <v>44.625</v>
      </c>
      <c r="H108" s="1">
        <f t="shared" ref="H108:H140" si="24">D108*G108</f>
        <v>9770.6437499999993</v>
      </c>
      <c r="I108" s="1"/>
      <c r="J108" s="1"/>
      <c r="K108" s="1">
        <f t="shared" si="22"/>
        <v>9770.6437499999993</v>
      </c>
    </row>
    <row r="109" spans="1:11" hidden="1" outlineLevel="1" x14ac:dyDescent="0.3">
      <c r="A109" s="51"/>
      <c r="B109" s="3" t="s">
        <v>54</v>
      </c>
      <c r="C109" s="4" t="s">
        <v>55</v>
      </c>
      <c r="D109" s="1">
        <f>D108*6.5</f>
        <v>1423.175</v>
      </c>
      <c r="E109" s="1">
        <f>SUMIFS(მასალა!D1:D194,მასალა!B1:B194,ბიუჯეტი!B109)</f>
        <v>0.80508474576271183</v>
      </c>
      <c r="F109" s="1">
        <f t="shared" si="19"/>
        <v>1145.7764830508474</v>
      </c>
      <c r="G109" s="1"/>
      <c r="H109" s="1">
        <f t="shared" si="24"/>
        <v>0</v>
      </c>
      <c r="I109" s="1"/>
      <c r="J109" s="1"/>
      <c r="K109" s="1">
        <f t="shared" si="22"/>
        <v>1145.7764830508474</v>
      </c>
    </row>
    <row r="110" spans="1:11" hidden="1" outlineLevel="1" x14ac:dyDescent="0.3">
      <c r="A110" s="51"/>
      <c r="B110" s="3" t="s">
        <v>63</v>
      </c>
      <c r="C110" s="4" t="s">
        <v>55</v>
      </c>
      <c r="D110" s="1">
        <v>8</v>
      </c>
      <c r="E110" s="1">
        <f>SUMIFS(მასალა!D2:D195,მასალა!B2:B195,ბიუჯეტი!B110)</f>
        <v>11.016949152542374</v>
      </c>
      <c r="F110" s="1">
        <f t="shared" si="19"/>
        <v>88.13559322033899</v>
      </c>
      <c r="G110" s="1"/>
      <c r="H110" s="1">
        <f t="shared" si="24"/>
        <v>0</v>
      </c>
      <c r="I110" s="1"/>
      <c r="J110" s="1"/>
      <c r="K110" s="1">
        <f t="shared" si="22"/>
        <v>88.13559322033899</v>
      </c>
    </row>
    <row r="111" spans="1:11" hidden="1" outlineLevel="1" x14ac:dyDescent="0.3">
      <c r="A111" s="51"/>
      <c r="B111" s="3" t="s">
        <v>50</v>
      </c>
      <c r="C111" s="4" t="s">
        <v>9</v>
      </c>
      <c r="D111" s="1">
        <f>D109*0.15*0.03*1.05</f>
        <v>6.7245018749999996</v>
      </c>
      <c r="E111" s="1">
        <f>SUMIFS(მასალა!D3:D196,მასალა!B3:B196,ბიუჯეტი!B111)</f>
        <v>59.322033898305087</v>
      </c>
      <c r="F111" s="1">
        <f t="shared" ref="F111" si="25">D111*E111</f>
        <v>398.91112817796608</v>
      </c>
      <c r="G111" s="1"/>
      <c r="H111" s="1">
        <f t="shared" ref="H111" si="26">D111*G111</f>
        <v>0</v>
      </c>
      <c r="I111" s="1"/>
      <c r="J111" s="1"/>
      <c r="K111" s="1">
        <f t="shared" si="22"/>
        <v>398.91112817796608</v>
      </c>
    </row>
    <row r="112" spans="1:11" hidden="1" outlineLevel="1" x14ac:dyDescent="0.3">
      <c r="A112" s="51"/>
      <c r="B112" s="3" t="s">
        <v>51</v>
      </c>
      <c r="C112" s="4" t="s">
        <v>12</v>
      </c>
      <c r="D112" s="1">
        <f>D111/4*1.05</f>
        <v>1.7651817421875</v>
      </c>
      <c r="E112" s="1">
        <f>SUMIFS(მასალა!D4:D197,მასალა!B4:B197,ბიუჯეტი!B112)</f>
        <v>265.47457627118644</v>
      </c>
      <c r="F112" s="1">
        <f t="shared" si="19"/>
        <v>468.6108750488612</v>
      </c>
      <c r="G112" s="1"/>
      <c r="H112" s="1">
        <f t="shared" si="24"/>
        <v>0</v>
      </c>
      <c r="I112" s="1"/>
      <c r="J112" s="1"/>
      <c r="K112" s="1">
        <f t="shared" si="22"/>
        <v>468.6108750488612</v>
      </c>
    </row>
    <row r="113" spans="1:11" hidden="1" outlineLevel="1" x14ac:dyDescent="0.3">
      <c r="A113" s="51">
        <v>2</v>
      </c>
      <c r="B113" s="23" t="s">
        <v>160</v>
      </c>
      <c r="C113" s="4" t="s">
        <v>40</v>
      </c>
      <c r="D113" s="1">
        <f>სამუშაო!F26</f>
        <v>507</v>
      </c>
      <c r="E113" s="1"/>
      <c r="F113" s="1">
        <f t="shared" si="19"/>
        <v>0</v>
      </c>
      <c r="G113" s="1">
        <f>ხელფასი!D8</f>
        <v>44.625</v>
      </c>
      <c r="H113" s="1">
        <f t="shared" si="24"/>
        <v>22624.875</v>
      </c>
      <c r="I113" s="1"/>
      <c r="J113" s="1"/>
      <c r="K113" s="1">
        <f t="shared" si="22"/>
        <v>22624.875</v>
      </c>
    </row>
    <row r="114" spans="1:11" hidden="1" outlineLevel="1" x14ac:dyDescent="0.3">
      <c r="A114" s="51"/>
      <c r="B114" s="3" t="s">
        <v>54</v>
      </c>
      <c r="C114" s="4" t="s">
        <v>55</v>
      </c>
      <c r="D114" s="1">
        <f>D113*6.5</f>
        <v>3295.5</v>
      </c>
      <c r="E114" s="1">
        <f>SUMIFS(მასალა!D1:D199,მასალა!B1:B199,ბიუჯეტი!B114)</f>
        <v>0.80508474576271183</v>
      </c>
      <c r="F114" s="1">
        <f t="shared" si="19"/>
        <v>2653.156779661017</v>
      </c>
      <c r="G114" s="1"/>
      <c r="H114" s="1">
        <f t="shared" si="24"/>
        <v>0</v>
      </c>
      <c r="I114" s="1"/>
      <c r="J114" s="1"/>
      <c r="K114" s="1">
        <f t="shared" si="22"/>
        <v>2653.156779661017</v>
      </c>
    </row>
    <row r="115" spans="1:11" hidden="1" outlineLevel="1" x14ac:dyDescent="0.3">
      <c r="A115" s="51"/>
      <c r="B115" s="3" t="s">
        <v>63</v>
      </c>
      <c r="C115" s="4" t="s">
        <v>55</v>
      </c>
      <c r="D115" s="1">
        <v>15</v>
      </c>
      <c r="E115" s="1">
        <f>SUMIFS(მასალა!D2:D200,მასალა!B2:B200,ბიუჯეტი!B115)</f>
        <v>11.016949152542374</v>
      </c>
      <c r="F115" s="1">
        <f t="shared" si="19"/>
        <v>165.25423728813561</v>
      </c>
      <c r="G115" s="1"/>
      <c r="H115" s="1">
        <f t="shared" si="24"/>
        <v>0</v>
      </c>
      <c r="I115" s="1"/>
      <c r="J115" s="1"/>
      <c r="K115" s="1">
        <f t="shared" si="22"/>
        <v>165.25423728813561</v>
      </c>
    </row>
    <row r="116" spans="1:11" hidden="1" outlineLevel="1" x14ac:dyDescent="0.3">
      <c r="A116" s="51"/>
      <c r="B116" s="3" t="s">
        <v>50</v>
      </c>
      <c r="C116" s="4" t="s">
        <v>9</v>
      </c>
      <c r="D116" s="1">
        <f>D114*0.15*0.03*1.05</f>
        <v>15.571237499999999</v>
      </c>
      <c r="E116" s="1">
        <f>SUMIFS(მასალა!D3:D201,მასალა!B3:B201,ბიუჯეტი!B116)</f>
        <v>59.322033898305087</v>
      </c>
      <c r="F116" s="1">
        <f t="shared" ref="F116" si="27">D116*E116</f>
        <v>923.7174788135593</v>
      </c>
      <c r="G116" s="1"/>
      <c r="H116" s="1">
        <f t="shared" ref="H116" si="28">D116*G116</f>
        <v>0</v>
      </c>
      <c r="I116" s="1"/>
      <c r="J116" s="1"/>
      <c r="K116" s="1">
        <f t="shared" si="22"/>
        <v>923.7174788135593</v>
      </c>
    </row>
    <row r="117" spans="1:11" hidden="1" outlineLevel="1" x14ac:dyDescent="0.3">
      <c r="A117" s="51"/>
      <c r="B117" s="3" t="s">
        <v>51</v>
      </c>
      <c r="C117" s="4" t="s">
        <v>12</v>
      </c>
      <c r="D117" s="1">
        <f>D115/4*1.05</f>
        <v>3.9375</v>
      </c>
      <c r="E117" s="1">
        <f>SUMIFS(მასალა!D4:D202,მასალა!B4:B202,ბიუჯეტი!B117)</f>
        <v>265.47457627118644</v>
      </c>
      <c r="F117" s="1">
        <f t="shared" si="19"/>
        <v>1045.3061440677966</v>
      </c>
      <c r="G117" s="1"/>
      <c r="H117" s="1">
        <f t="shared" si="24"/>
        <v>0</v>
      </c>
      <c r="I117" s="1"/>
      <c r="J117" s="1"/>
      <c r="K117" s="1">
        <f t="shared" si="22"/>
        <v>1045.3061440677966</v>
      </c>
    </row>
    <row r="118" spans="1:11" hidden="1" outlineLevel="1" x14ac:dyDescent="0.3">
      <c r="A118" s="51">
        <v>3</v>
      </c>
      <c r="B118" s="23" t="s">
        <v>58</v>
      </c>
      <c r="C118" s="4" t="s">
        <v>40</v>
      </c>
      <c r="D118" s="1">
        <f>სამუშაო!F29</f>
        <v>4</v>
      </c>
      <c r="E118" s="1"/>
      <c r="F118" s="1">
        <f t="shared" si="19"/>
        <v>0</v>
      </c>
      <c r="G118" s="1">
        <f>ხელფასი!D8</f>
        <v>44.625</v>
      </c>
      <c r="H118" s="1">
        <f t="shared" si="24"/>
        <v>178.5</v>
      </c>
      <c r="I118" s="1"/>
      <c r="J118" s="1"/>
      <c r="K118" s="1">
        <f t="shared" si="22"/>
        <v>178.5</v>
      </c>
    </row>
    <row r="119" spans="1:11" hidden="1" outlineLevel="1" x14ac:dyDescent="0.3">
      <c r="A119" s="51"/>
      <c r="B119" s="3" t="s">
        <v>54</v>
      </c>
      <c r="C119" s="4" t="s">
        <v>55</v>
      </c>
      <c r="D119" s="1">
        <f>D118*6.5</f>
        <v>26</v>
      </c>
      <c r="E119" s="1">
        <f>SUMIFS(მასალა!D1:D204,მასალა!B1:B204,ბიუჯეტი!B119)</f>
        <v>0.80508474576271183</v>
      </c>
      <c r="F119" s="1">
        <f t="shared" si="19"/>
        <v>20.932203389830509</v>
      </c>
      <c r="G119" s="1"/>
      <c r="H119" s="1">
        <f t="shared" si="24"/>
        <v>0</v>
      </c>
      <c r="I119" s="1"/>
      <c r="J119" s="1"/>
      <c r="K119" s="1">
        <f t="shared" si="22"/>
        <v>20.932203389830509</v>
      </c>
    </row>
    <row r="120" spans="1:11" hidden="1" outlineLevel="1" x14ac:dyDescent="0.3">
      <c r="A120" s="51"/>
      <c r="B120" s="3" t="s">
        <v>63</v>
      </c>
      <c r="C120" s="4" t="s">
        <v>55</v>
      </c>
      <c r="D120" s="1">
        <v>0.3</v>
      </c>
      <c r="E120" s="1">
        <f>SUMIFS(მასალა!D2:D205,მასალა!B2:B205,ბიუჯეტი!B120)</f>
        <v>11.016949152542374</v>
      </c>
      <c r="F120" s="1">
        <f t="shared" si="19"/>
        <v>3.3050847457627119</v>
      </c>
      <c r="G120" s="1"/>
      <c r="H120" s="1">
        <f t="shared" si="24"/>
        <v>0</v>
      </c>
      <c r="I120" s="1"/>
      <c r="J120" s="1"/>
      <c r="K120" s="1">
        <f t="shared" si="22"/>
        <v>3.3050847457627119</v>
      </c>
    </row>
    <row r="121" spans="1:11" hidden="1" outlineLevel="1" x14ac:dyDescent="0.3">
      <c r="A121" s="51"/>
      <c r="B121" s="3" t="s">
        <v>50</v>
      </c>
      <c r="C121" s="4" t="s">
        <v>9</v>
      </c>
      <c r="D121" s="1">
        <f>D119*0.15*0.03*1.05</f>
        <v>0.12285</v>
      </c>
      <c r="E121" s="1">
        <f>SUMIFS(მასალა!D3:D206,მასალა!B3:B206,ბიუჯეტი!B121)</f>
        <v>59.322033898305087</v>
      </c>
      <c r="F121" s="1">
        <f t="shared" ref="F121" si="29">D121*E121</f>
        <v>7.2877118644067798</v>
      </c>
      <c r="G121" s="1"/>
      <c r="H121" s="1">
        <f t="shared" ref="H121" si="30">D121*G121</f>
        <v>0</v>
      </c>
      <c r="I121" s="1"/>
      <c r="J121" s="1"/>
      <c r="K121" s="1">
        <f t="shared" si="22"/>
        <v>7.2877118644067798</v>
      </c>
    </row>
    <row r="122" spans="1:11" hidden="1" outlineLevel="1" x14ac:dyDescent="0.3">
      <c r="A122" s="51"/>
      <c r="B122" s="3" t="s">
        <v>51</v>
      </c>
      <c r="C122" s="4" t="s">
        <v>12</v>
      </c>
      <c r="D122" s="1">
        <f>D120/4*1.05</f>
        <v>7.8750000000000001E-2</v>
      </c>
      <c r="E122" s="1">
        <f>SUMIFS(მასალა!D4:D207,მასალა!B4:B207,ბიუჯეტი!B122)</f>
        <v>265.47457627118644</v>
      </c>
      <c r="F122" s="1">
        <f t="shared" si="19"/>
        <v>20.90612288135593</v>
      </c>
      <c r="G122" s="1"/>
      <c r="H122" s="1">
        <f t="shared" si="24"/>
        <v>0</v>
      </c>
      <c r="I122" s="1"/>
      <c r="J122" s="1"/>
      <c r="K122" s="1">
        <f t="shared" si="22"/>
        <v>20.90612288135593</v>
      </c>
    </row>
    <row r="123" spans="1:11" collapsed="1" x14ac:dyDescent="0.3">
      <c r="A123" s="51">
        <v>5</v>
      </c>
      <c r="B123" s="23" t="s">
        <v>313</v>
      </c>
      <c r="C123" s="4" t="s">
        <v>10</v>
      </c>
      <c r="D123" s="1">
        <f>D124</f>
        <v>24</v>
      </c>
      <c r="E123" s="1">
        <f>SUM(F124:F129)/D123</f>
        <v>98.048075211864401</v>
      </c>
      <c r="F123" s="1">
        <f t="shared" ref="F123:F129" si="31">D123*E123</f>
        <v>2353.1538050847457</v>
      </c>
      <c r="G123" s="1">
        <f>SUM(H124:H129)/D123</f>
        <v>165.75</v>
      </c>
      <c r="H123" s="1">
        <f>G123*D123</f>
        <v>3978</v>
      </c>
      <c r="I123" s="1">
        <v>0</v>
      </c>
      <c r="J123" s="1">
        <v>0</v>
      </c>
      <c r="K123" s="1">
        <f t="shared" si="22"/>
        <v>6331.1538050847457</v>
      </c>
    </row>
    <row r="124" spans="1:11" hidden="1" outlineLevel="1" x14ac:dyDescent="0.3">
      <c r="A124" s="51">
        <v>1</v>
      </c>
      <c r="B124" s="23" t="s">
        <v>314</v>
      </c>
      <c r="C124" s="4" t="s">
        <v>10</v>
      </c>
      <c r="D124" s="1">
        <f>((1*3)*2)*4</f>
        <v>24</v>
      </c>
      <c r="E124" s="1"/>
      <c r="F124" s="1">
        <f t="shared" si="31"/>
        <v>0</v>
      </c>
      <c r="G124" s="1">
        <f>ხელფასი!D9</f>
        <v>153</v>
      </c>
      <c r="H124" s="1">
        <f t="shared" ref="H124:H129" si="32">D124*G124</f>
        <v>3672</v>
      </c>
      <c r="I124" s="1"/>
      <c r="J124" s="1"/>
      <c r="K124" s="1">
        <f t="shared" si="22"/>
        <v>3672</v>
      </c>
    </row>
    <row r="125" spans="1:11" hidden="1" outlineLevel="1" x14ac:dyDescent="0.3">
      <c r="A125" s="51"/>
      <c r="B125" s="3" t="s">
        <v>54</v>
      </c>
      <c r="C125" s="4" t="s">
        <v>55</v>
      </c>
      <c r="D125" s="1">
        <f>D124*35*1.05</f>
        <v>882</v>
      </c>
      <c r="E125" s="1">
        <f>SUMIFS(მასალა!D1:D210,მასალა!B1:B210,ბიუჯეტი!B125)</f>
        <v>0.80508474576271183</v>
      </c>
      <c r="F125" s="1">
        <f t="shared" si="31"/>
        <v>710.0847457627118</v>
      </c>
      <c r="G125" s="1"/>
      <c r="H125" s="1">
        <f t="shared" si="32"/>
        <v>0</v>
      </c>
      <c r="I125" s="1"/>
      <c r="J125" s="1"/>
      <c r="K125" s="1">
        <f t="shared" si="22"/>
        <v>710.0847457627118</v>
      </c>
    </row>
    <row r="126" spans="1:11" hidden="1" outlineLevel="1" x14ac:dyDescent="0.3">
      <c r="A126" s="51"/>
      <c r="B126" s="3" t="s">
        <v>50</v>
      </c>
      <c r="C126" s="4" t="s">
        <v>9</v>
      </c>
      <c r="D126" s="1">
        <f>D124*0.1*1.05</f>
        <v>2.5200000000000005</v>
      </c>
      <c r="E126" s="1">
        <f>SUMIFS(მასალა!D2:D211,მასალა!B2:B211,ბიუჯეტი!B126)</f>
        <v>59.322033898305087</v>
      </c>
      <c r="F126" s="1">
        <f t="shared" si="31"/>
        <v>149.49152542372886</v>
      </c>
      <c r="G126" s="1"/>
      <c r="H126" s="1">
        <f t="shared" si="32"/>
        <v>0</v>
      </c>
      <c r="I126" s="1"/>
      <c r="J126" s="1"/>
      <c r="K126" s="1">
        <f t="shared" si="22"/>
        <v>149.49152542372886</v>
      </c>
    </row>
    <row r="127" spans="1:11" hidden="1" outlineLevel="1" x14ac:dyDescent="0.3">
      <c r="A127" s="51"/>
      <c r="B127" s="3" t="s">
        <v>185</v>
      </c>
      <c r="C127" s="4" t="s">
        <v>40</v>
      </c>
      <c r="D127" s="1">
        <f>6*4</f>
        <v>24</v>
      </c>
      <c r="E127" s="1">
        <f>SUMIFS(მასალა!D3:D212,მასალა!B3:B212,ბიუჯეტი!B127)</f>
        <v>12.542372881355934</v>
      </c>
      <c r="F127" s="1">
        <f t="shared" si="31"/>
        <v>301.01694915254245</v>
      </c>
      <c r="G127" s="1">
        <f>ხელფასი!D31</f>
        <v>12.75</v>
      </c>
      <c r="H127" s="1">
        <f t="shared" si="32"/>
        <v>306</v>
      </c>
      <c r="I127" s="1"/>
      <c r="J127" s="1"/>
      <c r="K127" s="1">
        <f t="shared" si="22"/>
        <v>607.01694915254245</v>
      </c>
    </row>
    <row r="128" spans="1:11" hidden="1" outlineLevel="1" x14ac:dyDescent="0.3">
      <c r="A128" s="51"/>
      <c r="B128" s="3" t="s">
        <v>51</v>
      </c>
      <c r="C128" s="4" t="s">
        <v>12</v>
      </c>
      <c r="D128" s="1">
        <f>D126/4*1.05</f>
        <v>0.6615000000000002</v>
      </c>
      <c r="E128" s="1">
        <f>SUMIFS(მასალა!D4:D213,მასალა!B4:B213,ბიუჯეტი!B128)</f>
        <v>265.47457627118644</v>
      </c>
      <c r="F128" s="1">
        <f t="shared" si="31"/>
        <v>175.61143220338988</v>
      </c>
      <c r="G128" s="1"/>
      <c r="H128" s="1">
        <f t="shared" si="32"/>
        <v>0</v>
      </c>
      <c r="I128" s="1"/>
      <c r="J128" s="1"/>
      <c r="K128" s="1">
        <f t="shared" si="22"/>
        <v>175.61143220338988</v>
      </c>
    </row>
    <row r="129" spans="1:11" hidden="1" outlineLevel="1" x14ac:dyDescent="0.3">
      <c r="A129" s="51"/>
      <c r="B129" s="3" t="s">
        <v>371</v>
      </c>
      <c r="C129" s="4" t="s">
        <v>10</v>
      </c>
      <c r="D129" s="1">
        <f>D124</f>
        <v>24</v>
      </c>
      <c r="E129" s="1">
        <f>SUMIFS(მასალა!D5:D214,მასალა!B5:B214,ბიუჯეტი!B129)</f>
        <v>42.372881355932208</v>
      </c>
      <c r="F129" s="1">
        <f t="shared" si="31"/>
        <v>1016.949152542373</v>
      </c>
      <c r="G129" s="1"/>
      <c r="H129" s="1">
        <f t="shared" si="32"/>
        <v>0</v>
      </c>
      <c r="I129" s="1"/>
      <c r="J129" s="1"/>
      <c r="K129" s="1">
        <f t="shared" si="22"/>
        <v>1016.949152542373</v>
      </c>
    </row>
    <row r="130" spans="1:11" collapsed="1" x14ac:dyDescent="0.3">
      <c r="A130" s="51">
        <v>6</v>
      </c>
      <c r="B130" s="23" t="s">
        <v>186</v>
      </c>
      <c r="C130" s="4" t="s">
        <v>10</v>
      </c>
      <c r="D130" s="1">
        <f>D131+D136</f>
        <v>133.524</v>
      </c>
      <c r="E130" s="1">
        <f>SUM(K137:K140,K132:K135)/D130</f>
        <v>28.512889936440679</v>
      </c>
      <c r="F130" s="1">
        <f t="shared" si="19"/>
        <v>3807.1551158733055</v>
      </c>
      <c r="G130" s="1">
        <f>SUM(K131,K136)/D130</f>
        <v>82.875000000000014</v>
      </c>
      <c r="H130" s="1">
        <f t="shared" si="24"/>
        <v>11065.801500000001</v>
      </c>
      <c r="I130" s="1">
        <v>0</v>
      </c>
      <c r="J130" s="1">
        <v>0</v>
      </c>
      <c r="K130" s="1">
        <f t="shared" si="22"/>
        <v>14872.956615873307</v>
      </c>
    </row>
    <row r="131" spans="1:11" hidden="1" outlineLevel="1" x14ac:dyDescent="0.3">
      <c r="A131" s="51">
        <v>1</v>
      </c>
      <c r="B131" s="23" t="s">
        <v>315</v>
      </c>
      <c r="C131" s="4" t="s">
        <v>10</v>
      </c>
      <c r="D131" s="1">
        <f>სამუშაო!G45+სამუშაო!G46</f>
        <v>37.295999999999999</v>
      </c>
      <c r="E131" s="1"/>
      <c r="F131" s="1">
        <f t="shared" si="19"/>
        <v>0</v>
      </c>
      <c r="G131" s="1">
        <f>ხელფასი!D7</f>
        <v>82.875</v>
      </c>
      <c r="H131" s="1">
        <f t="shared" si="24"/>
        <v>3090.9059999999999</v>
      </c>
      <c r="I131" s="1"/>
      <c r="J131" s="1"/>
      <c r="K131" s="1">
        <f t="shared" si="22"/>
        <v>3090.9059999999999</v>
      </c>
    </row>
    <row r="132" spans="1:11" hidden="1" outlineLevel="1" x14ac:dyDescent="0.3">
      <c r="A132" s="51"/>
      <c r="B132" s="3" t="s">
        <v>54</v>
      </c>
      <c r="C132" s="4" t="s">
        <v>55</v>
      </c>
      <c r="D132" s="1">
        <f>D131*35*1.05/2</f>
        <v>685.31399999999996</v>
      </c>
      <c r="E132" s="1">
        <f>SUMIFS(მასალა!D1:D217,მასალა!B1:B217,ბიუჯეტი!B132)</f>
        <v>0.80508474576271183</v>
      </c>
      <c r="F132" s="1">
        <f t="shared" si="19"/>
        <v>551.73584745762707</v>
      </c>
      <c r="G132" s="1"/>
      <c r="H132" s="1">
        <f t="shared" si="24"/>
        <v>0</v>
      </c>
      <c r="I132" s="1"/>
      <c r="J132" s="1"/>
      <c r="K132" s="1">
        <f t="shared" si="22"/>
        <v>551.73584745762707</v>
      </c>
    </row>
    <row r="133" spans="1:11" hidden="1" outlineLevel="1" x14ac:dyDescent="0.3">
      <c r="A133" s="51"/>
      <c r="B133" s="3" t="s">
        <v>50</v>
      </c>
      <c r="C133" s="4" t="s">
        <v>9</v>
      </c>
      <c r="D133" s="1">
        <f>D131*0.07*1.05</f>
        <v>2.7412560000000004</v>
      </c>
      <c r="E133" s="1">
        <f>SUMIFS(მასალა!D2:D218,მასალა!B2:B218,ბიუჯეტი!B133)</f>
        <v>59.322033898305087</v>
      </c>
      <c r="F133" s="1">
        <f t="shared" si="19"/>
        <v>162.61688135593224</v>
      </c>
      <c r="G133" s="1"/>
      <c r="H133" s="1">
        <f t="shared" si="24"/>
        <v>0</v>
      </c>
      <c r="I133" s="1"/>
      <c r="J133" s="1"/>
      <c r="K133" s="1">
        <f t="shared" si="22"/>
        <v>162.61688135593224</v>
      </c>
    </row>
    <row r="134" spans="1:11" hidden="1" outlineLevel="1" x14ac:dyDescent="0.3">
      <c r="A134" s="51"/>
      <c r="B134" s="3" t="s">
        <v>51</v>
      </c>
      <c r="C134" s="4" t="s">
        <v>12</v>
      </c>
      <c r="D134" s="1">
        <f>D133/4*1.05</f>
        <v>0.71957970000000016</v>
      </c>
      <c r="E134" s="1">
        <f>SUMIFS(მასალა!D3:D219,მასალა!B3:B219,ბიუჯეტი!B134)</f>
        <v>265.47457627118644</v>
      </c>
      <c r="F134" s="1">
        <f t="shared" si="19"/>
        <v>191.03011595084749</v>
      </c>
      <c r="G134" s="1"/>
      <c r="H134" s="1">
        <f t="shared" si="24"/>
        <v>0</v>
      </c>
      <c r="I134" s="1"/>
      <c r="J134" s="1"/>
      <c r="K134" s="1">
        <f t="shared" si="22"/>
        <v>191.03011595084749</v>
      </c>
    </row>
    <row r="135" spans="1:11" hidden="1" outlineLevel="1" x14ac:dyDescent="0.3">
      <c r="A135" s="51"/>
      <c r="B135" s="3" t="s">
        <v>370</v>
      </c>
      <c r="C135" s="4" t="s">
        <v>10</v>
      </c>
      <c r="D135" s="1">
        <f>D131</f>
        <v>37.295999999999999</v>
      </c>
      <c r="E135" s="1">
        <f>SUMIFS(მასალა!D4:D220,მასალა!B4:B220,ბიუჯეტი!B135)</f>
        <v>4.2372881355932206</v>
      </c>
      <c r="F135" s="1">
        <f t="shared" si="19"/>
        <v>158.03389830508476</v>
      </c>
      <c r="G135" s="1"/>
      <c r="H135" s="1">
        <f t="shared" si="24"/>
        <v>0</v>
      </c>
      <c r="I135" s="1"/>
      <c r="J135" s="1"/>
      <c r="K135" s="1">
        <f t="shared" si="22"/>
        <v>158.03389830508476</v>
      </c>
    </row>
    <row r="136" spans="1:11" hidden="1" outlineLevel="1" x14ac:dyDescent="0.3">
      <c r="A136" s="51">
        <v>2</v>
      </c>
      <c r="B136" s="23" t="s">
        <v>159</v>
      </c>
      <c r="C136" s="4" t="s">
        <v>10</v>
      </c>
      <c r="D136" s="1">
        <f>სამუშაო!G47+სამუშაო!G48+სამუშაო!G49</f>
        <v>96.228000000000009</v>
      </c>
      <c r="E136" s="1"/>
      <c r="F136" s="1">
        <f t="shared" si="19"/>
        <v>0</v>
      </c>
      <c r="G136" s="1">
        <f>ხელფასი!D7</f>
        <v>82.875</v>
      </c>
      <c r="H136" s="1">
        <f t="shared" si="24"/>
        <v>7974.8955000000005</v>
      </c>
      <c r="I136" s="1"/>
      <c r="J136" s="1"/>
      <c r="K136" s="1">
        <f t="shared" si="22"/>
        <v>7974.8955000000005</v>
      </c>
    </row>
    <row r="137" spans="1:11" hidden="1" outlineLevel="1" x14ac:dyDescent="0.3">
      <c r="A137" s="51"/>
      <c r="B137" s="3" t="s">
        <v>54</v>
      </c>
      <c r="C137" s="4" t="s">
        <v>55</v>
      </c>
      <c r="D137" s="1">
        <f>D136*35*1.05/2</f>
        <v>1768.1895000000004</v>
      </c>
      <c r="E137" s="1">
        <f>SUMIFS(მასალა!D1:D222,მასალა!B1:B222,ბიუჯეტი!B137)</f>
        <v>0.80508474576271183</v>
      </c>
      <c r="F137" s="1">
        <f>D137*E137</f>
        <v>1423.542394067797</v>
      </c>
      <c r="G137" s="1"/>
      <c r="H137" s="1">
        <f t="shared" si="24"/>
        <v>0</v>
      </c>
      <c r="I137" s="1"/>
      <c r="J137" s="1"/>
      <c r="K137" s="1">
        <f t="shared" si="22"/>
        <v>1423.542394067797</v>
      </c>
    </row>
    <row r="138" spans="1:11" hidden="1" outlineLevel="1" x14ac:dyDescent="0.3">
      <c r="A138" s="51"/>
      <c r="B138" s="3" t="s">
        <v>50</v>
      </c>
      <c r="C138" s="4" t="s">
        <v>9</v>
      </c>
      <c r="D138" s="1">
        <f>D136*0.07*1.05</f>
        <v>7.0727580000000012</v>
      </c>
      <c r="E138" s="1">
        <f>SUMIFS(მასალა!D2:D223,მასალა!B2:B223,ბიუჯეტი!B138)</f>
        <v>59.322033898305087</v>
      </c>
      <c r="F138" s="1">
        <f>D138*E138</f>
        <v>419.57038983050853</v>
      </c>
      <c r="G138" s="1"/>
      <c r="H138" s="1">
        <f t="shared" si="24"/>
        <v>0</v>
      </c>
      <c r="I138" s="1"/>
      <c r="J138" s="1"/>
      <c r="K138" s="1">
        <f t="shared" si="22"/>
        <v>419.57038983050853</v>
      </c>
    </row>
    <row r="139" spans="1:11" hidden="1" outlineLevel="1" x14ac:dyDescent="0.3">
      <c r="A139" s="51"/>
      <c r="B139" s="3" t="s">
        <v>51</v>
      </c>
      <c r="C139" s="4" t="s">
        <v>12</v>
      </c>
      <c r="D139" s="1">
        <f>D138/4*1.05</f>
        <v>1.8565989750000005</v>
      </c>
      <c r="E139" s="1">
        <f>SUMIFS(მასალა!D3:D224,მასალა!B3:B224,ბიუჯეტი!B139)</f>
        <v>265.47457627118644</v>
      </c>
      <c r="F139" s="1">
        <f>D139*E139</f>
        <v>492.87982619364419</v>
      </c>
      <c r="G139" s="1"/>
      <c r="H139" s="1">
        <f t="shared" si="24"/>
        <v>0</v>
      </c>
      <c r="I139" s="1"/>
      <c r="J139" s="1"/>
      <c r="K139" s="1">
        <f t="shared" si="22"/>
        <v>492.87982619364419</v>
      </c>
    </row>
    <row r="140" spans="1:11" hidden="1" outlineLevel="1" x14ac:dyDescent="0.3">
      <c r="A140" s="51"/>
      <c r="B140" s="3" t="s">
        <v>370</v>
      </c>
      <c r="C140" s="4" t="s">
        <v>10</v>
      </c>
      <c r="D140" s="1">
        <f>D136</f>
        <v>96.228000000000009</v>
      </c>
      <c r="E140" s="1">
        <f>SUMIFS(მასალა!D4:D225,მასალა!B4:B225,ბიუჯეტი!B140)</f>
        <v>4.2372881355932206</v>
      </c>
      <c r="F140" s="1">
        <f>D140*E140</f>
        <v>407.74576271186447</v>
      </c>
      <c r="G140" s="1"/>
      <c r="H140" s="1">
        <f t="shared" si="24"/>
        <v>0</v>
      </c>
      <c r="I140" s="1"/>
      <c r="J140" s="1"/>
      <c r="K140" s="1">
        <f t="shared" si="22"/>
        <v>407.74576271186447</v>
      </c>
    </row>
    <row r="141" spans="1:11" collapsed="1" x14ac:dyDescent="0.3">
      <c r="A141" s="51">
        <v>7</v>
      </c>
      <c r="B141" s="23" t="s">
        <v>161</v>
      </c>
      <c r="C141" s="4" t="s">
        <v>10</v>
      </c>
      <c r="D141" s="1">
        <f>D142+D152</f>
        <v>760.91399999999999</v>
      </c>
      <c r="E141" s="1">
        <f>SUM(F142:F161)/D141</f>
        <v>54.855549835405355</v>
      </c>
      <c r="F141" s="1">
        <f>D141*E141</f>
        <v>41740.355847457628</v>
      </c>
      <c r="G141" s="1">
        <f>ხელფასი!D34</f>
        <v>57.374999999999993</v>
      </c>
      <c r="H141" s="1">
        <f>G141*D141</f>
        <v>43657.440749999994</v>
      </c>
      <c r="I141" s="1">
        <v>0</v>
      </c>
      <c r="J141" s="1">
        <f>I141*D141</f>
        <v>0</v>
      </c>
      <c r="K141" s="1">
        <f t="shared" si="22"/>
        <v>85397.796597457622</v>
      </c>
    </row>
    <row r="142" spans="1:11" hidden="1" outlineLevel="1" x14ac:dyDescent="0.3">
      <c r="A142" s="51">
        <v>1</v>
      </c>
      <c r="B142" s="3" t="s">
        <v>59</v>
      </c>
      <c r="C142" s="4" t="s">
        <v>10</v>
      </c>
      <c r="D142" s="1">
        <f>სამუშაო!E25</f>
        <v>263.73600000000005</v>
      </c>
      <c r="E142" s="1"/>
      <c r="F142" s="1">
        <f t="shared" ref="F142:F161" si="33">D142*E142</f>
        <v>0</v>
      </c>
      <c r="G142" s="1"/>
      <c r="H142" s="1">
        <f t="shared" ref="H142:H161" si="34">D142*G142</f>
        <v>0</v>
      </c>
      <c r="I142" s="1"/>
      <c r="J142" s="1"/>
      <c r="K142" s="1">
        <f t="shared" si="22"/>
        <v>0</v>
      </c>
    </row>
    <row r="143" spans="1:11" hidden="1" outlineLevel="1" x14ac:dyDescent="0.3">
      <c r="A143" s="51"/>
      <c r="B143" s="3" t="s">
        <v>401</v>
      </c>
      <c r="C143" s="4" t="s">
        <v>192</v>
      </c>
      <c r="D143" s="1">
        <f>D142/2.5</f>
        <v>105.49440000000001</v>
      </c>
      <c r="E143" s="1">
        <f>SUMIFS(მასალა!D1:D228,მასალა!B1:B228,ბიუჯეტი!B143)</f>
        <v>15.677966101694915</v>
      </c>
      <c r="F143" s="1">
        <f t="shared" si="33"/>
        <v>1653.9376271186443</v>
      </c>
      <c r="G143" s="1"/>
      <c r="H143" s="1">
        <f t="shared" si="34"/>
        <v>0</v>
      </c>
      <c r="I143" s="1"/>
      <c r="J143" s="1"/>
      <c r="K143" s="1">
        <f t="shared" si="22"/>
        <v>1653.9376271186443</v>
      </c>
    </row>
    <row r="144" spans="1:11" hidden="1" outlineLevel="1" x14ac:dyDescent="0.3">
      <c r="A144" s="51"/>
      <c r="B144" s="3" t="s">
        <v>402</v>
      </c>
      <c r="C144" s="4" t="s">
        <v>192</v>
      </c>
      <c r="D144" s="1">
        <f>D142/2</f>
        <v>131.86800000000002</v>
      </c>
      <c r="E144" s="1">
        <f>SUMIFS(მასალა!D2:D229,მასალა!B2:B229,ბიუჯეტი!B144)</f>
        <v>19.915254237288135</v>
      </c>
      <c r="F144" s="1">
        <f t="shared" si="33"/>
        <v>2626.1847457627123</v>
      </c>
      <c r="G144" s="1"/>
      <c r="H144" s="1">
        <f t="shared" si="34"/>
        <v>0</v>
      </c>
      <c r="I144" s="1"/>
      <c r="J144" s="1"/>
      <c r="K144" s="1">
        <f t="shared" si="22"/>
        <v>2626.1847457627123</v>
      </c>
    </row>
    <row r="145" spans="1:11" hidden="1" outlineLevel="1" x14ac:dyDescent="0.3">
      <c r="A145" s="51"/>
      <c r="B145" s="3" t="s">
        <v>372</v>
      </c>
      <c r="C145" s="4" t="s">
        <v>10</v>
      </c>
      <c r="D145" s="1">
        <f>D142+7</f>
        <v>270.73600000000005</v>
      </c>
      <c r="E145" s="1">
        <f>SUMIFS(მასალა!D3:D230,მასალა!B3:B230,ბიუჯეტი!B145)</f>
        <v>1.2711864406779663</v>
      </c>
      <c r="F145" s="1">
        <f t="shared" si="33"/>
        <v>344.15593220338991</v>
      </c>
      <c r="G145" s="1"/>
      <c r="H145" s="1">
        <f t="shared" si="34"/>
        <v>0</v>
      </c>
      <c r="I145" s="1"/>
      <c r="J145" s="1"/>
      <c r="K145" s="1">
        <f t="shared" si="22"/>
        <v>344.15593220338991</v>
      </c>
    </row>
    <row r="146" spans="1:11" hidden="1" outlineLevel="1" x14ac:dyDescent="0.3">
      <c r="A146" s="51"/>
      <c r="B146" s="3" t="s">
        <v>373</v>
      </c>
      <c r="C146" s="4" t="s">
        <v>192</v>
      </c>
      <c r="D146" s="1">
        <f>D142/5</f>
        <v>52.747200000000007</v>
      </c>
      <c r="E146" s="1">
        <f>SUMIFS(მასალა!D4:D231,მასალა!B4:B231,ბიუჯეტი!B146)</f>
        <v>19.915254237288135</v>
      </c>
      <c r="F146" s="1">
        <f t="shared" si="33"/>
        <v>1050.4738983050847</v>
      </c>
      <c r="G146" s="1"/>
      <c r="H146" s="1">
        <f t="shared" si="34"/>
        <v>0</v>
      </c>
      <c r="I146" s="1"/>
      <c r="J146" s="1"/>
      <c r="K146" s="1">
        <f t="shared" si="22"/>
        <v>1050.4738983050847</v>
      </c>
    </row>
    <row r="147" spans="1:11" hidden="1" outlineLevel="1" x14ac:dyDescent="0.3">
      <c r="A147" s="51"/>
      <c r="B147" s="3" t="s">
        <v>374</v>
      </c>
      <c r="C147" s="4" t="s">
        <v>246</v>
      </c>
      <c r="D147" s="1">
        <v>28</v>
      </c>
      <c r="E147" s="1">
        <f>SUMIFS(მასალა!D5:D232,მასალა!B5:B232,ბიუჯეტი!B147)</f>
        <v>9.4915254237288131</v>
      </c>
      <c r="F147" s="1">
        <f t="shared" si="33"/>
        <v>265.76271186440675</v>
      </c>
      <c r="G147" s="1"/>
      <c r="H147" s="1">
        <f t="shared" si="34"/>
        <v>0</v>
      </c>
      <c r="I147" s="1"/>
      <c r="J147" s="1"/>
      <c r="K147" s="1">
        <f t="shared" si="22"/>
        <v>265.76271186440675</v>
      </c>
    </row>
    <row r="148" spans="1:11" hidden="1" outlineLevel="1" x14ac:dyDescent="0.3">
      <c r="A148" s="51"/>
      <c r="B148" s="3" t="s">
        <v>400</v>
      </c>
      <c r="C148" s="4" t="s">
        <v>246</v>
      </c>
      <c r="D148" s="1">
        <v>60</v>
      </c>
      <c r="E148" s="1">
        <f>SUMIFS(მასალა!D6:D233,მასალა!B6:B233,ბიუჯეტი!B148)</f>
        <v>33.898305084745765</v>
      </c>
      <c r="F148" s="1">
        <f t="shared" si="33"/>
        <v>2033.898305084746</v>
      </c>
      <c r="G148" s="1"/>
      <c r="H148" s="1">
        <f t="shared" si="34"/>
        <v>0</v>
      </c>
      <c r="I148" s="1"/>
      <c r="J148" s="1"/>
      <c r="K148" s="1">
        <f t="shared" si="22"/>
        <v>2033.898305084746</v>
      </c>
    </row>
    <row r="149" spans="1:11" hidden="1" outlineLevel="1" x14ac:dyDescent="0.3">
      <c r="A149" s="51"/>
      <c r="B149" s="3" t="s">
        <v>375</v>
      </c>
      <c r="C149" s="4" t="s">
        <v>10</v>
      </c>
      <c r="D149" s="1">
        <f>D142</f>
        <v>263.73600000000005</v>
      </c>
      <c r="E149" s="1">
        <f>SUMIFS(მასალა!D7:D234,მასალა!B7:B234,ბიუჯეტი!B149)</f>
        <v>14.40677966101695</v>
      </c>
      <c r="F149" s="1">
        <f t="shared" si="33"/>
        <v>3799.5864406779669</v>
      </c>
      <c r="G149" s="1"/>
      <c r="H149" s="1">
        <f t="shared" si="34"/>
        <v>0</v>
      </c>
      <c r="I149" s="1"/>
      <c r="J149" s="1"/>
      <c r="K149" s="1">
        <f t="shared" si="22"/>
        <v>3799.5864406779669</v>
      </c>
    </row>
    <row r="150" spans="1:11" hidden="1" outlineLevel="1" x14ac:dyDescent="0.3">
      <c r="A150" s="51"/>
      <c r="B150" s="3" t="s">
        <v>376</v>
      </c>
      <c r="C150" s="4" t="s">
        <v>10</v>
      </c>
      <c r="D150" s="1">
        <v>18</v>
      </c>
      <c r="E150" s="1">
        <f>SUMIFS(მასალა!D8:D235,მასალა!B8:B235,ბიუჯეტი!B150)</f>
        <v>7.6271186440677967</v>
      </c>
      <c r="F150" s="1">
        <f t="shared" si="33"/>
        <v>137.28813559322035</v>
      </c>
      <c r="G150" s="1"/>
      <c r="H150" s="1">
        <f t="shared" si="34"/>
        <v>0</v>
      </c>
      <c r="I150" s="1"/>
      <c r="J150" s="1"/>
      <c r="K150" s="1">
        <f t="shared" si="22"/>
        <v>137.28813559322035</v>
      </c>
    </row>
    <row r="151" spans="1:11" hidden="1" outlineLevel="1" x14ac:dyDescent="0.3">
      <c r="A151" s="51"/>
      <c r="B151" s="3" t="s">
        <v>377</v>
      </c>
      <c r="C151" s="4" t="s">
        <v>10</v>
      </c>
      <c r="D151" s="1">
        <f>D142</f>
        <v>263.73600000000005</v>
      </c>
      <c r="E151" s="1">
        <f>SUMIFS(მასალა!D9:D236,მასალა!B9:B236,ბიუჯეტი!B151)</f>
        <v>6.7796610169491531</v>
      </c>
      <c r="F151" s="1">
        <f t="shared" si="33"/>
        <v>1788.0406779661021</v>
      </c>
      <c r="G151" s="1"/>
      <c r="H151" s="1">
        <f t="shared" si="34"/>
        <v>0</v>
      </c>
      <c r="I151" s="1"/>
      <c r="J151" s="1"/>
      <c r="K151" s="1">
        <f t="shared" si="22"/>
        <v>1788.0406779661021</v>
      </c>
    </row>
    <row r="152" spans="1:11" hidden="1" outlineLevel="1" x14ac:dyDescent="0.3">
      <c r="A152" s="51">
        <v>2</v>
      </c>
      <c r="B152" s="3" t="s">
        <v>162</v>
      </c>
      <c r="C152" s="4" t="s">
        <v>10</v>
      </c>
      <c r="D152" s="1">
        <f>სამუშაო!E26+სამუშაო!E27+სამუშაო!E28</f>
        <v>497.17799999999988</v>
      </c>
      <c r="E152" s="1"/>
      <c r="F152" s="1">
        <f t="shared" si="33"/>
        <v>0</v>
      </c>
      <c r="G152" s="1"/>
      <c r="H152" s="1">
        <f t="shared" si="34"/>
        <v>0</v>
      </c>
      <c r="I152" s="1"/>
      <c r="J152" s="1"/>
      <c r="K152" s="1">
        <f t="shared" si="22"/>
        <v>0</v>
      </c>
    </row>
    <row r="153" spans="1:11" hidden="1" outlineLevel="1" x14ac:dyDescent="0.3">
      <c r="A153" s="51"/>
      <c r="B153" s="3" t="s">
        <v>401</v>
      </c>
      <c r="C153" s="4" t="s">
        <v>192</v>
      </c>
      <c r="D153" s="1">
        <f>D152/2.5</f>
        <v>198.87119999999996</v>
      </c>
      <c r="E153" s="1">
        <f>SUMIFS(მასალა!D1:D238,მასალა!B1:B238,ბიუჯეტი!B153)</f>
        <v>15.677966101694915</v>
      </c>
      <c r="F153" s="1">
        <f t="shared" si="33"/>
        <v>3117.8959322033893</v>
      </c>
      <c r="G153" s="1"/>
      <c r="H153" s="1">
        <f t="shared" si="34"/>
        <v>0</v>
      </c>
      <c r="I153" s="1"/>
      <c r="J153" s="1"/>
      <c r="K153" s="1">
        <f t="shared" si="22"/>
        <v>3117.8959322033893</v>
      </c>
    </row>
    <row r="154" spans="1:11" hidden="1" outlineLevel="1" x14ac:dyDescent="0.3">
      <c r="A154" s="51"/>
      <c r="B154" s="3" t="s">
        <v>402</v>
      </c>
      <c r="C154" s="4" t="s">
        <v>192</v>
      </c>
      <c r="D154" s="1">
        <f>D152/2</f>
        <v>248.58899999999994</v>
      </c>
      <c r="E154" s="1">
        <f>SUMIFS(მასალა!D2:D239,მასალა!B2:B239,ბიუჯეტი!B154)</f>
        <v>19.915254237288135</v>
      </c>
      <c r="F154" s="1">
        <f t="shared" si="33"/>
        <v>4950.7131355932188</v>
      </c>
      <c r="G154" s="1"/>
      <c r="H154" s="1">
        <f t="shared" si="34"/>
        <v>0</v>
      </c>
      <c r="I154" s="1"/>
      <c r="J154" s="1"/>
      <c r="K154" s="1">
        <f t="shared" ref="K154:K217" si="35">F154+H154+J154</f>
        <v>4950.7131355932188</v>
      </c>
    </row>
    <row r="155" spans="1:11" hidden="1" outlineLevel="1" x14ac:dyDescent="0.3">
      <c r="A155" s="51"/>
      <c r="B155" s="3" t="s">
        <v>372</v>
      </c>
      <c r="C155" s="4" t="s">
        <v>10</v>
      </c>
      <c r="D155" s="1">
        <f>D152+7</f>
        <v>504.17799999999988</v>
      </c>
      <c r="E155" s="1">
        <f>SUMIFS(მასალა!D3:D240,მასალა!B3:B240,ბიუჯეტი!B155)</f>
        <v>1.2711864406779663</v>
      </c>
      <c r="F155" s="1">
        <f t="shared" si="33"/>
        <v>640.9042372881355</v>
      </c>
      <c r="G155" s="1"/>
      <c r="H155" s="1">
        <f t="shared" si="34"/>
        <v>0</v>
      </c>
      <c r="I155" s="1"/>
      <c r="J155" s="1"/>
      <c r="K155" s="1">
        <f t="shared" si="35"/>
        <v>640.9042372881355</v>
      </c>
    </row>
    <row r="156" spans="1:11" hidden="1" outlineLevel="1" x14ac:dyDescent="0.3">
      <c r="A156" s="51"/>
      <c r="B156" s="3" t="s">
        <v>373</v>
      </c>
      <c r="C156" s="4" t="s">
        <v>192</v>
      </c>
      <c r="D156" s="1">
        <f>D152/5</f>
        <v>99.43559999999998</v>
      </c>
      <c r="E156" s="1">
        <f>SUMIFS(მასალა!D4:D241,მასალა!B4:B241,ბიუჯეტი!B156)</f>
        <v>19.915254237288135</v>
      </c>
      <c r="F156" s="1">
        <f t="shared" si="33"/>
        <v>1980.2852542372877</v>
      </c>
      <c r="G156" s="1"/>
      <c r="H156" s="1">
        <f t="shared" si="34"/>
        <v>0</v>
      </c>
      <c r="I156" s="1"/>
      <c r="J156" s="1"/>
      <c r="K156" s="1">
        <f t="shared" si="35"/>
        <v>1980.2852542372877</v>
      </c>
    </row>
    <row r="157" spans="1:11" hidden="1" outlineLevel="1" x14ac:dyDescent="0.3">
      <c r="A157" s="51"/>
      <c r="B157" s="3" t="s">
        <v>374</v>
      </c>
      <c r="C157" s="4" t="s">
        <v>246</v>
      </c>
      <c r="D157" s="1">
        <v>75</v>
      </c>
      <c r="E157" s="1">
        <f>SUMIFS(მასალა!D5:D242,მასალა!B5:B242,ბიუჯეტი!B157)</f>
        <v>9.4915254237288131</v>
      </c>
      <c r="F157" s="1">
        <f t="shared" si="33"/>
        <v>711.86440677966095</v>
      </c>
      <c r="G157" s="1"/>
      <c r="H157" s="1">
        <f t="shared" si="34"/>
        <v>0</v>
      </c>
      <c r="I157" s="1"/>
      <c r="J157" s="1"/>
      <c r="K157" s="1">
        <f t="shared" si="35"/>
        <v>711.86440677966095</v>
      </c>
    </row>
    <row r="158" spans="1:11" hidden="1" outlineLevel="1" x14ac:dyDescent="0.3">
      <c r="A158" s="51"/>
      <c r="B158" s="3" t="s">
        <v>400</v>
      </c>
      <c r="C158" s="4" t="s">
        <v>246</v>
      </c>
      <c r="D158" s="1">
        <v>170</v>
      </c>
      <c r="E158" s="1">
        <f>SUMIFS(მასალა!D6:D243,მასალა!B6:B243,ბიუჯეტი!B158)</f>
        <v>33.898305084745765</v>
      </c>
      <c r="F158" s="1">
        <f t="shared" si="33"/>
        <v>5762.7118644067796</v>
      </c>
      <c r="G158" s="1"/>
      <c r="H158" s="1">
        <f t="shared" si="34"/>
        <v>0</v>
      </c>
      <c r="I158" s="1"/>
      <c r="J158" s="1"/>
      <c r="K158" s="1">
        <f t="shared" si="35"/>
        <v>5762.7118644067796</v>
      </c>
    </row>
    <row r="159" spans="1:11" hidden="1" outlineLevel="1" x14ac:dyDescent="0.3">
      <c r="A159" s="51"/>
      <c r="B159" s="3" t="s">
        <v>375</v>
      </c>
      <c r="C159" s="4" t="s">
        <v>10</v>
      </c>
      <c r="D159" s="1">
        <f>D152</f>
        <v>497.17799999999988</v>
      </c>
      <c r="E159" s="1">
        <f>SUMIFS(მასალა!D7:D244,მასალა!B7:B244,ბიუჯეტი!B159)</f>
        <v>14.40677966101695</v>
      </c>
      <c r="F159" s="1">
        <f t="shared" si="33"/>
        <v>7162.7338983050831</v>
      </c>
      <c r="G159" s="1"/>
      <c r="H159" s="1">
        <f t="shared" si="34"/>
        <v>0</v>
      </c>
      <c r="I159" s="1"/>
      <c r="J159" s="1"/>
      <c r="K159" s="1">
        <f t="shared" si="35"/>
        <v>7162.7338983050831</v>
      </c>
    </row>
    <row r="160" spans="1:11" hidden="1" outlineLevel="1" x14ac:dyDescent="0.3">
      <c r="A160" s="51"/>
      <c r="B160" s="3" t="s">
        <v>376</v>
      </c>
      <c r="C160" s="4" t="s">
        <v>10</v>
      </c>
      <c r="D160" s="1">
        <v>45</v>
      </c>
      <c r="E160" s="1">
        <f>SUMIFS(მასალა!D8:D245,მასალა!B8:B245,ბიუჯეტი!B160)</f>
        <v>7.6271186440677967</v>
      </c>
      <c r="F160" s="1">
        <f t="shared" si="33"/>
        <v>343.22033898305085</v>
      </c>
      <c r="G160" s="1"/>
      <c r="H160" s="1">
        <f t="shared" si="34"/>
        <v>0</v>
      </c>
      <c r="I160" s="1"/>
      <c r="J160" s="1"/>
      <c r="K160" s="1">
        <f t="shared" si="35"/>
        <v>343.22033898305085</v>
      </c>
    </row>
    <row r="161" spans="1:11" hidden="1" outlineLevel="1" x14ac:dyDescent="0.3">
      <c r="A161" s="51"/>
      <c r="B161" s="3" t="s">
        <v>377</v>
      </c>
      <c r="C161" s="4" t="s">
        <v>10</v>
      </c>
      <c r="D161" s="1">
        <f>D152</f>
        <v>497.17799999999988</v>
      </c>
      <c r="E161" s="1">
        <f>SUMIFS(მასალა!D9:D246,მასალა!B9:B246,ბიუჯეტი!B161)</f>
        <v>6.7796610169491531</v>
      </c>
      <c r="F161" s="1">
        <f t="shared" si="33"/>
        <v>3370.6983050847452</v>
      </c>
      <c r="G161" s="1"/>
      <c r="H161" s="1">
        <f t="shared" si="34"/>
        <v>0</v>
      </c>
      <c r="I161" s="1"/>
      <c r="J161" s="1"/>
      <c r="K161" s="1">
        <f t="shared" si="35"/>
        <v>3370.6983050847452</v>
      </c>
    </row>
    <row r="162" spans="1:11" collapsed="1" x14ac:dyDescent="0.3">
      <c r="A162" s="65">
        <v>8</v>
      </c>
      <c r="B162" s="66" t="s">
        <v>254</v>
      </c>
      <c r="C162" s="67" t="s">
        <v>10</v>
      </c>
      <c r="D162" s="68">
        <f>D163</f>
        <v>218.39999999999998</v>
      </c>
      <c r="E162" s="68">
        <f>SUM(K164:K166)/D162</f>
        <v>8.4162309322033924</v>
      </c>
      <c r="F162" s="68">
        <f>D162*E162</f>
        <v>1838.1048355932207</v>
      </c>
      <c r="G162" s="68">
        <f>ხელფასი!D38</f>
        <v>19.125</v>
      </c>
      <c r="H162" s="68">
        <f>G162*D162</f>
        <v>4176.8999999999996</v>
      </c>
      <c r="I162" s="68">
        <v>0</v>
      </c>
      <c r="J162" s="68">
        <f>I162*D162</f>
        <v>0</v>
      </c>
      <c r="K162" s="1">
        <f t="shared" si="35"/>
        <v>6015.0048355932204</v>
      </c>
    </row>
    <row r="163" spans="1:11" hidden="1" outlineLevel="1" x14ac:dyDescent="0.3">
      <c r="A163" s="51">
        <v>2</v>
      </c>
      <c r="B163" s="23" t="s">
        <v>254</v>
      </c>
      <c r="C163" s="4" t="s">
        <v>10</v>
      </c>
      <c r="D163" s="1">
        <f>(7*2.6)*12</f>
        <v>218.39999999999998</v>
      </c>
      <c r="E163" s="1"/>
      <c r="F163" s="1">
        <f>D163*E163</f>
        <v>0</v>
      </c>
      <c r="G163" s="1">
        <f>ხელფასი!D38</f>
        <v>19.125</v>
      </c>
      <c r="H163" s="1">
        <f>G163*D163</f>
        <v>4176.8999999999996</v>
      </c>
      <c r="I163" s="1"/>
      <c r="J163" s="1"/>
      <c r="K163" s="1">
        <f t="shared" si="35"/>
        <v>4176.8999999999996</v>
      </c>
    </row>
    <row r="164" spans="1:11" hidden="1" outlineLevel="1" x14ac:dyDescent="0.3">
      <c r="A164" s="51"/>
      <c r="B164" s="3" t="s">
        <v>50</v>
      </c>
      <c r="C164" s="4" t="s">
        <v>9</v>
      </c>
      <c r="D164" s="1">
        <f>0.05*D163*1.05</f>
        <v>11.466000000000001</v>
      </c>
      <c r="E164" s="1">
        <f>SUMIFS(მასალა!D1:D249,მასალა!B1:B249,ბიუჯეტი!B164)</f>
        <v>59.322033898305087</v>
      </c>
      <c r="F164" s="1">
        <f>D164*E164</f>
        <v>680.18644067796617</v>
      </c>
      <c r="G164" s="1"/>
      <c r="H164" s="1">
        <f>D164*G164</f>
        <v>0</v>
      </c>
      <c r="I164" s="1"/>
      <c r="J164" s="1"/>
      <c r="K164" s="1">
        <f t="shared" si="35"/>
        <v>680.18644067796617</v>
      </c>
    </row>
    <row r="165" spans="1:11" hidden="1" outlineLevel="1" x14ac:dyDescent="0.3">
      <c r="A165" s="51"/>
      <c r="B165" s="3" t="s">
        <v>378</v>
      </c>
      <c r="C165" s="4" t="s">
        <v>10</v>
      </c>
      <c r="D165" s="1">
        <f>D162</f>
        <v>218.39999999999998</v>
      </c>
      <c r="E165" s="1">
        <f>SUMIFS(მასალა!D2:D250,მასალა!B2:B250,ბიუჯეტი!B165)</f>
        <v>0.42372881355932207</v>
      </c>
      <c r="F165" s="1">
        <f>D165*E165</f>
        <v>92.542372881355931</v>
      </c>
      <c r="G165" s="1"/>
      <c r="H165" s="1">
        <f>D165*G165</f>
        <v>0</v>
      </c>
      <c r="I165" s="1"/>
      <c r="J165" s="1"/>
      <c r="K165" s="1">
        <f t="shared" si="35"/>
        <v>92.542372881355931</v>
      </c>
    </row>
    <row r="166" spans="1:11" hidden="1" outlineLevel="1" x14ac:dyDescent="0.3">
      <c r="A166" s="51"/>
      <c r="B166" s="3" t="s">
        <v>51</v>
      </c>
      <c r="C166" s="4" t="s">
        <v>12</v>
      </c>
      <c r="D166" s="1">
        <f>D164/3*1.05</f>
        <v>4.0131000000000006</v>
      </c>
      <c r="E166" s="1">
        <f>SUMIFS(მასალა!D3:D251,მასალა!B3:B251,ბიუჯეტი!B166)</f>
        <v>265.47457627118644</v>
      </c>
      <c r="F166" s="1">
        <f>D166*E166</f>
        <v>1065.3760220338984</v>
      </c>
      <c r="G166" s="1"/>
      <c r="H166" s="1">
        <f>D166*G166</f>
        <v>0</v>
      </c>
      <c r="I166" s="1"/>
      <c r="J166" s="1"/>
      <c r="K166" s="1">
        <f t="shared" si="35"/>
        <v>1065.3760220338984</v>
      </c>
    </row>
    <row r="167" spans="1:11" collapsed="1" x14ac:dyDescent="0.3">
      <c r="A167" s="51">
        <v>9</v>
      </c>
      <c r="B167" s="23" t="s">
        <v>187</v>
      </c>
      <c r="C167" s="4" t="s">
        <v>10</v>
      </c>
      <c r="D167" s="1">
        <f>სამუშაო!H45+სამუშაო!H46+სამუშაო!H47+სამუშაო!H48+სამუშაო!H49</f>
        <v>107.21999999999998</v>
      </c>
      <c r="E167" s="1">
        <v>0</v>
      </c>
      <c r="F167" s="1">
        <f t="shared" ref="F167:F198" si="36">D167*E167</f>
        <v>0</v>
      </c>
      <c r="G167" s="1">
        <v>0</v>
      </c>
      <c r="H167" s="1">
        <f>G167*D167</f>
        <v>0</v>
      </c>
      <c r="I167" s="1">
        <f>მომსახურება!D5</f>
        <v>292.10000000000002</v>
      </c>
      <c r="J167" s="1">
        <f>I167*D167</f>
        <v>31318.962</v>
      </c>
      <c r="K167" s="1">
        <f t="shared" si="35"/>
        <v>31318.962</v>
      </c>
    </row>
    <row r="168" spans="1:11" x14ac:dyDescent="0.3">
      <c r="A168" s="51">
        <v>10</v>
      </c>
      <c r="B168" s="23" t="s">
        <v>60</v>
      </c>
      <c r="C168" s="4" t="s">
        <v>40</v>
      </c>
      <c r="D168" s="1">
        <f>SUM(D169,D173,D177,D181,)</f>
        <v>161.10000000000002</v>
      </c>
      <c r="E168" s="1">
        <f>SUM(K182:K184,K178:K180,K174:K176,K170:K172,)/D168</f>
        <v>27.62813559322035</v>
      </c>
      <c r="F168" s="1">
        <f t="shared" si="36"/>
        <v>4450.8926440677988</v>
      </c>
      <c r="G168" s="1">
        <f>SUM(H169:H184)/D168</f>
        <v>20.399999999999999</v>
      </c>
      <c r="H168" s="1">
        <f>G168*D168</f>
        <v>3286.44</v>
      </c>
      <c r="I168" s="1">
        <v>0</v>
      </c>
      <c r="J168" s="1">
        <v>0</v>
      </c>
      <c r="K168" s="1">
        <f t="shared" si="35"/>
        <v>7737.3326440677993</v>
      </c>
    </row>
    <row r="169" spans="1:11" hidden="1" outlineLevel="1" x14ac:dyDescent="0.3">
      <c r="A169" s="51">
        <v>1</v>
      </c>
      <c r="B169" s="23" t="s">
        <v>163</v>
      </c>
      <c r="C169" s="4" t="s">
        <v>40</v>
      </c>
      <c r="D169" s="1">
        <f>სამუშაო!H24</f>
        <v>28.8</v>
      </c>
      <c r="E169" s="1"/>
      <c r="F169" s="1">
        <f t="shared" si="36"/>
        <v>0</v>
      </c>
      <c r="G169" s="1">
        <f>ხელფასი!D10</f>
        <v>20.399999999999999</v>
      </c>
      <c r="H169" s="1">
        <f t="shared" ref="H169:H184" si="37">D169*G169</f>
        <v>587.52</v>
      </c>
      <c r="I169" s="1"/>
      <c r="J169" s="1"/>
      <c r="K169" s="1">
        <f t="shared" si="35"/>
        <v>587.52</v>
      </c>
    </row>
    <row r="170" spans="1:11" hidden="1" outlineLevel="1" x14ac:dyDescent="0.3">
      <c r="A170" s="51"/>
      <c r="B170" s="3" t="s">
        <v>62</v>
      </c>
      <c r="C170" s="4" t="s">
        <v>10</v>
      </c>
      <c r="D170" s="1">
        <f>D169*0.2*1.05</f>
        <v>6.0480000000000009</v>
      </c>
      <c r="E170" s="1">
        <f>SUMIFS(მასალა!D1:D255,მასალა!B1:B255,ბიუჯეტი!B170)</f>
        <v>118.64406779661017</v>
      </c>
      <c r="F170" s="1">
        <f t="shared" si="36"/>
        <v>717.55932203389841</v>
      </c>
      <c r="G170" s="1"/>
      <c r="H170" s="1">
        <f t="shared" si="37"/>
        <v>0</v>
      </c>
      <c r="I170" s="1"/>
      <c r="J170" s="1"/>
      <c r="K170" s="1">
        <f t="shared" si="35"/>
        <v>717.55932203389841</v>
      </c>
    </row>
    <row r="171" spans="1:11" hidden="1" outlineLevel="1" x14ac:dyDescent="0.3">
      <c r="A171" s="51"/>
      <c r="B171" s="3" t="s">
        <v>63</v>
      </c>
      <c r="C171" s="4" t="s">
        <v>49</v>
      </c>
      <c r="D171" s="1">
        <f>D170*10/25*1.1</f>
        <v>2.6611200000000008</v>
      </c>
      <c r="E171" s="1">
        <f>SUMIFS(მასალა!D2:D256,მასალა!B2:B256,ბიუჯეტი!B171)</f>
        <v>11.016949152542374</v>
      </c>
      <c r="F171" s="1">
        <f t="shared" si="36"/>
        <v>29.317423728813569</v>
      </c>
      <c r="G171" s="1"/>
      <c r="H171" s="1">
        <f t="shared" si="37"/>
        <v>0</v>
      </c>
      <c r="I171" s="1"/>
      <c r="J171" s="1"/>
      <c r="K171" s="1">
        <f t="shared" si="35"/>
        <v>29.317423728813569</v>
      </c>
    </row>
    <row r="172" spans="1:11" hidden="1" outlineLevel="1" x14ac:dyDescent="0.3">
      <c r="A172" s="51"/>
      <c r="B172" s="3" t="s">
        <v>379</v>
      </c>
      <c r="C172" s="4" t="s">
        <v>55</v>
      </c>
      <c r="D172" s="1">
        <f>D169</f>
        <v>28.8</v>
      </c>
      <c r="E172" s="1">
        <f>SUMIFS(მასალა!D3:D257,მასალა!B3:B257,ბიუჯეტი!B172)</f>
        <v>1.6949152542372883</v>
      </c>
      <c r="F172" s="1">
        <f t="shared" si="36"/>
        <v>48.813559322033903</v>
      </c>
      <c r="G172" s="1"/>
      <c r="H172" s="1">
        <f t="shared" si="37"/>
        <v>0</v>
      </c>
      <c r="I172" s="1"/>
      <c r="J172" s="1"/>
      <c r="K172" s="1">
        <f t="shared" si="35"/>
        <v>48.813559322033903</v>
      </c>
    </row>
    <row r="173" spans="1:11" hidden="1" outlineLevel="1" x14ac:dyDescent="0.3">
      <c r="A173" s="51">
        <v>2</v>
      </c>
      <c r="B173" s="23" t="s">
        <v>61</v>
      </c>
      <c r="C173" s="4" t="s">
        <v>40</v>
      </c>
      <c r="D173" s="1">
        <f>სამუშაო!H25</f>
        <v>44.7</v>
      </c>
      <c r="E173" s="1"/>
      <c r="F173" s="1">
        <f t="shared" si="36"/>
        <v>0</v>
      </c>
      <c r="G173" s="1">
        <f>ხელფასი!D10</f>
        <v>20.399999999999999</v>
      </c>
      <c r="H173" s="1">
        <f t="shared" si="37"/>
        <v>911.88</v>
      </c>
      <c r="I173" s="1"/>
      <c r="J173" s="1"/>
      <c r="K173" s="1">
        <f t="shared" si="35"/>
        <v>911.88</v>
      </c>
    </row>
    <row r="174" spans="1:11" hidden="1" outlineLevel="1" x14ac:dyDescent="0.3">
      <c r="A174" s="51"/>
      <c r="B174" s="3" t="s">
        <v>62</v>
      </c>
      <c r="C174" s="4" t="s">
        <v>10</v>
      </c>
      <c r="D174" s="1">
        <f>D173*0.2*1.05</f>
        <v>9.3870000000000022</v>
      </c>
      <c r="E174" s="1">
        <f>SUMIFS(მასალა!D5:D259,მასალა!B5:B259,ბიუჯეტი!B174)</f>
        <v>118.64406779661017</v>
      </c>
      <c r="F174" s="1">
        <f t="shared" si="36"/>
        <v>1113.71186440678</v>
      </c>
      <c r="G174" s="1"/>
      <c r="H174" s="1">
        <f t="shared" si="37"/>
        <v>0</v>
      </c>
      <c r="I174" s="1"/>
      <c r="J174" s="1"/>
      <c r="K174" s="1">
        <f t="shared" si="35"/>
        <v>1113.71186440678</v>
      </c>
    </row>
    <row r="175" spans="1:11" hidden="1" outlineLevel="1" x14ac:dyDescent="0.3">
      <c r="A175" s="51"/>
      <c r="B175" s="3" t="s">
        <v>63</v>
      </c>
      <c r="C175" s="4" t="s">
        <v>49</v>
      </c>
      <c r="D175" s="1">
        <f>D174*10/25*1.1</f>
        <v>4.1302800000000008</v>
      </c>
      <c r="E175" s="1">
        <f>SUMIFS(მასალა!D6:D260,მასალა!B6:B260,ბიუჯეტი!B175)</f>
        <v>11.016949152542374</v>
      </c>
      <c r="F175" s="1">
        <f t="shared" si="36"/>
        <v>45.503084745762727</v>
      </c>
      <c r="G175" s="1"/>
      <c r="H175" s="1">
        <f t="shared" si="37"/>
        <v>0</v>
      </c>
      <c r="I175" s="1"/>
      <c r="J175" s="1"/>
      <c r="K175" s="1">
        <f t="shared" si="35"/>
        <v>45.503084745762727</v>
      </c>
    </row>
    <row r="176" spans="1:11" hidden="1" outlineLevel="1" x14ac:dyDescent="0.3">
      <c r="A176" s="51"/>
      <c r="B176" s="3" t="s">
        <v>379</v>
      </c>
      <c r="C176" s="4" t="s">
        <v>55</v>
      </c>
      <c r="D176" s="1">
        <f>D173</f>
        <v>44.7</v>
      </c>
      <c r="E176" s="1">
        <f>SUMIFS(მასალა!D7:D261,მასალა!B7:B261,ბიუჯეტი!B176)</f>
        <v>1.6949152542372883</v>
      </c>
      <c r="F176" s="1">
        <f t="shared" si="36"/>
        <v>75.762711864406796</v>
      </c>
      <c r="G176" s="1"/>
      <c r="H176" s="1">
        <f t="shared" si="37"/>
        <v>0</v>
      </c>
      <c r="I176" s="1"/>
      <c r="J176" s="1"/>
      <c r="K176" s="1">
        <f t="shared" si="35"/>
        <v>75.762711864406796</v>
      </c>
    </row>
    <row r="177" spans="1:11" hidden="1" outlineLevel="1" x14ac:dyDescent="0.3">
      <c r="A177" s="51">
        <v>3</v>
      </c>
      <c r="B177" s="23" t="s">
        <v>164</v>
      </c>
      <c r="C177" s="4" t="s">
        <v>40</v>
      </c>
      <c r="D177" s="1">
        <f>სამუშაო!H26+სამუშაო!H27+სამუშაო!H28</f>
        <v>87.600000000000009</v>
      </c>
      <c r="E177" s="1"/>
      <c r="F177" s="1">
        <f t="shared" si="36"/>
        <v>0</v>
      </c>
      <c r="G177" s="1">
        <f>ხელფასი!D10</f>
        <v>20.399999999999999</v>
      </c>
      <c r="H177" s="1">
        <f t="shared" si="37"/>
        <v>1787.04</v>
      </c>
      <c r="I177" s="1"/>
      <c r="J177" s="1"/>
      <c r="K177" s="1">
        <f t="shared" si="35"/>
        <v>1787.04</v>
      </c>
    </row>
    <row r="178" spans="1:11" hidden="1" outlineLevel="1" x14ac:dyDescent="0.3">
      <c r="A178" s="51"/>
      <c r="B178" s="3" t="s">
        <v>62</v>
      </c>
      <c r="C178" s="4" t="s">
        <v>10</v>
      </c>
      <c r="D178" s="1">
        <f>D177*0.2*1.05</f>
        <v>18.396000000000004</v>
      </c>
      <c r="E178" s="1">
        <f>SUMIFS(მასალა!D1:D263,მასალა!B1:B263,ბიუჯეტი!B178)</f>
        <v>118.64406779661017</v>
      </c>
      <c r="F178" s="1">
        <f t="shared" si="36"/>
        <v>2182.5762711864413</v>
      </c>
      <c r="G178" s="1"/>
      <c r="H178" s="1">
        <f t="shared" si="37"/>
        <v>0</v>
      </c>
      <c r="I178" s="1"/>
      <c r="J178" s="1"/>
      <c r="K178" s="1">
        <f t="shared" si="35"/>
        <v>2182.5762711864413</v>
      </c>
    </row>
    <row r="179" spans="1:11" hidden="1" outlineLevel="1" x14ac:dyDescent="0.3">
      <c r="A179" s="51"/>
      <c r="B179" s="3" t="s">
        <v>63</v>
      </c>
      <c r="C179" s="4" t="s">
        <v>49</v>
      </c>
      <c r="D179" s="1">
        <f>D178*10/25*1.1</f>
        <v>8.0942400000000028</v>
      </c>
      <c r="E179" s="1">
        <f>SUMIFS(მასალა!D2:D264,მასალა!B2:B264,ბიუჯეტი!B179)</f>
        <v>11.016949152542374</v>
      </c>
      <c r="F179" s="1">
        <f t="shared" si="36"/>
        <v>89.173830508474609</v>
      </c>
      <c r="G179" s="1"/>
      <c r="H179" s="1">
        <f t="shared" si="37"/>
        <v>0</v>
      </c>
      <c r="I179" s="1"/>
      <c r="J179" s="1"/>
      <c r="K179" s="1">
        <f t="shared" si="35"/>
        <v>89.173830508474609</v>
      </c>
    </row>
    <row r="180" spans="1:11" hidden="1" outlineLevel="1" x14ac:dyDescent="0.3">
      <c r="A180" s="51"/>
      <c r="B180" s="3" t="s">
        <v>379</v>
      </c>
      <c r="C180" s="4" t="s">
        <v>55</v>
      </c>
      <c r="D180" s="1">
        <f>D177</f>
        <v>87.600000000000009</v>
      </c>
      <c r="E180" s="1">
        <f>SUMIFS(მასალა!D3:D265,მასალა!B3:B265,ბიუჯეტი!B180)</f>
        <v>1.6949152542372883</v>
      </c>
      <c r="F180" s="1">
        <f t="shared" si="36"/>
        <v>148.47457627118646</v>
      </c>
      <c r="G180" s="1"/>
      <c r="H180" s="1">
        <f t="shared" si="37"/>
        <v>0</v>
      </c>
      <c r="I180" s="1"/>
      <c r="J180" s="1"/>
      <c r="K180" s="1">
        <f t="shared" si="35"/>
        <v>148.47457627118646</v>
      </c>
    </row>
    <row r="181" spans="1:11" hidden="1" outlineLevel="1" x14ac:dyDescent="0.3">
      <c r="A181" s="51">
        <v>8</v>
      </c>
      <c r="B181" s="23" t="s">
        <v>64</v>
      </c>
      <c r="C181" s="4" t="s">
        <v>40</v>
      </c>
      <c r="D181" s="1">
        <v>0</v>
      </c>
      <c r="E181" s="1"/>
      <c r="F181" s="1">
        <f t="shared" si="36"/>
        <v>0</v>
      </c>
      <c r="G181" s="1">
        <f>ხელფასი!D10</f>
        <v>20.399999999999999</v>
      </c>
      <c r="H181" s="1">
        <f t="shared" si="37"/>
        <v>0</v>
      </c>
      <c r="I181" s="1"/>
      <c r="J181" s="1"/>
      <c r="K181" s="1">
        <f t="shared" si="35"/>
        <v>0</v>
      </c>
    </row>
    <row r="182" spans="1:11" hidden="1" outlineLevel="1" x14ac:dyDescent="0.3">
      <c r="A182" s="51"/>
      <c r="B182" s="3" t="s">
        <v>62</v>
      </c>
      <c r="C182" s="4" t="s">
        <v>10</v>
      </c>
      <c r="D182" s="1">
        <f>D181*0.2*1.05</f>
        <v>0</v>
      </c>
      <c r="E182" s="1">
        <f>SUMIFS(მასალა!D5:D267,მასალა!B5:B267,ბიუჯეტი!B182)</f>
        <v>118.64406779661017</v>
      </c>
      <c r="F182" s="1">
        <f t="shared" si="36"/>
        <v>0</v>
      </c>
      <c r="G182" s="1"/>
      <c r="H182" s="1">
        <f t="shared" si="37"/>
        <v>0</v>
      </c>
      <c r="I182" s="1"/>
      <c r="J182" s="1"/>
      <c r="K182" s="1">
        <f t="shared" si="35"/>
        <v>0</v>
      </c>
    </row>
    <row r="183" spans="1:11" hidden="1" outlineLevel="1" x14ac:dyDescent="0.3">
      <c r="A183" s="51"/>
      <c r="B183" s="3" t="s">
        <v>63</v>
      </c>
      <c r="C183" s="4" t="s">
        <v>49</v>
      </c>
      <c r="D183" s="1">
        <f>D182*10/25*1.05</f>
        <v>0</v>
      </c>
      <c r="E183" s="1">
        <f>SUMIFS(მასალა!D6:D268,მასალა!B6:B268,ბიუჯეტი!B183)</f>
        <v>11.016949152542374</v>
      </c>
      <c r="F183" s="1">
        <f t="shared" si="36"/>
        <v>0</v>
      </c>
      <c r="G183" s="1"/>
      <c r="H183" s="1">
        <f t="shared" si="37"/>
        <v>0</v>
      </c>
      <c r="I183" s="1"/>
      <c r="J183" s="1"/>
      <c r="K183" s="1">
        <f t="shared" si="35"/>
        <v>0</v>
      </c>
    </row>
    <row r="184" spans="1:11" hidden="1" outlineLevel="1" x14ac:dyDescent="0.3">
      <c r="A184" s="51"/>
      <c r="B184" s="3" t="s">
        <v>379</v>
      </c>
      <c r="C184" s="4" t="s">
        <v>55</v>
      </c>
      <c r="D184" s="1">
        <f>D181</f>
        <v>0</v>
      </c>
      <c r="E184" s="1">
        <f>SUMIFS(მასალა!D7:D269,მასალა!B7:B269,ბიუჯეტი!B184)</f>
        <v>1.6949152542372883</v>
      </c>
      <c r="F184" s="1">
        <f t="shared" si="36"/>
        <v>0</v>
      </c>
      <c r="G184" s="1"/>
      <c r="H184" s="1">
        <f t="shared" si="37"/>
        <v>0</v>
      </c>
      <c r="I184" s="1"/>
      <c r="J184" s="1"/>
      <c r="K184" s="1">
        <f t="shared" si="35"/>
        <v>0</v>
      </c>
    </row>
    <row r="185" spans="1:11" collapsed="1" x14ac:dyDescent="0.3">
      <c r="A185" s="51">
        <v>11</v>
      </c>
      <c r="B185" s="23" t="s">
        <v>65</v>
      </c>
      <c r="C185" s="4" t="s">
        <v>40</v>
      </c>
      <c r="D185" s="1">
        <f>SUM(D186,D189,D192)</f>
        <v>2230.4</v>
      </c>
      <c r="E185" s="1">
        <f>SUM(K187:K188,K190:K191,K193:K194)/D185</f>
        <v>0.72300487050662043</v>
      </c>
      <c r="F185" s="1">
        <f t="shared" si="36"/>
        <v>1612.5900631779664</v>
      </c>
      <c r="G185" s="1">
        <f>SUM(H186:H195)/D185</f>
        <v>6.375</v>
      </c>
      <c r="H185" s="1">
        <f>G185*D185</f>
        <v>14218.800000000001</v>
      </c>
      <c r="I185" s="1">
        <v>0</v>
      </c>
      <c r="J185" s="1">
        <v>0</v>
      </c>
      <c r="K185" s="1">
        <f t="shared" si="35"/>
        <v>15831.390063177967</v>
      </c>
    </row>
    <row r="186" spans="1:11" hidden="1" outlineLevel="1" x14ac:dyDescent="0.3">
      <c r="A186" s="51">
        <v>1</v>
      </c>
      <c r="B186" s="23" t="s">
        <v>165</v>
      </c>
      <c r="C186" s="4" t="s">
        <v>40</v>
      </c>
      <c r="D186" s="1">
        <f>1.2*18</f>
        <v>21.599999999999998</v>
      </c>
      <c r="E186" s="1"/>
      <c r="F186" s="1">
        <f t="shared" si="36"/>
        <v>0</v>
      </c>
      <c r="G186" s="1">
        <f>ხელფასი!D11</f>
        <v>6.375</v>
      </c>
      <c r="H186" s="1">
        <f>G186*D186</f>
        <v>137.69999999999999</v>
      </c>
      <c r="I186" s="1"/>
      <c r="J186" s="1"/>
      <c r="K186" s="1">
        <f t="shared" si="35"/>
        <v>137.69999999999999</v>
      </c>
    </row>
    <row r="187" spans="1:11" hidden="1" outlineLevel="1" x14ac:dyDescent="0.3">
      <c r="A187" s="51"/>
      <c r="B187" s="3" t="s">
        <v>50</v>
      </c>
      <c r="C187" s="4" t="s">
        <v>9</v>
      </c>
      <c r="D187" s="1">
        <f>0.03*D186*0.15*1.1</f>
        <v>0.10691999999999999</v>
      </c>
      <c r="E187" s="1">
        <f>SUMIFS(მასალა!D1:D272,მასალა!B1:B272,ბიუჯეტი!B187)</f>
        <v>59.322033898305087</v>
      </c>
      <c r="F187" s="1">
        <f t="shared" si="36"/>
        <v>6.3427118644067795</v>
      </c>
      <c r="G187" s="1"/>
      <c r="H187" s="1">
        <f>D187*G187</f>
        <v>0</v>
      </c>
      <c r="I187" s="1"/>
      <c r="J187" s="1"/>
      <c r="K187" s="1">
        <f t="shared" si="35"/>
        <v>6.3427118644067795</v>
      </c>
    </row>
    <row r="188" spans="1:11" hidden="1" outlineLevel="1" x14ac:dyDescent="0.3">
      <c r="A188" s="51"/>
      <c r="B188" s="3" t="s">
        <v>51</v>
      </c>
      <c r="C188" s="4" t="s">
        <v>12</v>
      </c>
      <c r="D188" s="1">
        <f>D187/3*1.05</f>
        <v>3.7421999999999997E-2</v>
      </c>
      <c r="E188" s="1">
        <f>SUMIFS(მასალა!D2:D273,მასალა!B2:B273,ბიუჯეტი!B188)</f>
        <v>265.47457627118644</v>
      </c>
      <c r="F188" s="1">
        <f t="shared" si="36"/>
        <v>9.9345895932203376</v>
      </c>
      <c r="G188" s="1"/>
      <c r="H188" s="1">
        <f>D188*G188</f>
        <v>0</v>
      </c>
      <c r="I188" s="1"/>
      <c r="J188" s="1"/>
      <c r="K188" s="1">
        <f t="shared" si="35"/>
        <v>9.9345895932203376</v>
      </c>
    </row>
    <row r="189" spans="1:11" hidden="1" outlineLevel="1" x14ac:dyDescent="0.3">
      <c r="A189" s="51">
        <v>2</v>
      </c>
      <c r="B189" s="23" t="s">
        <v>66</v>
      </c>
      <c r="C189" s="4" t="s">
        <v>40</v>
      </c>
      <c r="D189" s="1">
        <f>2.6*48+1.6*28+2.2*22</f>
        <v>218.00000000000003</v>
      </c>
      <c r="E189" s="1"/>
      <c r="F189" s="1">
        <f t="shared" si="36"/>
        <v>0</v>
      </c>
      <c r="G189" s="1">
        <f>ხელფასი!D11</f>
        <v>6.375</v>
      </c>
      <c r="H189" s="1">
        <f>G189*D189</f>
        <v>1389.7500000000002</v>
      </c>
      <c r="I189" s="1"/>
      <c r="J189" s="1"/>
      <c r="K189" s="1">
        <f t="shared" si="35"/>
        <v>1389.7500000000002</v>
      </c>
    </row>
    <row r="190" spans="1:11" hidden="1" outlineLevel="1" x14ac:dyDescent="0.3">
      <c r="A190" s="51"/>
      <c r="B190" s="3" t="s">
        <v>50</v>
      </c>
      <c r="C190" s="4" t="s">
        <v>9</v>
      </c>
      <c r="D190" s="1">
        <f>0.03*D189*0.15*1.1</f>
        <v>1.0791000000000002</v>
      </c>
      <c r="E190" s="1">
        <f>SUMIFS(მასალა!D4:D275,მასალა!B4:B275,ბიუჯეტი!B190)</f>
        <v>59.322033898305087</v>
      </c>
      <c r="F190" s="1">
        <f t="shared" si="36"/>
        <v>64.01440677966103</v>
      </c>
      <c r="G190" s="1"/>
      <c r="H190" s="1">
        <f>D190*G190</f>
        <v>0</v>
      </c>
      <c r="I190" s="1"/>
      <c r="J190" s="1"/>
      <c r="K190" s="1">
        <f t="shared" si="35"/>
        <v>64.01440677966103</v>
      </c>
    </row>
    <row r="191" spans="1:11" hidden="1" outlineLevel="1" x14ac:dyDescent="0.3">
      <c r="A191" s="51"/>
      <c r="B191" s="3" t="s">
        <v>51</v>
      </c>
      <c r="C191" s="4" t="s">
        <v>12</v>
      </c>
      <c r="D191" s="1">
        <f>D190/3*1.05</f>
        <v>0.3776850000000001</v>
      </c>
      <c r="E191" s="1">
        <f>SUMIFS(მასალა!D5:D276,მასალა!B5:B276,ბიუჯეტი!B191)</f>
        <v>265.47457627118644</v>
      </c>
      <c r="F191" s="1">
        <f t="shared" si="36"/>
        <v>100.26576533898307</v>
      </c>
      <c r="G191" s="1"/>
      <c r="H191" s="1">
        <f>D191*G191</f>
        <v>0</v>
      </c>
      <c r="I191" s="1"/>
      <c r="J191" s="1"/>
      <c r="K191" s="1">
        <f t="shared" si="35"/>
        <v>100.26576533898307</v>
      </c>
    </row>
    <row r="192" spans="1:11" hidden="1" outlineLevel="1" x14ac:dyDescent="0.3">
      <c r="A192" s="51">
        <v>3</v>
      </c>
      <c r="B192" s="23" t="s">
        <v>166</v>
      </c>
      <c r="C192" s="4" t="s">
        <v>40</v>
      </c>
      <c r="D192" s="1">
        <f>(2.6*58+1.6*18+22*22)*3</f>
        <v>1990.8000000000002</v>
      </c>
      <c r="E192" s="1"/>
      <c r="F192" s="1">
        <f t="shared" si="36"/>
        <v>0</v>
      </c>
      <c r="G192" s="1">
        <f>ხელფასი!D11</f>
        <v>6.375</v>
      </c>
      <c r="H192" s="1">
        <f>G192*D192</f>
        <v>12691.35</v>
      </c>
      <c r="I192" s="1"/>
      <c r="J192" s="1"/>
      <c r="K192" s="1">
        <f t="shared" si="35"/>
        <v>12691.35</v>
      </c>
    </row>
    <row r="193" spans="1:11" hidden="1" outlineLevel="1" x14ac:dyDescent="0.3">
      <c r="A193" s="51"/>
      <c r="B193" s="3" t="s">
        <v>50</v>
      </c>
      <c r="C193" s="4" t="s">
        <v>9</v>
      </c>
      <c r="D193" s="1">
        <f>0.03*D192*0.15*1.05</f>
        <v>9.4065300000000018</v>
      </c>
      <c r="E193" s="1">
        <f>SUMIFS(მასალა!D7:D278,მასალა!B7:B278,ბიუჯეტი!B193)</f>
        <v>59.322033898305087</v>
      </c>
      <c r="F193" s="1">
        <f t="shared" si="36"/>
        <v>558.01449152542386</v>
      </c>
      <c r="G193" s="1"/>
      <c r="H193" s="1">
        <f>D193*G193</f>
        <v>0</v>
      </c>
      <c r="I193" s="1"/>
      <c r="J193" s="1"/>
      <c r="K193" s="1">
        <f t="shared" si="35"/>
        <v>558.01449152542386</v>
      </c>
    </row>
    <row r="194" spans="1:11" hidden="1" outlineLevel="1" x14ac:dyDescent="0.3">
      <c r="A194" s="51"/>
      <c r="B194" s="3" t="s">
        <v>51</v>
      </c>
      <c r="C194" s="4" t="s">
        <v>12</v>
      </c>
      <c r="D194" s="1">
        <f>D193/3*1.05</f>
        <v>3.2922855000000006</v>
      </c>
      <c r="E194" s="1">
        <f>SUMIFS(მასალა!D8:D279,მასალა!B8:B279,ბიუჯეტი!B194)</f>
        <v>265.47457627118644</v>
      </c>
      <c r="F194" s="1">
        <f t="shared" si="36"/>
        <v>874.01809807627137</v>
      </c>
      <c r="G194" s="1"/>
      <c r="H194" s="1">
        <f>D194*G194</f>
        <v>0</v>
      </c>
      <c r="I194" s="1"/>
      <c r="J194" s="1"/>
      <c r="K194" s="1">
        <f t="shared" si="35"/>
        <v>874.01809807627137</v>
      </c>
    </row>
    <row r="195" spans="1:11" collapsed="1" x14ac:dyDescent="0.3">
      <c r="A195" s="51">
        <v>12</v>
      </c>
      <c r="B195" s="23" t="s">
        <v>67</v>
      </c>
      <c r="C195" s="4" t="s">
        <v>40</v>
      </c>
      <c r="D195" s="1">
        <f>SUM(D196:D198)</f>
        <v>394.19999999999993</v>
      </c>
      <c r="E195" s="1">
        <v>0</v>
      </c>
      <c r="F195" s="1">
        <f t="shared" si="36"/>
        <v>0</v>
      </c>
      <c r="G195" s="1">
        <v>0</v>
      </c>
      <c r="H195" s="1">
        <f>G195*D195</f>
        <v>0</v>
      </c>
      <c r="I195" s="1">
        <f>მომსახურება!D6</f>
        <v>15.254237288135593</v>
      </c>
      <c r="J195" s="1">
        <f>I195*D195+1000</f>
        <v>7013.2203389830502</v>
      </c>
      <c r="K195" s="1">
        <f t="shared" si="35"/>
        <v>7013.2203389830502</v>
      </c>
    </row>
    <row r="196" spans="1:11" hidden="1" outlineLevel="1" x14ac:dyDescent="0.3">
      <c r="A196" s="51">
        <v>1</v>
      </c>
      <c r="B196" s="23" t="s">
        <v>317</v>
      </c>
      <c r="C196" s="4" t="s">
        <v>40</v>
      </c>
      <c r="D196" s="1">
        <f>2.2*18</f>
        <v>39.6</v>
      </c>
      <c r="E196" s="1"/>
      <c r="F196" s="1">
        <f t="shared" si="36"/>
        <v>0</v>
      </c>
      <c r="G196" s="1"/>
      <c r="H196" s="1"/>
      <c r="I196" s="1">
        <f>მომსახურება!D6</f>
        <v>15.254237288135593</v>
      </c>
      <c r="J196" s="1">
        <f>I196*D196</f>
        <v>604.06779661016947</v>
      </c>
      <c r="K196" s="1">
        <f t="shared" si="35"/>
        <v>604.06779661016947</v>
      </c>
    </row>
    <row r="197" spans="1:11" hidden="1" outlineLevel="1" x14ac:dyDescent="0.3">
      <c r="A197" s="51">
        <v>2</v>
      </c>
      <c r="B197" s="23" t="s">
        <v>68</v>
      </c>
      <c r="C197" s="4" t="s">
        <v>40</v>
      </c>
      <c r="D197" s="1">
        <f>2.3*32+1.6*5</f>
        <v>81.599999999999994</v>
      </c>
      <c r="E197" s="1"/>
      <c r="F197" s="1">
        <f t="shared" si="36"/>
        <v>0</v>
      </c>
      <c r="G197" s="1"/>
      <c r="H197" s="1"/>
      <c r="I197" s="1">
        <f>მომსახურება!D6</f>
        <v>15.254237288135593</v>
      </c>
      <c r="J197" s="1">
        <f>I197*D197</f>
        <v>1244.7457627118642</v>
      </c>
      <c r="K197" s="1">
        <f t="shared" si="35"/>
        <v>1244.7457627118642</v>
      </c>
    </row>
    <row r="198" spans="1:11" hidden="1" outlineLevel="1" x14ac:dyDescent="0.3">
      <c r="A198" s="51">
        <v>3</v>
      </c>
      <c r="B198" s="23" t="s">
        <v>318</v>
      </c>
      <c r="C198" s="4" t="s">
        <v>40</v>
      </c>
      <c r="D198" s="1">
        <f>(2.3*34+1.6*8)*3</f>
        <v>272.99999999999994</v>
      </c>
      <c r="E198" s="1"/>
      <c r="F198" s="1">
        <f t="shared" si="36"/>
        <v>0</v>
      </c>
      <c r="G198" s="1"/>
      <c r="H198" s="1"/>
      <c r="I198" s="1">
        <f>მომსახურება!D6</f>
        <v>15.254237288135593</v>
      </c>
      <c r="J198" s="1">
        <f>I198*D198</f>
        <v>4164.4067796610161</v>
      </c>
      <c r="K198" s="1">
        <f t="shared" si="35"/>
        <v>4164.4067796610161</v>
      </c>
    </row>
    <row r="199" spans="1:11" collapsed="1" x14ac:dyDescent="0.3">
      <c r="A199" s="51">
        <v>13</v>
      </c>
      <c r="B199" s="23" t="s">
        <v>424</v>
      </c>
      <c r="C199" s="4" t="s">
        <v>10</v>
      </c>
      <c r="D199" s="1">
        <f>SUM(D200,D202,D204)</f>
        <v>1641.8559999999998</v>
      </c>
      <c r="E199" s="1">
        <f>SUM(K205:K205,K203:K203,K201:K201,)/D199</f>
        <v>0.37775521747277663</v>
      </c>
      <c r="F199" s="1">
        <f>E199*D199</f>
        <v>620.21967033898306</v>
      </c>
      <c r="G199" s="1">
        <f>ხელფასი!D35</f>
        <v>22.95</v>
      </c>
      <c r="H199" s="1">
        <f>G199*D199</f>
        <v>37680.595199999996</v>
      </c>
      <c r="I199" s="1">
        <v>0</v>
      </c>
      <c r="J199" s="1">
        <f>I199*D199</f>
        <v>0</v>
      </c>
      <c r="K199" s="1">
        <f t="shared" si="35"/>
        <v>38300.814870338982</v>
      </c>
    </row>
    <row r="200" spans="1:11" hidden="1" outlineLevel="1" x14ac:dyDescent="0.3">
      <c r="A200" s="51">
        <v>2</v>
      </c>
      <c r="B200" s="23" t="s">
        <v>165</v>
      </c>
      <c r="C200" s="4" t="s">
        <v>10</v>
      </c>
      <c r="D200" s="1">
        <f>სამუშაო!D45</f>
        <v>389.06399999999996</v>
      </c>
      <c r="E200" s="1"/>
      <c r="F200" s="1">
        <f t="shared" ref="F200:F228" si="38">D200*E200</f>
        <v>0</v>
      </c>
      <c r="G200" s="1">
        <v>0</v>
      </c>
      <c r="H200" s="1">
        <f>G200*D200</f>
        <v>0</v>
      </c>
      <c r="I200" s="1"/>
      <c r="J200" s="1"/>
      <c r="K200" s="1">
        <f t="shared" si="35"/>
        <v>0</v>
      </c>
    </row>
    <row r="201" spans="1:11" hidden="1" outlineLevel="1" x14ac:dyDescent="0.3">
      <c r="A201" s="51"/>
      <c r="B201" s="3" t="s">
        <v>380</v>
      </c>
      <c r="C201" s="4" t="s">
        <v>9</v>
      </c>
      <c r="D201" s="1">
        <f>D200</f>
        <v>389.06399999999996</v>
      </c>
      <c r="E201" s="1">
        <f>SUMIFS(მასალა!D28:D184,მასალა!B28:B184,ბიუჯეტი!B201)</f>
        <v>0.84745762711864414</v>
      </c>
      <c r="F201" s="1">
        <f t="shared" si="38"/>
        <v>329.71525423728815</v>
      </c>
      <c r="G201" s="1"/>
      <c r="H201" s="1">
        <f>D201*G201</f>
        <v>0</v>
      </c>
      <c r="I201" s="1"/>
      <c r="J201" s="1"/>
      <c r="K201" s="1">
        <f t="shared" si="35"/>
        <v>329.71525423728815</v>
      </c>
    </row>
    <row r="202" spans="1:11" hidden="1" outlineLevel="1" x14ac:dyDescent="0.3">
      <c r="A202" s="51">
        <v>3</v>
      </c>
      <c r="B202" s="23" t="s">
        <v>66</v>
      </c>
      <c r="C202" s="4" t="s">
        <v>10</v>
      </c>
      <c r="D202" s="1">
        <f>სამუშაო!D46</f>
        <v>313.19799999999998</v>
      </c>
      <c r="E202" s="1"/>
      <c r="F202" s="1">
        <f t="shared" si="38"/>
        <v>0</v>
      </c>
      <c r="G202" s="1">
        <v>0</v>
      </c>
      <c r="H202" s="1">
        <f>G202*D202</f>
        <v>0</v>
      </c>
      <c r="I202" s="1"/>
      <c r="J202" s="1"/>
      <c r="K202" s="1">
        <f t="shared" si="35"/>
        <v>0</v>
      </c>
    </row>
    <row r="203" spans="1:11" hidden="1" outlineLevel="1" x14ac:dyDescent="0.3">
      <c r="A203" s="51"/>
      <c r="B203" s="3" t="s">
        <v>380</v>
      </c>
      <c r="C203" s="4" t="s">
        <v>9</v>
      </c>
      <c r="D203" s="1">
        <f>D202</f>
        <v>313.19799999999998</v>
      </c>
      <c r="E203" s="1">
        <f>SUMIFS(მასალა!D31:D186,მასალა!B31:B186,ბიუჯეტი!B203)</f>
        <v>0.84745762711864414</v>
      </c>
      <c r="F203" s="1">
        <f t="shared" si="38"/>
        <v>265.42203389830507</v>
      </c>
      <c r="G203" s="1"/>
      <c r="H203" s="1">
        <f>D203*G203</f>
        <v>0</v>
      </c>
      <c r="I203" s="1"/>
      <c r="J203" s="1"/>
      <c r="K203" s="1">
        <f t="shared" si="35"/>
        <v>265.42203389830507</v>
      </c>
    </row>
    <row r="204" spans="1:11" hidden="1" outlineLevel="1" x14ac:dyDescent="0.3">
      <c r="A204" s="51">
        <v>4</v>
      </c>
      <c r="B204" s="23" t="s">
        <v>167</v>
      </c>
      <c r="C204" s="4" t="s">
        <v>10</v>
      </c>
      <c r="D204" s="1">
        <f>სამუშაო!D47+სამუშაო!D48+სამუშაო!D49</f>
        <v>939.59399999999994</v>
      </c>
      <c r="E204" s="1"/>
      <c r="F204" s="1">
        <f t="shared" si="38"/>
        <v>0</v>
      </c>
      <c r="G204" s="1">
        <v>0</v>
      </c>
      <c r="H204" s="1">
        <f>G204*D204</f>
        <v>0</v>
      </c>
      <c r="I204" s="1"/>
      <c r="J204" s="1"/>
      <c r="K204" s="1">
        <f t="shared" si="35"/>
        <v>0</v>
      </c>
    </row>
    <row r="205" spans="1:11" hidden="1" outlineLevel="1" x14ac:dyDescent="0.3">
      <c r="A205" s="51"/>
      <c r="B205" s="3" t="s">
        <v>380</v>
      </c>
      <c r="C205" s="4" t="s">
        <v>9</v>
      </c>
      <c r="D205" s="1">
        <f>0.03*D204*1.05</f>
        <v>29.597211000000001</v>
      </c>
      <c r="E205" s="1">
        <f>SUMIFS(მასალა!D33:D188,მასალა!B33:B188,ბიუჯეტი!B205)</f>
        <v>0.84745762711864414</v>
      </c>
      <c r="F205" s="1">
        <f t="shared" si="38"/>
        <v>25.082382203389834</v>
      </c>
      <c r="G205" s="1"/>
      <c r="H205" s="1">
        <f>D205*G205</f>
        <v>0</v>
      </c>
      <c r="I205" s="1"/>
      <c r="J205" s="1"/>
      <c r="K205" s="1">
        <f t="shared" si="35"/>
        <v>25.082382203389834</v>
      </c>
    </row>
    <row r="206" spans="1:11" collapsed="1" x14ac:dyDescent="0.3">
      <c r="A206" s="51">
        <v>14</v>
      </c>
      <c r="B206" s="23" t="s">
        <v>69</v>
      </c>
      <c r="C206" s="4" t="s">
        <v>10</v>
      </c>
      <c r="D206" s="1">
        <f>SUM(D207,D210,D213)</f>
        <v>1641.8559999999998</v>
      </c>
      <c r="E206" s="1">
        <f>SUM(K214:K215,K211:K212,K208:K209,)/D206</f>
        <v>2.6229231967575681</v>
      </c>
      <c r="F206" s="1">
        <f t="shared" si="38"/>
        <v>4306.4621881355934</v>
      </c>
      <c r="G206" s="1">
        <f>SUM(H207:H215)/D206</f>
        <v>19.125</v>
      </c>
      <c r="H206" s="1">
        <f>G206*D206</f>
        <v>31400.495999999996</v>
      </c>
      <c r="I206" s="1">
        <v>0</v>
      </c>
      <c r="J206" s="1">
        <v>0</v>
      </c>
      <c r="K206" s="1">
        <f t="shared" si="35"/>
        <v>35706.958188135592</v>
      </c>
    </row>
    <row r="207" spans="1:11" hidden="1" outlineLevel="1" x14ac:dyDescent="0.3">
      <c r="A207" s="51">
        <v>2</v>
      </c>
      <c r="B207" s="23" t="s">
        <v>168</v>
      </c>
      <c r="C207" s="4" t="s">
        <v>10</v>
      </c>
      <c r="D207" s="1">
        <f>სამუშაო!E45</f>
        <v>389.06399999999996</v>
      </c>
      <c r="E207" s="1"/>
      <c r="F207" s="1">
        <f t="shared" si="38"/>
        <v>0</v>
      </c>
      <c r="G207" s="1">
        <f>ხელფასი!D36</f>
        <v>19.125</v>
      </c>
      <c r="H207" s="1">
        <f>G207*D207</f>
        <v>7440.8489999999993</v>
      </c>
      <c r="I207" s="1"/>
      <c r="J207" s="1"/>
      <c r="K207" s="1">
        <f t="shared" si="35"/>
        <v>7440.8489999999993</v>
      </c>
    </row>
    <row r="208" spans="1:11" hidden="1" outlineLevel="1" x14ac:dyDescent="0.3">
      <c r="A208" s="51"/>
      <c r="B208" s="3" t="s">
        <v>70</v>
      </c>
      <c r="C208" s="4" t="s">
        <v>49</v>
      </c>
      <c r="D208" s="1">
        <f>D207*2*1.05/25</f>
        <v>32.681376</v>
      </c>
      <c r="E208" s="1">
        <f>მასალა!D22</f>
        <v>13.983050847457628</v>
      </c>
      <c r="F208" s="1">
        <f t="shared" si="38"/>
        <v>456.98534237288141</v>
      </c>
      <c r="G208" s="1"/>
      <c r="H208" s="1">
        <f>D208*G208</f>
        <v>0</v>
      </c>
      <c r="I208" s="1"/>
      <c r="J208" s="1"/>
      <c r="K208" s="1">
        <f t="shared" si="35"/>
        <v>456.98534237288141</v>
      </c>
    </row>
    <row r="209" spans="1:11" hidden="1" outlineLevel="1" x14ac:dyDescent="0.3">
      <c r="A209" s="51"/>
      <c r="B209" s="3" t="s">
        <v>381</v>
      </c>
      <c r="C209" s="4" t="s">
        <v>10</v>
      </c>
      <c r="D209" s="1">
        <f>D207</f>
        <v>389.06399999999996</v>
      </c>
      <c r="E209" s="1">
        <f>SUMIFS(მასალა!D37:D192,მასალა!B37:B192,ბიუჯეტი!B209)</f>
        <v>0.84745762711864414</v>
      </c>
      <c r="F209" s="1">
        <f t="shared" si="38"/>
        <v>329.71525423728815</v>
      </c>
      <c r="G209" s="1"/>
      <c r="H209" s="1">
        <f>D209*G209</f>
        <v>0</v>
      </c>
      <c r="I209" s="1"/>
      <c r="J209" s="1"/>
      <c r="K209" s="1">
        <f t="shared" si="35"/>
        <v>329.71525423728815</v>
      </c>
    </row>
    <row r="210" spans="1:11" hidden="1" outlineLevel="1" x14ac:dyDescent="0.3">
      <c r="A210" s="51">
        <v>3</v>
      </c>
      <c r="B210" s="23" t="s">
        <v>71</v>
      </c>
      <c r="C210" s="4" t="s">
        <v>10</v>
      </c>
      <c r="D210" s="1">
        <f>სამუშაო!E46</f>
        <v>313.19799999999998</v>
      </c>
      <c r="E210" s="1"/>
      <c r="F210" s="1">
        <f t="shared" si="38"/>
        <v>0</v>
      </c>
      <c r="G210" s="1">
        <f>ხელფასი!D36</f>
        <v>19.125</v>
      </c>
      <c r="H210" s="1">
        <f>G210*D210</f>
        <v>5989.9117499999993</v>
      </c>
      <c r="I210" s="1"/>
      <c r="J210" s="1"/>
      <c r="K210" s="1">
        <f t="shared" si="35"/>
        <v>5989.9117499999993</v>
      </c>
    </row>
    <row r="211" spans="1:11" hidden="1" outlineLevel="1" x14ac:dyDescent="0.3">
      <c r="A211" s="51"/>
      <c r="B211" s="3" t="s">
        <v>70</v>
      </c>
      <c r="C211" s="4" t="s">
        <v>49</v>
      </c>
      <c r="D211" s="1">
        <f>D210*3*1.05/25</f>
        <v>39.462948000000004</v>
      </c>
      <c r="E211" s="1">
        <f>მასალა!D22</f>
        <v>13.983050847457628</v>
      </c>
      <c r="F211" s="1">
        <f t="shared" si="38"/>
        <v>551.81240847457639</v>
      </c>
      <c r="G211" s="1"/>
      <c r="H211" s="1">
        <f>D211*G211</f>
        <v>0</v>
      </c>
      <c r="I211" s="1"/>
      <c r="J211" s="1"/>
      <c r="K211" s="1">
        <f t="shared" si="35"/>
        <v>551.81240847457639</v>
      </c>
    </row>
    <row r="212" spans="1:11" hidden="1" outlineLevel="1" x14ac:dyDescent="0.3">
      <c r="A212" s="51"/>
      <c r="B212" s="3" t="s">
        <v>381</v>
      </c>
      <c r="C212" s="4" t="s">
        <v>10</v>
      </c>
      <c r="D212" s="1">
        <f>D210</f>
        <v>313.19799999999998</v>
      </c>
      <c r="E212" s="1">
        <f>SUMIFS(მასალა!D40:D195,მასალა!B40:B195,ბიუჯეტი!B212)</f>
        <v>0.84745762711864414</v>
      </c>
      <c r="F212" s="1">
        <f t="shared" si="38"/>
        <v>265.42203389830507</v>
      </c>
      <c r="G212" s="1"/>
      <c r="H212" s="1">
        <f>D212*G212</f>
        <v>0</v>
      </c>
      <c r="I212" s="1"/>
      <c r="J212" s="1"/>
      <c r="K212" s="1">
        <f t="shared" si="35"/>
        <v>265.42203389830507</v>
      </c>
    </row>
    <row r="213" spans="1:11" hidden="1" outlineLevel="1" x14ac:dyDescent="0.3">
      <c r="A213" s="51">
        <v>4</v>
      </c>
      <c r="B213" s="23" t="s">
        <v>169</v>
      </c>
      <c r="C213" s="4" t="s">
        <v>10</v>
      </c>
      <c r="D213" s="1">
        <f>სამუშაო!E47+სამუშაო!E48+სამუშაო!E49</f>
        <v>939.59399999999994</v>
      </c>
      <c r="E213" s="1"/>
      <c r="F213" s="1">
        <f t="shared" si="38"/>
        <v>0</v>
      </c>
      <c r="G213" s="1">
        <f>ხელფასი!D36</f>
        <v>19.125</v>
      </c>
      <c r="H213" s="1">
        <f>G213*D213</f>
        <v>17969.735249999998</v>
      </c>
      <c r="I213" s="1"/>
      <c r="J213" s="1"/>
      <c r="K213" s="1">
        <f t="shared" si="35"/>
        <v>17969.735249999998</v>
      </c>
    </row>
    <row r="214" spans="1:11" hidden="1" outlineLevel="1" x14ac:dyDescent="0.3">
      <c r="A214" s="51"/>
      <c r="B214" s="3" t="s">
        <v>70</v>
      </c>
      <c r="C214" s="4" t="s">
        <v>49</v>
      </c>
      <c r="D214" s="1">
        <f>D213*3*1.05/25</f>
        <v>118.38884399999999</v>
      </c>
      <c r="E214" s="1">
        <f>19/1.18</f>
        <v>16.101694915254239</v>
      </c>
      <c r="F214" s="1">
        <f t="shared" si="38"/>
        <v>1906.2610474576272</v>
      </c>
      <c r="G214" s="1"/>
      <c r="H214" s="1">
        <f>D214*G214</f>
        <v>0</v>
      </c>
      <c r="I214" s="1"/>
      <c r="J214" s="1"/>
      <c r="K214" s="1">
        <f t="shared" si="35"/>
        <v>1906.2610474576272</v>
      </c>
    </row>
    <row r="215" spans="1:11" hidden="1" outlineLevel="1" x14ac:dyDescent="0.3">
      <c r="A215" s="51"/>
      <c r="B215" s="3" t="s">
        <v>381</v>
      </c>
      <c r="C215" s="4" t="s">
        <v>10</v>
      </c>
      <c r="D215" s="1">
        <f>D213</f>
        <v>939.59399999999994</v>
      </c>
      <c r="E215" s="1">
        <f>SUMIFS(მასალა!D43:D198,მასალა!B43:B198,ბიუჯეტი!B215)</f>
        <v>0.84745762711864414</v>
      </c>
      <c r="F215" s="1">
        <f t="shared" si="38"/>
        <v>796.26610169491528</v>
      </c>
      <c r="G215" s="1"/>
      <c r="H215" s="1">
        <f>D215*G215</f>
        <v>0</v>
      </c>
      <c r="I215" s="1"/>
      <c r="J215" s="1"/>
      <c r="K215" s="1">
        <f t="shared" si="35"/>
        <v>796.26610169491528</v>
      </c>
    </row>
    <row r="216" spans="1:11" collapsed="1" x14ac:dyDescent="0.3">
      <c r="A216" s="51">
        <v>15</v>
      </c>
      <c r="B216" s="23" t="s">
        <v>72</v>
      </c>
      <c r="C216" s="4" t="s">
        <v>10</v>
      </c>
      <c r="D216" s="1">
        <f>SUM(D217,D221,D225)</f>
        <v>1641.8559999999998</v>
      </c>
      <c r="E216" s="1">
        <f>SUM(K218:K220,K222:K224,K226:K228)/D216</f>
        <v>9.5368027155378048</v>
      </c>
      <c r="F216" s="1">
        <f t="shared" si="38"/>
        <v>15658.056759322037</v>
      </c>
      <c r="G216" s="1">
        <f>SUM(H217,H221,H225)/D216</f>
        <v>8.9249999999999989</v>
      </c>
      <c r="H216" s="1">
        <f>G216*D216</f>
        <v>14653.564799999996</v>
      </c>
      <c r="I216" s="1">
        <v>0</v>
      </c>
      <c r="J216" s="1">
        <v>0</v>
      </c>
      <c r="K216" s="1">
        <f t="shared" si="35"/>
        <v>30311.621559322033</v>
      </c>
    </row>
    <row r="217" spans="1:11" hidden="1" outlineLevel="1" x14ac:dyDescent="0.3">
      <c r="A217" s="51">
        <v>2</v>
      </c>
      <c r="B217" s="23" t="s">
        <v>73</v>
      </c>
      <c r="C217" s="4" t="s">
        <v>10</v>
      </c>
      <c r="D217" s="1">
        <f>D207</f>
        <v>389.06399999999996</v>
      </c>
      <c r="E217" s="1"/>
      <c r="F217" s="1">
        <f t="shared" si="38"/>
        <v>0</v>
      </c>
      <c r="G217" s="1">
        <f>ხელფასი!D37</f>
        <v>8.9249999999999989</v>
      </c>
      <c r="H217" s="1">
        <f t="shared" ref="H217:H228" si="39">D217*G217</f>
        <v>3472.3961999999992</v>
      </c>
      <c r="I217" s="1"/>
      <c r="J217" s="1"/>
      <c r="K217" s="1">
        <f t="shared" si="35"/>
        <v>3472.3961999999992</v>
      </c>
    </row>
    <row r="218" spans="1:11" hidden="1" outlineLevel="1" x14ac:dyDescent="0.3">
      <c r="A218" s="51"/>
      <c r="B218" s="3" t="s">
        <v>74</v>
      </c>
      <c r="C218" s="4" t="s">
        <v>75</v>
      </c>
      <c r="D218" s="1">
        <f>D217*0.1*2</f>
        <v>77.812799999999996</v>
      </c>
      <c r="E218" s="1">
        <f>მასალა!D79</f>
        <v>21.101694915254239</v>
      </c>
      <c r="F218" s="1">
        <f t="shared" si="38"/>
        <v>1641.981966101695</v>
      </c>
      <c r="G218" s="1"/>
      <c r="H218" s="1">
        <f t="shared" si="39"/>
        <v>0</v>
      </c>
      <c r="I218" s="1"/>
      <c r="J218" s="1"/>
      <c r="K218" s="1">
        <f t="shared" ref="K218:K281" si="40">F218+H218+J218</f>
        <v>1641.981966101695</v>
      </c>
    </row>
    <row r="219" spans="1:11" hidden="1" outlineLevel="1" x14ac:dyDescent="0.3">
      <c r="A219" s="51"/>
      <c r="B219" s="3" t="s">
        <v>374</v>
      </c>
      <c r="C219" s="4" t="s">
        <v>75</v>
      </c>
      <c r="D219" s="1">
        <f>D218*0.1*2</f>
        <v>15.56256</v>
      </c>
      <c r="E219" s="1">
        <f>მასალა!D77</f>
        <v>9.4915254237288131</v>
      </c>
      <c r="F219" s="1">
        <f t="shared" ref="F219" si="41">D219*E219</f>
        <v>147.71243389830508</v>
      </c>
      <c r="G219" s="1"/>
      <c r="H219" s="1">
        <f t="shared" ref="H219" si="42">D219*G219</f>
        <v>0</v>
      </c>
      <c r="I219" s="1"/>
      <c r="J219" s="1"/>
      <c r="K219" s="1">
        <f t="shared" si="40"/>
        <v>147.71243389830508</v>
      </c>
    </row>
    <row r="220" spans="1:11" hidden="1" outlineLevel="1" x14ac:dyDescent="0.3">
      <c r="A220" s="51"/>
      <c r="B220" s="3" t="s">
        <v>382</v>
      </c>
      <c r="C220" s="4" t="s">
        <v>10</v>
      </c>
      <c r="D220" s="1">
        <f>D217</f>
        <v>389.06399999999996</v>
      </c>
      <c r="E220" s="1">
        <f>SUMIFS(მასალა!D48:D203,მასალა!B48:B203,ბიუჯეტი!B220)</f>
        <v>0.84745762711864414</v>
      </c>
      <c r="F220" s="1">
        <f t="shared" si="38"/>
        <v>329.71525423728815</v>
      </c>
      <c r="G220" s="1"/>
      <c r="H220" s="1">
        <f t="shared" si="39"/>
        <v>0</v>
      </c>
      <c r="I220" s="1"/>
      <c r="J220" s="1"/>
      <c r="K220" s="1">
        <f t="shared" si="40"/>
        <v>329.71525423728815</v>
      </c>
    </row>
    <row r="221" spans="1:11" hidden="1" outlineLevel="1" x14ac:dyDescent="0.3">
      <c r="A221" s="51">
        <v>3</v>
      </c>
      <c r="B221" s="23" t="s">
        <v>76</v>
      </c>
      <c r="C221" s="4" t="s">
        <v>10</v>
      </c>
      <c r="D221" s="1">
        <f>D210</f>
        <v>313.19799999999998</v>
      </c>
      <c r="E221" s="1"/>
      <c r="F221" s="1">
        <f t="shared" si="38"/>
        <v>0</v>
      </c>
      <c r="G221" s="1">
        <f>ხელფასი!D37</f>
        <v>8.9249999999999989</v>
      </c>
      <c r="H221" s="1">
        <f t="shared" si="39"/>
        <v>2795.2921499999993</v>
      </c>
      <c r="I221" s="1"/>
      <c r="J221" s="1"/>
      <c r="K221" s="1">
        <f t="shared" si="40"/>
        <v>2795.2921499999993</v>
      </c>
    </row>
    <row r="222" spans="1:11" hidden="1" outlineLevel="1" x14ac:dyDescent="0.3">
      <c r="A222" s="51"/>
      <c r="B222" s="3" t="s">
        <v>74</v>
      </c>
      <c r="C222" s="4" t="s">
        <v>75</v>
      </c>
      <c r="D222" s="1">
        <f>D221*0.2*2</f>
        <v>125.2792</v>
      </c>
      <c r="E222" s="1">
        <f>მასალა!D79</f>
        <v>21.101694915254239</v>
      </c>
      <c r="F222" s="1">
        <f t="shared" si="38"/>
        <v>2643.603457627119</v>
      </c>
      <c r="G222" s="1"/>
      <c r="H222" s="1">
        <f t="shared" si="39"/>
        <v>0</v>
      </c>
      <c r="I222" s="1"/>
      <c r="J222" s="1"/>
      <c r="K222" s="1">
        <f t="shared" si="40"/>
        <v>2643.603457627119</v>
      </c>
    </row>
    <row r="223" spans="1:11" hidden="1" outlineLevel="1" x14ac:dyDescent="0.3">
      <c r="A223" s="51"/>
      <c r="B223" s="3" t="s">
        <v>374</v>
      </c>
      <c r="C223" s="4" t="s">
        <v>75</v>
      </c>
      <c r="D223" s="1">
        <f>D222*0.2*2</f>
        <v>50.111680000000007</v>
      </c>
      <c r="E223" s="1">
        <f>მასალა!D77</f>
        <v>9.4915254237288131</v>
      </c>
      <c r="F223" s="1">
        <f t="shared" ref="F223" si="43">D223*E223</f>
        <v>475.63628474576274</v>
      </c>
      <c r="G223" s="1"/>
      <c r="H223" s="1">
        <f t="shared" ref="H223" si="44">D223*G223</f>
        <v>0</v>
      </c>
      <c r="I223" s="1"/>
      <c r="J223" s="1"/>
      <c r="K223" s="1">
        <f t="shared" si="40"/>
        <v>475.63628474576274</v>
      </c>
    </row>
    <row r="224" spans="1:11" hidden="1" outlineLevel="1" x14ac:dyDescent="0.3">
      <c r="A224" s="51"/>
      <c r="B224" s="3" t="s">
        <v>382</v>
      </c>
      <c r="C224" s="4" t="s">
        <v>10</v>
      </c>
      <c r="D224" s="1">
        <f>D221</f>
        <v>313.19799999999998</v>
      </c>
      <c r="E224" s="1">
        <f>SUMIFS(მასალა!D52:D207,მასალა!B52:B207,ბიუჯეტი!B224)</f>
        <v>0.84745762711864414</v>
      </c>
      <c r="F224" s="1">
        <f t="shared" si="38"/>
        <v>265.42203389830507</v>
      </c>
      <c r="G224" s="1"/>
      <c r="H224" s="1">
        <f t="shared" si="39"/>
        <v>0</v>
      </c>
      <c r="I224" s="1"/>
      <c r="J224" s="1"/>
      <c r="K224" s="1">
        <f t="shared" si="40"/>
        <v>265.42203389830507</v>
      </c>
    </row>
    <row r="225" spans="1:11" hidden="1" outlineLevel="1" x14ac:dyDescent="0.3">
      <c r="A225" s="51">
        <v>4</v>
      </c>
      <c r="B225" s="23" t="s">
        <v>77</v>
      </c>
      <c r="C225" s="4" t="s">
        <v>10</v>
      </c>
      <c r="D225" s="1">
        <f>D213</f>
        <v>939.59399999999994</v>
      </c>
      <c r="E225" s="1"/>
      <c r="F225" s="1">
        <f t="shared" si="38"/>
        <v>0</v>
      </c>
      <c r="G225" s="1">
        <f>ხელფასი!D37</f>
        <v>8.9249999999999989</v>
      </c>
      <c r="H225" s="1">
        <f t="shared" si="39"/>
        <v>8385.8764499999979</v>
      </c>
      <c r="I225" s="1"/>
      <c r="J225" s="1"/>
      <c r="K225" s="1">
        <f t="shared" si="40"/>
        <v>8385.8764499999979</v>
      </c>
    </row>
    <row r="226" spans="1:11" hidden="1" outlineLevel="1" x14ac:dyDescent="0.3">
      <c r="A226" s="51"/>
      <c r="B226" s="3" t="s">
        <v>74</v>
      </c>
      <c r="C226" s="4" t="s">
        <v>75</v>
      </c>
      <c r="D226" s="1">
        <f>D225*0.2*2</f>
        <v>375.83760000000001</v>
      </c>
      <c r="E226" s="1">
        <f>მასალა!D79</f>
        <v>21.101694915254239</v>
      </c>
      <c r="F226" s="1">
        <f t="shared" si="38"/>
        <v>7930.8103728813567</v>
      </c>
      <c r="G226" s="1"/>
      <c r="H226" s="1">
        <f t="shared" si="39"/>
        <v>0</v>
      </c>
      <c r="I226" s="1"/>
      <c r="J226" s="1"/>
      <c r="K226" s="1">
        <f t="shared" si="40"/>
        <v>7930.8103728813567</v>
      </c>
    </row>
    <row r="227" spans="1:11" hidden="1" outlineLevel="1" x14ac:dyDescent="0.3">
      <c r="A227" s="51"/>
      <c r="B227" s="3" t="s">
        <v>374</v>
      </c>
      <c r="C227" s="4" t="s">
        <v>75</v>
      </c>
      <c r="D227" s="1">
        <f>D226*0.2*2</f>
        <v>150.33504000000002</v>
      </c>
      <c r="E227" s="1">
        <f>მასალა!D77</f>
        <v>9.4915254237288131</v>
      </c>
      <c r="F227" s="1">
        <f t="shared" ref="F227" si="45">D227*E227</f>
        <v>1426.9088542372883</v>
      </c>
      <c r="G227" s="1"/>
      <c r="H227" s="1">
        <f t="shared" ref="H227" si="46">D227*G227</f>
        <v>0</v>
      </c>
      <c r="I227" s="1"/>
      <c r="J227" s="1"/>
      <c r="K227" s="1">
        <f t="shared" si="40"/>
        <v>1426.9088542372883</v>
      </c>
    </row>
    <row r="228" spans="1:11" hidden="1" outlineLevel="1" x14ac:dyDescent="0.3">
      <c r="A228" s="51"/>
      <c r="B228" s="3" t="s">
        <v>382</v>
      </c>
      <c r="C228" s="4" t="s">
        <v>10</v>
      </c>
      <c r="D228" s="1">
        <f>D225</f>
        <v>939.59399999999994</v>
      </c>
      <c r="E228" s="1">
        <f>SUMIFS(მასალა!D56:D211,მასალა!B56:B211,ბიუჯეტი!B228)</f>
        <v>0.84745762711864414</v>
      </c>
      <c r="F228" s="1">
        <f t="shared" si="38"/>
        <v>796.26610169491528</v>
      </c>
      <c r="G228" s="1"/>
      <c r="H228" s="1">
        <f t="shared" si="39"/>
        <v>0</v>
      </c>
      <c r="I228" s="1"/>
      <c r="J228" s="1"/>
      <c r="K228" s="1">
        <f t="shared" si="40"/>
        <v>796.26610169491528</v>
      </c>
    </row>
    <row r="229" spans="1:11" collapsed="1" x14ac:dyDescent="0.3">
      <c r="A229" s="51">
        <v>16</v>
      </c>
      <c r="B229" s="23" t="s">
        <v>78</v>
      </c>
      <c r="C229" s="4" t="s">
        <v>10</v>
      </c>
      <c r="D229" s="1">
        <f>SUM(D230,D236)</f>
        <v>255.6</v>
      </c>
      <c r="E229" s="1">
        <f>SUM(F230:F241)/D229</f>
        <v>18.682431038135594</v>
      </c>
      <c r="F229" s="1">
        <f>D229*E229</f>
        <v>4775.229373347458</v>
      </c>
      <c r="G229" s="1">
        <f>SUM(H230:H241)/D229</f>
        <v>27.856954225352112</v>
      </c>
      <c r="H229" s="1">
        <f>G229*D229</f>
        <v>7120.2374999999993</v>
      </c>
      <c r="I229" s="1">
        <v>0</v>
      </c>
      <c r="J229" s="1">
        <v>0</v>
      </c>
      <c r="K229" s="1">
        <f t="shared" si="40"/>
        <v>11895.466873347457</v>
      </c>
    </row>
    <row r="230" spans="1:11" hidden="1" outlineLevel="1" x14ac:dyDescent="0.3">
      <c r="A230" s="51">
        <v>1</v>
      </c>
      <c r="B230" s="23" t="s">
        <v>79</v>
      </c>
      <c r="C230" s="4" t="s">
        <v>10</v>
      </c>
      <c r="D230" s="1">
        <f>სამუშაო!H36</f>
        <v>63.9</v>
      </c>
      <c r="E230" s="1"/>
      <c r="F230" s="1">
        <f t="shared" ref="F230:F258" si="47">D230*E230</f>
        <v>0</v>
      </c>
      <c r="G230" s="1">
        <f>ხელფასი!D4</f>
        <v>23.90625</v>
      </c>
      <c r="H230" s="1">
        <f>G230*D230</f>
        <v>1527.609375</v>
      </c>
      <c r="I230" s="1"/>
      <c r="J230" s="1"/>
      <c r="K230" s="1">
        <f t="shared" si="40"/>
        <v>1527.609375</v>
      </c>
    </row>
    <row r="231" spans="1:11" hidden="1" outlineLevel="1" x14ac:dyDescent="0.3">
      <c r="A231" s="51"/>
      <c r="B231" s="3" t="s">
        <v>80</v>
      </c>
      <c r="C231" s="4" t="s">
        <v>49</v>
      </c>
      <c r="D231" s="1">
        <f>D230*13</f>
        <v>830.69999999999993</v>
      </c>
      <c r="E231" s="1">
        <f>SUMIFS(მასალა!D1:D214,მასალა!B1:B214,ბიუჯეტი!B231)</f>
        <v>1.0593220338983051</v>
      </c>
      <c r="F231" s="1">
        <f t="shared" si="47"/>
        <v>879.97881355932202</v>
      </c>
      <c r="G231" s="1"/>
      <c r="H231" s="1"/>
      <c r="I231" s="1"/>
      <c r="J231" s="1"/>
      <c r="K231" s="1">
        <f t="shared" si="40"/>
        <v>879.97881355932202</v>
      </c>
    </row>
    <row r="232" spans="1:11" hidden="1" outlineLevel="1" x14ac:dyDescent="0.3">
      <c r="A232" s="51"/>
      <c r="B232" s="3" t="s">
        <v>191</v>
      </c>
      <c r="C232" s="4" t="s">
        <v>40</v>
      </c>
      <c r="D232" s="1">
        <f>1.2*11</f>
        <v>13.2</v>
      </c>
      <c r="E232" s="1">
        <f>SUMIFS(მასალა!D2:D215,მასალა!B2:B215,ბიუჯეტი!B232)</f>
        <v>0</v>
      </c>
      <c r="F232" s="1">
        <f t="shared" si="47"/>
        <v>0</v>
      </c>
      <c r="G232" s="1">
        <f>ხელფასი!D5</f>
        <v>19.125</v>
      </c>
      <c r="H232" s="1">
        <f>D232*G232</f>
        <v>252.45</v>
      </c>
      <c r="I232" s="1"/>
      <c r="J232" s="1"/>
      <c r="K232" s="1">
        <f t="shared" si="40"/>
        <v>252.45</v>
      </c>
    </row>
    <row r="233" spans="1:11" hidden="1" outlineLevel="1" x14ac:dyDescent="0.3">
      <c r="A233" s="51"/>
      <c r="B233" s="3" t="s">
        <v>50</v>
      </c>
      <c r="C233" s="4" t="s">
        <v>9</v>
      </c>
      <c r="D233" s="1">
        <f>0.03*D230*1.05</f>
        <v>2.0128499999999998</v>
      </c>
      <c r="E233" s="1">
        <f>SUMIFS(მასალა!D3:D216,მასალა!B3:B216,ბიუჯეტი!B233)</f>
        <v>59.322033898305087</v>
      </c>
      <c r="F233" s="1">
        <f t="shared" si="47"/>
        <v>119.40635593220338</v>
      </c>
      <c r="G233" s="1"/>
      <c r="H233" s="1"/>
      <c r="I233" s="1"/>
      <c r="J233" s="1"/>
      <c r="K233" s="1">
        <f t="shared" si="40"/>
        <v>119.40635593220338</v>
      </c>
    </row>
    <row r="234" spans="1:11" hidden="1" outlineLevel="1" x14ac:dyDescent="0.3">
      <c r="A234" s="51"/>
      <c r="B234" s="3" t="s">
        <v>51</v>
      </c>
      <c r="C234" s="4" t="s">
        <v>12</v>
      </c>
      <c r="D234" s="1">
        <f>D233/4*1.05</f>
        <v>0.528373125</v>
      </c>
      <c r="E234" s="1">
        <f>SUMIFS(მასალა!D4:D217,მასალა!B4:B217,ბიუჯეტი!B234)</f>
        <v>265.47457627118644</v>
      </c>
      <c r="F234" s="1">
        <f t="shared" si="47"/>
        <v>140.26963147245763</v>
      </c>
      <c r="G234" s="1"/>
      <c r="H234" s="1">
        <f>D234*G234</f>
        <v>0</v>
      </c>
      <c r="I234" s="1"/>
      <c r="J234" s="1"/>
      <c r="K234" s="1">
        <f t="shared" si="40"/>
        <v>140.26963147245763</v>
      </c>
    </row>
    <row r="235" spans="1:11" hidden="1" outlineLevel="1" x14ac:dyDescent="0.3">
      <c r="A235" s="51"/>
      <c r="B235" s="3" t="s">
        <v>369</v>
      </c>
      <c r="C235" s="4" t="s">
        <v>10</v>
      </c>
      <c r="D235" s="1">
        <f>D230</f>
        <v>63.9</v>
      </c>
      <c r="E235" s="1">
        <f>SUMIFS(მასალა!D5:D218,მასალა!B5:B218,ბიუჯეტი!B235)</f>
        <v>0.84745762711864414</v>
      </c>
      <c r="F235" s="1">
        <f t="shared" si="47"/>
        <v>54.152542372881356</v>
      </c>
      <c r="G235" s="1"/>
      <c r="H235" s="1">
        <f>D235*G235</f>
        <v>0</v>
      </c>
      <c r="I235" s="1"/>
      <c r="J235" s="1"/>
      <c r="K235" s="1">
        <f t="shared" si="40"/>
        <v>54.152542372881356</v>
      </c>
    </row>
    <row r="236" spans="1:11" hidden="1" outlineLevel="1" x14ac:dyDescent="0.3">
      <c r="A236" s="51">
        <v>2</v>
      </c>
      <c r="B236" s="23" t="s">
        <v>170</v>
      </c>
      <c r="C236" s="4" t="s">
        <v>10</v>
      </c>
      <c r="D236" s="1">
        <f>სამუშაო!H36+სამუშაო!H38+სამუშაო!H39</f>
        <v>191.7</v>
      </c>
      <c r="E236" s="1"/>
      <c r="F236" s="1">
        <f t="shared" si="47"/>
        <v>0</v>
      </c>
      <c r="G236" s="1">
        <f>ხელფასი!D4</f>
        <v>23.90625</v>
      </c>
      <c r="H236" s="1">
        <f>G236*D236</f>
        <v>4582.828125</v>
      </c>
      <c r="I236" s="1"/>
      <c r="J236" s="1"/>
      <c r="K236" s="1">
        <f t="shared" si="40"/>
        <v>4582.828125</v>
      </c>
    </row>
    <row r="237" spans="1:11" hidden="1" outlineLevel="1" x14ac:dyDescent="0.3">
      <c r="A237" s="51"/>
      <c r="B237" s="3" t="s">
        <v>80</v>
      </c>
      <c r="C237" s="4" t="s">
        <v>49</v>
      </c>
      <c r="D237" s="1">
        <f>D236*13</f>
        <v>2492.1</v>
      </c>
      <c r="E237" s="1">
        <f>SUMIFS(მასალა!D1:D220,მასალა!B1:B220,ბიუჯეტი!B237)</f>
        <v>1.0593220338983051</v>
      </c>
      <c r="F237" s="1">
        <f t="shared" si="47"/>
        <v>2639.9364406779659</v>
      </c>
      <c r="G237" s="1"/>
      <c r="H237" s="1"/>
      <c r="I237" s="1"/>
      <c r="J237" s="1"/>
      <c r="K237" s="1">
        <f t="shared" si="40"/>
        <v>2639.9364406779659</v>
      </c>
    </row>
    <row r="238" spans="1:11" hidden="1" outlineLevel="1" x14ac:dyDescent="0.3">
      <c r="A238" s="51"/>
      <c r="B238" s="3" t="s">
        <v>191</v>
      </c>
      <c r="C238" s="4" t="s">
        <v>40</v>
      </c>
      <c r="D238" s="1">
        <f>1.2*11*3</f>
        <v>39.599999999999994</v>
      </c>
      <c r="E238" s="1">
        <f>SUMIFS(მასალა!D2:D221,მასალა!B2:B221,ბიუჯეტი!B238)</f>
        <v>0</v>
      </c>
      <c r="F238" s="1">
        <f t="shared" si="47"/>
        <v>0</v>
      </c>
      <c r="G238" s="1">
        <f>ხელფასი!D5</f>
        <v>19.125</v>
      </c>
      <c r="H238" s="1">
        <f>D238*G238</f>
        <v>757.34999999999991</v>
      </c>
      <c r="I238" s="1"/>
      <c r="J238" s="1"/>
      <c r="K238" s="1">
        <f t="shared" si="40"/>
        <v>757.34999999999991</v>
      </c>
    </row>
    <row r="239" spans="1:11" hidden="1" outlineLevel="1" x14ac:dyDescent="0.3">
      <c r="A239" s="51"/>
      <c r="B239" s="3" t="s">
        <v>50</v>
      </c>
      <c r="C239" s="4" t="s">
        <v>9</v>
      </c>
      <c r="D239" s="1">
        <f>0.03*D236*1.05</f>
        <v>6.0385499999999999</v>
      </c>
      <c r="E239" s="1">
        <f>SUMIFS(მასალა!D3:D222,მასალა!B3:B222,ბიუჯეტი!B239)</f>
        <v>59.322033898305087</v>
      </c>
      <c r="F239" s="1">
        <f t="shared" si="47"/>
        <v>358.21906779661015</v>
      </c>
      <c r="G239" s="1"/>
      <c r="H239" s="1"/>
      <c r="I239" s="1"/>
      <c r="J239" s="1"/>
      <c r="K239" s="1">
        <f t="shared" si="40"/>
        <v>358.21906779661015</v>
      </c>
    </row>
    <row r="240" spans="1:11" hidden="1" outlineLevel="1" x14ac:dyDescent="0.3">
      <c r="A240" s="51"/>
      <c r="B240" s="3" t="s">
        <v>51</v>
      </c>
      <c r="C240" s="4" t="s">
        <v>12</v>
      </c>
      <c r="D240" s="1">
        <f>D239/4*1.05</f>
        <v>1.5851193750000001</v>
      </c>
      <c r="E240" s="1">
        <f>SUMIFS(მასალა!D4:D223,მასალა!B4:B223,ბიუჯეტი!B240)</f>
        <v>265.47457627118644</v>
      </c>
      <c r="F240" s="1">
        <f t="shared" si="47"/>
        <v>420.80889441737293</v>
      </c>
      <c r="G240" s="1"/>
      <c r="H240" s="1">
        <f>D240*G240</f>
        <v>0</v>
      </c>
      <c r="I240" s="1"/>
      <c r="J240" s="1"/>
      <c r="K240" s="1">
        <f t="shared" si="40"/>
        <v>420.80889441737293</v>
      </c>
    </row>
    <row r="241" spans="1:11" hidden="1" outlineLevel="1" x14ac:dyDescent="0.3">
      <c r="A241" s="51"/>
      <c r="B241" s="3" t="s">
        <v>369</v>
      </c>
      <c r="C241" s="4" t="s">
        <v>10</v>
      </c>
      <c r="D241" s="1">
        <f>D236</f>
        <v>191.7</v>
      </c>
      <c r="E241" s="1">
        <f>SUMIFS(მასალა!D5:D224,მასალა!B5:B224,ბიუჯეტი!B241)</f>
        <v>0.84745762711864414</v>
      </c>
      <c r="F241" s="1">
        <f t="shared" si="47"/>
        <v>162.45762711864407</v>
      </c>
      <c r="G241" s="1"/>
      <c r="H241" s="1">
        <f>D241*G241</f>
        <v>0</v>
      </c>
      <c r="I241" s="1"/>
      <c r="J241" s="1"/>
      <c r="K241" s="1">
        <f t="shared" si="40"/>
        <v>162.45762711864407</v>
      </c>
    </row>
    <row r="242" spans="1:11" collapsed="1" x14ac:dyDescent="0.3">
      <c r="A242" s="65">
        <v>17</v>
      </c>
      <c r="B242" s="66" t="s">
        <v>426</v>
      </c>
      <c r="C242" s="67" t="s">
        <v>10</v>
      </c>
      <c r="D242" s="68">
        <f>SUM(D243,D248,D254)</f>
        <v>601.53679999999997</v>
      </c>
      <c r="E242" s="68">
        <f>SUM(K244:K247,K249:K253,K255:K258)/D242</f>
        <v>21.070658623980744</v>
      </c>
      <c r="F242" s="68">
        <f t="shared" si="47"/>
        <v>12674.776562561779</v>
      </c>
      <c r="G242" s="68">
        <f>SUM(H243:H258)/D242</f>
        <v>25.110166368873855</v>
      </c>
      <c r="H242" s="68">
        <f>G242*D242</f>
        <v>15104.689124999997</v>
      </c>
      <c r="I242" s="68">
        <v>0</v>
      </c>
      <c r="J242" s="68">
        <v>0</v>
      </c>
      <c r="K242" s="1">
        <f t="shared" si="40"/>
        <v>27779.465687561777</v>
      </c>
    </row>
    <row r="243" spans="1:11" hidden="1" outlineLevel="1" x14ac:dyDescent="0.3">
      <c r="A243" s="51">
        <v>2</v>
      </c>
      <c r="B243" s="23" t="s">
        <v>319</v>
      </c>
      <c r="C243" s="4" t="s">
        <v>10</v>
      </c>
      <c r="D243" s="1">
        <f>სამუშაო!F35+სამუშაო!D35</f>
        <v>25.52</v>
      </c>
      <c r="E243" s="1"/>
      <c r="F243" s="1">
        <f t="shared" si="47"/>
        <v>0</v>
      </c>
      <c r="G243" s="1">
        <f>ხელფასი!D4</f>
        <v>23.90625</v>
      </c>
      <c r="H243" s="1">
        <f>G243*D243</f>
        <v>610.08749999999998</v>
      </c>
      <c r="I243" s="1"/>
      <c r="J243" s="1"/>
      <c r="K243" s="1">
        <f t="shared" si="40"/>
        <v>610.08749999999998</v>
      </c>
    </row>
    <row r="244" spans="1:11" hidden="1" outlineLevel="1" x14ac:dyDescent="0.3">
      <c r="A244" s="51"/>
      <c r="B244" s="3" t="s">
        <v>80</v>
      </c>
      <c r="C244" s="4" t="s">
        <v>49</v>
      </c>
      <c r="D244" s="1">
        <f>D243*13</f>
        <v>331.76</v>
      </c>
      <c r="E244" s="1">
        <f>SUMIFS(მასალა!D1:D227,მასალა!B1:B227,ბიუჯეტი!B244)</f>
        <v>1.0593220338983051</v>
      </c>
      <c r="F244" s="1">
        <f t="shared" si="47"/>
        <v>351.4406779661017</v>
      </c>
      <c r="G244" s="1"/>
      <c r="H244" s="1"/>
      <c r="I244" s="1"/>
      <c r="J244" s="1"/>
      <c r="K244" s="1">
        <f t="shared" si="40"/>
        <v>351.4406779661017</v>
      </c>
    </row>
    <row r="245" spans="1:11" hidden="1" outlineLevel="1" x14ac:dyDescent="0.3">
      <c r="A245" s="51"/>
      <c r="B245" s="3" t="s">
        <v>50</v>
      </c>
      <c r="C245" s="4" t="s">
        <v>9</v>
      </c>
      <c r="D245" s="1">
        <f>0.03*D243*1.05</f>
        <v>0.80387999999999993</v>
      </c>
      <c r="E245" s="1">
        <f>SUMIFS(მასალა!D2:D228,მასალა!B2:B228,ბიუჯეტი!B245)</f>
        <v>59.322033898305087</v>
      </c>
      <c r="F245" s="1">
        <f t="shared" si="47"/>
        <v>47.687796610169485</v>
      </c>
      <c r="G245" s="1"/>
      <c r="H245" s="1"/>
      <c r="I245" s="1"/>
      <c r="J245" s="1"/>
      <c r="K245" s="1">
        <f t="shared" si="40"/>
        <v>47.687796610169485</v>
      </c>
    </row>
    <row r="246" spans="1:11" hidden="1" outlineLevel="1" x14ac:dyDescent="0.3">
      <c r="A246" s="51"/>
      <c r="B246" s="3" t="s">
        <v>51</v>
      </c>
      <c r="C246" s="4" t="s">
        <v>12</v>
      </c>
      <c r="D246" s="1">
        <f>D245/4*1.05</f>
        <v>0.2110185</v>
      </c>
      <c r="E246" s="1">
        <f>SUMIFS(მასალა!D3:D229,მასალა!B3:B229,ბიუჯეტი!B246)</f>
        <v>265.47457627118644</v>
      </c>
      <c r="F246" s="1">
        <f t="shared" si="47"/>
        <v>56.020046872881352</v>
      </c>
      <c r="G246" s="1"/>
      <c r="H246" s="1">
        <f>D246*G246</f>
        <v>0</v>
      </c>
      <c r="I246" s="1"/>
      <c r="J246" s="1"/>
      <c r="K246" s="1">
        <f t="shared" si="40"/>
        <v>56.020046872881352</v>
      </c>
    </row>
    <row r="247" spans="1:11" hidden="1" outlineLevel="1" x14ac:dyDescent="0.3">
      <c r="A247" s="51"/>
      <c r="B247" s="3" t="s">
        <v>369</v>
      </c>
      <c r="C247" s="4" t="s">
        <v>10</v>
      </c>
      <c r="D247" s="1">
        <f>D243</f>
        <v>25.52</v>
      </c>
      <c r="E247" s="1">
        <f>SUMIFS(მასალა!D4:D230,მასალა!B4:B230,ბიუჯეტი!B247)</f>
        <v>0.84745762711864414</v>
      </c>
      <c r="F247" s="1">
        <f t="shared" si="47"/>
        <v>21.627118644067799</v>
      </c>
      <c r="G247" s="1"/>
      <c r="H247" s="1"/>
      <c r="I247" s="1"/>
      <c r="J247" s="1"/>
      <c r="K247" s="1">
        <f t="shared" si="40"/>
        <v>21.627118644067799</v>
      </c>
    </row>
    <row r="248" spans="1:11" hidden="1" outlineLevel="1" x14ac:dyDescent="0.3">
      <c r="A248" s="51">
        <v>3</v>
      </c>
      <c r="B248" s="23" t="s">
        <v>81</v>
      </c>
      <c r="C248" s="4" t="s">
        <v>10</v>
      </c>
      <c r="D248" s="1">
        <f>სამუშაო!G36+სამუშაო!D36+სამუშაო!F36+სამუშაო!E36</f>
        <v>117.4932</v>
      </c>
      <c r="E248" s="1"/>
      <c r="F248" s="1">
        <f t="shared" si="47"/>
        <v>0</v>
      </c>
      <c r="G248" s="1">
        <f>ხელფასი!D4</f>
        <v>23.90625</v>
      </c>
      <c r="H248" s="1">
        <f>G248*D248</f>
        <v>2808.8218124999999</v>
      </c>
      <c r="I248" s="1"/>
      <c r="J248" s="1"/>
      <c r="K248" s="1">
        <f t="shared" si="40"/>
        <v>2808.8218124999999</v>
      </c>
    </row>
    <row r="249" spans="1:11" hidden="1" outlineLevel="1" x14ac:dyDescent="0.3">
      <c r="A249" s="51"/>
      <c r="B249" s="3" t="s">
        <v>80</v>
      </c>
      <c r="C249" s="4" t="s">
        <v>49</v>
      </c>
      <c r="D249" s="1">
        <f>D248*13</f>
        <v>1527.4115999999999</v>
      </c>
      <c r="E249" s="1">
        <f>SUMIFS(მასალა!D1:D232,მასალა!B1:B232,ბიუჯეტი!B249)</f>
        <v>1.0593220338983051</v>
      </c>
      <c r="F249" s="1">
        <f t="shared" si="47"/>
        <v>1618.0207627118643</v>
      </c>
      <c r="G249" s="1"/>
      <c r="H249" s="1"/>
      <c r="I249" s="1"/>
      <c r="J249" s="1"/>
      <c r="K249" s="1">
        <f t="shared" si="40"/>
        <v>1618.0207627118643</v>
      </c>
    </row>
    <row r="250" spans="1:11" hidden="1" outlineLevel="1" x14ac:dyDescent="0.3">
      <c r="A250" s="51"/>
      <c r="B250" s="3" t="s">
        <v>50</v>
      </c>
      <c r="C250" s="4" t="s">
        <v>9</v>
      </c>
      <c r="D250" s="1">
        <f>0.03*D248*1.05</f>
        <v>3.7010358000000001</v>
      </c>
      <c r="E250" s="1">
        <f>SUMIFS(მასალა!D2:D233,მასალა!B2:B233,ბიუჯეტი!B250)</f>
        <v>59.322033898305087</v>
      </c>
      <c r="F250" s="1">
        <f t="shared" si="47"/>
        <v>219.55297118644069</v>
      </c>
      <c r="G250" s="1"/>
      <c r="H250" s="1"/>
      <c r="I250" s="1"/>
      <c r="J250" s="1"/>
      <c r="K250" s="1">
        <f t="shared" si="40"/>
        <v>219.55297118644069</v>
      </c>
    </row>
    <row r="251" spans="1:11" hidden="1" outlineLevel="1" x14ac:dyDescent="0.3">
      <c r="A251" s="51"/>
      <c r="B251" s="3" t="s">
        <v>185</v>
      </c>
      <c r="C251" s="4" t="s">
        <v>40</v>
      </c>
      <c r="D251" s="1">
        <f>12*3+2.6*2*4</f>
        <v>56.8</v>
      </c>
      <c r="E251" s="1">
        <f>SUMIFS(მასალა!D1:D336,მასალა!B1:B336,ბიუჯეტი!B251)</f>
        <v>12.542372881355934</v>
      </c>
      <c r="F251" s="1">
        <f t="shared" si="47"/>
        <v>712.40677966101703</v>
      </c>
      <c r="G251" s="1">
        <f>ხელფასი!D31</f>
        <v>12.75</v>
      </c>
      <c r="H251" s="1">
        <f t="shared" ref="H251" si="48">D251*G251</f>
        <v>724.19999999999993</v>
      </c>
      <c r="I251" s="1"/>
      <c r="J251" s="1"/>
      <c r="K251" s="1">
        <f t="shared" si="40"/>
        <v>1436.6067796610168</v>
      </c>
    </row>
    <row r="252" spans="1:11" hidden="1" outlineLevel="1" x14ac:dyDescent="0.3">
      <c r="A252" s="51"/>
      <c r="B252" s="3" t="s">
        <v>51</v>
      </c>
      <c r="C252" s="4" t="s">
        <v>12</v>
      </c>
      <c r="D252" s="1">
        <f>D250/4*1.05</f>
        <v>0.97152189750000006</v>
      </c>
      <c r="E252" s="1">
        <f>SUMIFS(მასალა!D3:D234,მასალა!B3:B234,ბიუჯეტი!B252)</f>
        <v>265.47457627118644</v>
      </c>
      <c r="F252" s="1">
        <f t="shared" si="47"/>
        <v>257.91436407699155</v>
      </c>
      <c r="G252" s="1"/>
      <c r="H252" s="1">
        <f>D252*G252</f>
        <v>0</v>
      </c>
      <c r="I252" s="1"/>
      <c r="J252" s="1"/>
      <c r="K252" s="1">
        <f t="shared" si="40"/>
        <v>257.91436407699155</v>
      </c>
    </row>
    <row r="253" spans="1:11" hidden="1" outlineLevel="1" x14ac:dyDescent="0.3">
      <c r="A253" s="51"/>
      <c r="B253" s="3" t="s">
        <v>369</v>
      </c>
      <c r="C253" s="4" t="s">
        <v>10</v>
      </c>
      <c r="D253" s="1">
        <f>D248</f>
        <v>117.4932</v>
      </c>
      <c r="E253" s="1">
        <f>SUMIFS(მასალა!D4:D235,მასალა!B4:B235,ბიუჯეტი!B253)</f>
        <v>0.84745762711864414</v>
      </c>
      <c r="F253" s="1">
        <f t="shared" si="47"/>
        <v>99.570508474576286</v>
      </c>
      <c r="G253" s="1"/>
      <c r="H253" s="1"/>
      <c r="I253" s="1"/>
      <c r="J253" s="1"/>
      <c r="K253" s="1">
        <f t="shared" si="40"/>
        <v>99.570508474576286</v>
      </c>
    </row>
    <row r="254" spans="1:11" hidden="1" outlineLevel="1" x14ac:dyDescent="0.3">
      <c r="A254" s="51">
        <v>4</v>
      </c>
      <c r="B254" s="23" t="s">
        <v>171</v>
      </c>
      <c r="C254" s="4" t="s">
        <v>10</v>
      </c>
      <c r="D254" s="1">
        <f>სამუშაო!F37+სამუშაო!F38+სამუშაო!F39+სამუშაო!D38+სამუშაო!D39+სამუშაო!D37+სამუშაო!G37+სამუშაო!G38+სამუშაო!G39+სამუშაო!E37+სამუშაო!E38+სამუშაო!E39</f>
        <v>458.52359999999993</v>
      </c>
      <c r="E254" s="1"/>
      <c r="F254" s="1">
        <f t="shared" si="47"/>
        <v>0</v>
      </c>
      <c r="G254" s="1">
        <f>ხელფასი!D4</f>
        <v>23.90625</v>
      </c>
      <c r="H254" s="1">
        <f>G254*D254</f>
        <v>10961.579812499998</v>
      </c>
      <c r="I254" s="1"/>
      <c r="J254" s="1"/>
      <c r="K254" s="1">
        <f t="shared" si="40"/>
        <v>10961.579812499998</v>
      </c>
    </row>
    <row r="255" spans="1:11" hidden="1" outlineLevel="1" x14ac:dyDescent="0.3">
      <c r="A255" s="51"/>
      <c r="B255" s="3" t="s">
        <v>80</v>
      </c>
      <c r="C255" s="4" t="s">
        <v>49</v>
      </c>
      <c r="D255" s="1">
        <f>D254*13</f>
        <v>5960.8067999999994</v>
      </c>
      <c r="E255" s="1">
        <f>SUMIFS(მასალა!D1:D237,მასალა!B1:B237,ბიუჯეტი!B255)</f>
        <v>1.0593220338983051</v>
      </c>
      <c r="F255" s="1">
        <f t="shared" si="47"/>
        <v>6314.4139830508475</v>
      </c>
      <c r="G255" s="1"/>
      <c r="H255" s="1"/>
      <c r="I255" s="1"/>
      <c r="J255" s="1"/>
      <c r="K255" s="1">
        <f t="shared" si="40"/>
        <v>6314.4139830508475</v>
      </c>
    </row>
    <row r="256" spans="1:11" hidden="1" outlineLevel="1" x14ac:dyDescent="0.3">
      <c r="A256" s="51"/>
      <c r="B256" s="3" t="s">
        <v>50</v>
      </c>
      <c r="C256" s="4" t="s">
        <v>9</v>
      </c>
      <c r="D256" s="1">
        <f>0.03*D254*1.05</f>
        <v>14.443493399999998</v>
      </c>
      <c r="E256" s="1">
        <f>SUMIFS(მასალა!D2:D238,მასალა!B2:B238,ბიუჯეტი!B256)</f>
        <v>59.322033898305087</v>
      </c>
      <c r="F256" s="1">
        <f t="shared" si="47"/>
        <v>856.8174050847457</v>
      </c>
      <c r="G256" s="1"/>
      <c r="H256" s="1"/>
      <c r="I256" s="1"/>
      <c r="J256" s="1"/>
      <c r="K256" s="1">
        <f t="shared" si="40"/>
        <v>856.8174050847457</v>
      </c>
    </row>
    <row r="257" spans="1:11" hidden="1" outlineLevel="1" x14ac:dyDescent="0.3">
      <c r="A257" s="51"/>
      <c r="B257" s="3" t="s">
        <v>51</v>
      </c>
      <c r="C257" s="4" t="s">
        <v>12</v>
      </c>
      <c r="D257" s="1">
        <f>D256/4*1.05</f>
        <v>3.7914170174999997</v>
      </c>
      <c r="E257" s="1">
        <f>SUMIFS(მასალა!D3:D239,მასალა!B3:B239,ბიუჯეტი!B257)</f>
        <v>265.47457627118644</v>
      </c>
      <c r="F257" s="1">
        <f t="shared" si="47"/>
        <v>1006.5248261881778</v>
      </c>
      <c r="G257" s="1"/>
      <c r="H257" s="1">
        <f>D257*G257</f>
        <v>0</v>
      </c>
      <c r="I257" s="1"/>
      <c r="J257" s="1"/>
      <c r="K257" s="1">
        <f t="shared" si="40"/>
        <v>1006.5248261881778</v>
      </c>
    </row>
    <row r="258" spans="1:11" hidden="1" outlineLevel="1" x14ac:dyDescent="0.3">
      <c r="A258" s="51"/>
      <c r="B258" s="3" t="s">
        <v>369</v>
      </c>
      <c r="C258" s="4" t="s">
        <v>10</v>
      </c>
      <c r="D258" s="1">
        <f>D254</f>
        <v>458.52359999999993</v>
      </c>
      <c r="E258" s="1">
        <f>SUMIFS(მასალა!D4:D240,მასალა!B4:B240,ბიუჯეტი!B258)</f>
        <v>0.84745762711864414</v>
      </c>
      <c r="F258" s="1">
        <f t="shared" si="47"/>
        <v>388.57932203389828</v>
      </c>
      <c r="G258" s="1"/>
      <c r="H258" s="1"/>
      <c r="I258" s="1"/>
      <c r="J258" s="1"/>
      <c r="K258" s="1">
        <f t="shared" si="40"/>
        <v>388.57932203389828</v>
      </c>
    </row>
    <row r="259" spans="1:11" collapsed="1" x14ac:dyDescent="0.3">
      <c r="A259" s="51">
        <v>18</v>
      </c>
      <c r="B259" s="23" t="s">
        <v>172</v>
      </c>
      <c r="C259" s="4" t="s">
        <v>10</v>
      </c>
      <c r="D259" s="1">
        <f>358*3</f>
        <v>1074</v>
      </c>
      <c r="E259" s="1">
        <f>SUM(F260:F274)/D259</f>
        <v>122.15585771549409</v>
      </c>
      <c r="F259" s="1">
        <f>D259*E259</f>
        <v>131195.39118644065</v>
      </c>
      <c r="G259" s="1">
        <f>SUM(H260:H274)/D259</f>
        <v>87.636662011173172</v>
      </c>
      <c r="H259" s="1">
        <f>G259*D259</f>
        <v>94121.77499999998</v>
      </c>
      <c r="I259" s="1">
        <v>5</v>
      </c>
      <c r="J259" s="1">
        <f>I259*D259</f>
        <v>5370</v>
      </c>
      <c r="K259" s="1">
        <f t="shared" si="40"/>
        <v>230687.16618644062</v>
      </c>
    </row>
    <row r="260" spans="1:11" hidden="1" outlineLevel="1" x14ac:dyDescent="0.3">
      <c r="A260" s="51">
        <v>1</v>
      </c>
      <c r="B260" s="23" t="s">
        <v>421</v>
      </c>
      <c r="C260" s="4" t="s">
        <v>10</v>
      </c>
      <c r="D260" s="1">
        <f>900*1.05</f>
        <v>945</v>
      </c>
      <c r="E260" s="1"/>
      <c r="F260" s="1">
        <f t="shared" ref="F260:F340" si="49">D260*E260</f>
        <v>0</v>
      </c>
      <c r="G260" s="1">
        <f>ხელფასი!D13</f>
        <v>61.199999999999996</v>
      </c>
      <c r="H260" s="1">
        <f>D260*G260</f>
        <v>57833.999999999993</v>
      </c>
      <c r="I260" s="1"/>
      <c r="J260" s="1"/>
      <c r="K260" s="1">
        <f t="shared" si="40"/>
        <v>57833.999999999993</v>
      </c>
    </row>
    <row r="261" spans="1:11" hidden="1" outlineLevel="1" x14ac:dyDescent="0.3">
      <c r="A261" s="51">
        <v>2</v>
      </c>
      <c r="B261" s="23" t="s">
        <v>245</v>
      </c>
      <c r="C261" s="4" t="s">
        <v>10</v>
      </c>
      <c r="D261" s="1">
        <f>358*3</f>
        <v>1074</v>
      </c>
      <c r="E261" s="1"/>
      <c r="F261" s="1">
        <f>D261*E261</f>
        <v>0</v>
      </c>
      <c r="G261" s="1">
        <f>ხელფასი!D14</f>
        <v>33.787499999999994</v>
      </c>
      <c r="H261" s="1">
        <f>D261*G261</f>
        <v>36287.774999999994</v>
      </c>
      <c r="I261" s="1"/>
      <c r="J261" s="1"/>
      <c r="K261" s="1">
        <f t="shared" si="40"/>
        <v>36287.774999999994</v>
      </c>
    </row>
    <row r="262" spans="1:11" hidden="1" outlineLevel="1" x14ac:dyDescent="0.3">
      <c r="A262" s="51"/>
      <c r="B262" s="3" t="s">
        <v>82</v>
      </c>
      <c r="C262" s="4" t="s">
        <v>10</v>
      </c>
      <c r="D262" s="1">
        <f>D260</f>
        <v>945</v>
      </c>
      <c r="E262" s="1">
        <f>SUMIFS(მასალა!D1:D243,მასალა!B1:B243,ბიუჯეტი!B262)</f>
        <v>19.491525423728813</v>
      </c>
      <c r="F262" s="1">
        <f t="shared" si="49"/>
        <v>18419.491525423728</v>
      </c>
      <c r="G262" s="1"/>
      <c r="H262" s="1">
        <v>0</v>
      </c>
      <c r="I262" s="1"/>
      <c r="J262" s="1"/>
      <c r="K262" s="1">
        <f t="shared" si="40"/>
        <v>18419.491525423728</v>
      </c>
    </row>
    <row r="263" spans="1:11" hidden="1" outlineLevel="1" x14ac:dyDescent="0.3">
      <c r="A263" s="51"/>
      <c r="B263" s="3" t="s">
        <v>83</v>
      </c>
      <c r="C263" s="4" t="s">
        <v>10</v>
      </c>
      <c r="D263" s="1">
        <f>D259</f>
        <v>1074</v>
      </c>
      <c r="E263" s="1">
        <f>SUMIFS(მასალა!D2:D244,მასალა!B2:B244,ბიუჯეტი!B263)</f>
        <v>3.3898305084745766</v>
      </c>
      <c r="F263" s="1">
        <f t="shared" si="49"/>
        <v>3640.6779661016953</v>
      </c>
      <c r="G263" s="1"/>
      <c r="H263" s="1">
        <f t="shared" ref="H263:H272" si="50">D263*G263</f>
        <v>0</v>
      </c>
      <c r="I263" s="1"/>
      <c r="J263" s="1"/>
      <c r="K263" s="1">
        <f t="shared" si="40"/>
        <v>3640.6779661016953</v>
      </c>
    </row>
    <row r="264" spans="1:11" hidden="1" outlineLevel="1" x14ac:dyDescent="0.3">
      <c r="A264" s="51"/>
      <c r="B264" s="3" t="s">
        <v>397</v>
      </c>
      <c r="C264" s="4" t="s">
        <v>10</v>
      </c>
      <c r="D264" s="1">
        <f>D263</f>
        <v>1074</v>
      </c>
      <c r="E264" s="1">
        <f>SUMIFS(მასალა!D3:D245,მასალა!B3:B245,ბიუჯეტი!B264)</f>
        <v>36.440677966101696</v>
      </c>
      <c r="F264" s="1">
        <f t="shared" si="49"/>
        <v>39137.288135593219</v>
      </c>
      <c r="G264" s="1"/>
      <c r="H264" s="1">
        <f t="shared" si="50"/>
        <v>0</v>
      </c>
      <c r="I264" s="1"/>
      <c r="J264" s="1"/>
      <c r="K264" s="1">
        <f t="shared" si="40"/>
        <v>39137.288135593219</v>
      </c>
    </row>
    <row r="265" spans="1:11" hidden="1" outlineLevel="1" x14ac:dyDescent="0.3">
      <c r="A265" s="51"/>
      <c r="B265" s="3" t="s">
        <v>383</v>
      </c>
      <c r="C265" s="4" t="s">
        <v>10</v>
      </c>
      <c r="D265" s="1">
        <f>D263*2</f>
        <v>2148</v>
      </c>
      <c r="E265" s="1">
        <f>SUMIFS(მასალა!D4:D246,მასალა!B4:B246,ბიუჯეტი!B265)</f>
        <v>2.7542372881355934</v>
      </c>
      <c r="F265" s="1">
        <f t="shared" si="49"/>
        <v>5916.1016949152545</v>
      </c>
      <c r="G265" s="1"/>
      <c r="H265" s="1">
        <f t="shared" si="50"/>
        <v>0</v>
      </c>
      <c r="I265" s="1"/>
      <c r="J265" s="1"/>
      <c r="K265" s="1">
        <f t="shared" si="40"/>
        <v>5916.1016949152545</v>
      </c>
    </row>
    <row r="266" spans="1:11" hidden="1" outlineLevel="1" x14ac:dyDescent="0.3">
      <c r="A266" s="51"/>
      <c r="B266" s="3" t="s">
        <v>395</v>
      </c>
      <c r="C266" s="4" t="s">
        <v>10</v>
      </c>
      <c r="D266" s="1">
        <f>(21.1*15.2)*3</f>
        <v>962.16000000000008</v>
      </c>
      <c r="E266" s="1">
        <f>SUMIFS(მასალა!D5:D247,მასალა!B5:B247,ბიუჯეტი!B266)</f>
        <v>7.7966101694915251</v>
      </c>
      <c r="F266" s="1">
        <f t="shared" si="49"/>
        <v>7501.5864406779665</v>
      </c>
      <c r="G266" s="1"/>
      <c r="H266" s="1">
        <f t="shared" si="50"/>
        <v>0</v>
      </c>
      <c r="I266" s="1"/>
      <c r="J266" s="1"/>
      <c r="K266" s="1">
        <f t="shared" si="40"/>
        <v>7501.5864406779665</v>
      </c>
    </row>
    <row r="267" spans="1:11" hidden="1" outlineLevel="1" x14ac:dyDescent="0.3">
      <c r="A267" s="51"/>
      <c r="B267" s="3" t="s">
        <v>396</v>
      </c>
      <c r="C267" s="4" t="s">
        <v>10</v>
      </c>
      <c r="D267" s="1">
        <f>D266</f>
        <v>962.16000000000008</v>
      </c>
      <c r="E267" s="1">
        <f>SUMIFS(მასალა!D6:D248,მასალა!B6:B248,ბიუჯეტი!B267)</f>
        <v>14.576271186440678</v>
      </c>
      <c r="F267" s="1">
        <f t="shared" si="49"/>
        <v>14024.705084745765</v>
      </c>
      <c r="G267" s="1"/>
      <c r="H267" s="1">
        <f t="shared" si="50"/>
        <v>0</v>
      </c>
      <c r="I267" s="1"/>
      <c r="J267" s="1"/>
      <c r="K267" s="1">
        <f t="shared" si="40"/>
        <v>14024.705084745765</v>
      </c>
    </row>
    <row r="268" spans="1:11" hidden="1" outlineLevel="1" x14ac:dyDescent="0.3">
      <c r="A268" s="51"/>
      <c r="B268" s="3" t="s">
        <v>256</v>
      </c>
      <c r="C268" s="4" t="s">
        <v>10</v>
      </c>
      <c r="D268" s="1">
        <f>D266*0.12*1.05</f>
        <v>121.23216000000002</v>
      </c>
      <c r="E268" s="1">
        <f>SUMIFS(მასალა!D1:D249,მასალა!B1:B249,ბიუჯეტი!B268)</f>
        <v>38.135593220338983</v>
      </c>
      <c r="F268" s="1">
        <f t="shared" ref="F268" si="51">D268*E268</f>
        <v>4623.260338983052</v>
      </c>
      <c r="G268" s="1"/>
      <c r="H268" s="1">
        <f t="shared" ref="H268" si="52">D268*G268</f>
        <v>0</v>
      </c>
      <c r="I268" s="1"/>
      <c r="J268" s="1"/>
      <c r="K268" s="1">
        <f t="shared" si="40"/>
        <v>4623.260338983052</v>
      </c>
    </row>
    <row r="269" spans="1:11" hidden="1" outlineLevel="1" x14ac:dyDescent="0.3">
      <c r="A269" s="51"/>
      <c r="B269" s="3" t="s">
        <v>320</v>
      </c>
      <c r="C269" s="4" t="s">
        <v>10</v>
      </c>
      <c r="D269" s="1">
        <f>D268</f>
        <v>121.23216000000002</v>
      </c>
      <c r="E269" s="1">
        <f>SUMIFS(მასალა!D2:D250,მასალა!B2:B250,ბიუჯეტი!B269)</f>
        <v>55.084745762711869</v>
      </c>
      <c r="F269" s="1">
        <f t="shared" ref="F269" si="53">D269*E269</f>
        <v>6678.0427118644084</v>
      </c>
      <c r="G269" s="1"/>
      <c r="H269" s="1">
        <f t="shared" ref="H269" si="54">D269*G269</f>
        <v>0</v>
      </c>
      <c r="I269" s="1"/>
      <c r="J269" s="1"/>
      <c r="K269" s="1">
        <f t="shared" si="40"/>
        <v>6678.0427118644084</v>
      </c>
    </row>
    <row r="270" spans="1:11" hidden="1" outlineLevel="1" x14ac:dyDescent="0.3">
      <c r="A270" s="51"/>
      <c r="B270" s="3" t="s">
        <v>384</v>
      </c>
      <c r="C270" s="4" t="s">
        <v>244</v>
      </c>
      <c r="D270" s="1">
        <v>18</v>
      </c>
      <c r="E270" s="1">
        <f>SUMIFS(მასალა!D3:D251,მასალა!B3:B251,ბიუჯეტი!B270)</f>
        <v>652.54237288135596</v>
      </c>
      <c r="F270" s="1">
        <f t="shared" si="49"/>
        <v>11745.762711864407</v>
      </c>
      <c r="G270" s="1"/>
      <c r="H270" s="1">
        <f t="shared" si="50"/>
        <v>0</v>
      </c>
      <c r="I270" s="1"/>
      <c r="J270" s="1"/>
      <c r="K270" s="1">
        <f t="shared" si="40"/>
        <v>11745.762711864407</v>
      </c>
    </row>
    <row r="271" spans="1:11" hidden="1" outlineLevel="1" x14ac:dyDescent="0.3">
      <c r="A271" s="51"/>
      <c r="B271" s="3" t="s">
        <v>277</v>
      </c>
      <c r="C271" s="4" t="s">
        <v>55</v>
      </c>
      <c r="D271" s="1">
        <v>3</v>
      </c>
      <c r="E271" s="1">
        <f>SUMIFS(მასალა!D4:D252,მასალა!B4:B252,ბიუჯეტი!B271)</f>
        <v>355.93220338983053</v>
      </c>
      <c r="F271" s="1">
        <f t="shared" ref="F271" si="55">D271*E271</f>
        <v>1067.7966101694915</v>
      </c>
      <c r="G271" s="1"/>
      <c r="H271" s="1">
        <f t="shared" ref="H271" si="56">D271*G271</f>
        <v>0</v>
      </c>
      <c r="I271" s="1"/>
      <c r="J271" s="1"/>
      <c r="K271" s="1">
        <f t="shared" si="40"/>
        <v>1067.7966101694915</v>
      </c>
    </row>
    <row r="272" spans="1:11" hidden="1" outlineLevel="1" x14ac:dyDescent="0.3">
      <c r="A272" s="51"/>
      <c r="B272" s="3" t="s">
        <v>385</v>
      </c>
      <c r="C272" s="4" t="s">
        <v>192</v>
      </c>
      <c r="D272" s="1">
        <v>75</v>
      </c>
      <c r="E272" s="1">
        <f>SUMIFS(მასალა!D5:D253,მასალა!B5:B253,ბიუჯეტი!B272)</f>
        <v>38.135593220338983</v>
      </c>
      <c r="F272" s="1">
        <f t="shared" si="49"/>
        <v>2860.1694915254238</v>
      </c>
      <c r="G272" s="1"/>
      <c r="H272" s="1">
        <f t="shared" si="50"/>
        <v>0</v>
      </c>
      <c r="I272" s="1"/>
      <c r="J272" s="1"/>
      <c r="K272" s="1">
        <f t="shared" si="40"/>
        <v>2860.1694915254238</v>
      </c>
    </row>
    <row r="273" spans="1:11" hidden="1" outlineLevel="1" x14ac:dyDescent="0.3">
      <c r="A273" s="51"/>
      <c r="B273" s="3" t="s">
        <v>63</v>
      </c>
      <c r="C273" s="4" t="s">
        <v>49</v>
      </c>
      <c r="D273" s="1">
        <v>175</v>
      </c>
      <c r="E273" s="1">
        <f>SUMIFS(მასალა!D6:D254,მასალა!B6:B254,ბიუჯეტი!B273)</f>
        <v>11.016949152542374</v>
      </c>
      <c r="F273" s="1">
        <f t="shared" si="49"/>
        <v>1927.9661016949153</v>
      </c>
      <c r="G273" s="1"/>
      <c r="H273" s="1">
        <v>0</v>
      </c>
      <c r="I273" s="1"/>
      <c r="J273" s="1"/>
      <c r="K273" s="1">
        <f t="shared" si="40"/>
        <v>1927.9661016949153</v>
      </c>
    </row>
    <row r="274" spans="1:11" hidden="1" outlineLevel="1" x14ac:dyDescent="0.3">
      <c r="A274" s="51"/>
      <c r="B274" s="3" t="s">
        <v>386</v>
      </c>
      <c r="C274" s="4" t="s">
        <v>10</v>
      </c>
      <c r="D274" s="1">
        <f>D259</f>
        <v>1074</v>
      </c>
      <c r="E274" s="1">
        <f>SUMIFS(მასალა!D7:D255,მასალა!B7:B255,ბიუჯეტი!B274)</f>
        <v>12.711864406779661</v>
      </c>
      <c r="F274" s="1">
        <f t="shared" si="49"/>
        <v>13652.542372881357</v>
      </c>
      <c r="G274" s="1"/>
      <c r="H274" s="1">
        <v>0</v>
      </c>
      <c r="I274" s="1"/>
      <c r="J274" s="1"/>
      <c r="K274" s="1">
        <f t="shared" si="40"/>
        <v>13652.542372881357</v>
      </c>
    </row>
    <row r="275" spans="1:11" collapsed="1" x14ac:dyDescent="0.3">
      <c r="A275" s="51">
        <v>19</v>
      </c>
      <c r="B275" s="23" t="s">
        <v>84</v>
      </c>
      <c r="C275" s="4" t="s">
        <v>10</v>
      </c>
      <c r="D275" s="1">
        <f>D276+D280</f>
        <v>394.70000000000005</v>
      </c>
      <c r="E275" s="1">
        <f>SUM(F276:F283)/D275</f>
        <v>52.949152542372886</v>
      </c>
      <c r="F275" s="1">
        <f t="shared" si="49"/>
        <v>20899.030508474581</v>
      </c>
      <c r="G275" s="1">
        <f>SUM(H276:H283)/D275</f>
        <v>38.25</v>
      </c>
      <c r="H275" s="1">
        <f>G275*D275</f>
        <v>15097.275000000001</v>
      </c>
      <c r="I275" s="1">
        <v>0</v>
      </c>
      <c r="J275" s="1">
        <v>0</v>
      </c>
      <c r="K275" s="1">
        <f t="shared" si="40"/>
        <v>35996.305508474587</v>
      </c>
    </row>
    <row r="276" spans="1:11" hidden="1" outlineLevel="1" x14ac:dyDescent="0.3">
      <c r="A276" s="51">
        <v>1</v>
      </c>
      <c r="B276" s="23" t="s">
        <v>85</v>
      </c>
      <c r="C276" s="4" t="s">
        <v>10</v>
      </c>
      <c r="D276" s="1">
        <f>სამუშაო!E76</f>
        <v>74.900000000000006</v>
      </c>
      <c r="E276" s="1"/>
      <c r="F276" s="1">
        <f t="shared" si="49"/>
        <v>0</v>
      </c>
      <c r="G276" s="1">
        <f>30*1.275</f>
        <v>38.25</v>
      </c>
      <c r="H276" s="1">
        <f>G276*D276</f>
        <v>2864.9250000000002</v>
      </c>
      <c r="I276" s="1"/>
      <c r="J276" s="1"/>
      <c r="K276" s="1">
        <f t="shared" si="40"/>
        <v>2864.9250000000002</v>
      </c>
    </row>
    <row r="277" spans="1:11" hidden="1" outlineLevel="1" x14ac:dyDescent="0.3">
      <c r="A277" s="51"/>
      <c r="B277" s="3" t="s">
        <v>415</v>
      </c>
      <c r="C277" s="4" t="s">
        <v>10</v>
      </c>
      <c r="D277" s="1">
        <f>D276*1.05</f>
        <v>78.64500000000001</v>
      </c>
      <c r="E277" s="1">
        <f>SUMIFS(მასალა!D103:D258,მასალა!B103:B258,ბიუჯეტი!B277)</f>
        <v>46.610169491525426</v>
      </c>
      <c r="F277" s="1">
        <f t="shared" si="49"/>
        <v>3665.6567796610175</v>
      </c>
      <c r="G277" s="1"/>
      <c r="H277" s="1"/>
      <c r="I277" s="1"/>
      <c r="J277" s="1"/>
      <c r="K277" s="1">
        <f t="shared" si="40"/>
        <v>3665.6567796610175</v>
      </c>
    </row>
    <row r="278" spans="1:11" hidden="1" outlineLevel="1" x14ac:dyDescent="0.3">
      <c r="A278" s="51"/>
      <c r="B278" s="3" t="s">
        <v>63</v>
      </c>
      <c r="C278" s="4" t="s">
        <v>49</v>
      </c>
      <c r="D278" s="1">
        <f>D276*5/25*1.05</f>
        <v>15.729000000000001</v>
      </c>
      <c r="E278" s="1">
        <f>მასალა!D20</f>
        <v>11.016949152542374</v>
      </c>
      <c r="F278" s="1">
        <f t="shared" si="49"/>
        <v>173.285593220339</v>
      </c>
      <c r="G278" s="1"/>
      <c r="H278" s="1"/>
      <c r="I278" s="1"/>
      <c r="J278" s="1"/>
      <c r="K278" s="1">
        <f t="shared" si="40"/>
        <v>173.285593220339</v>
      </c>
    </row>
    <row r="279" spans="1:11" hidden="1" outlineLevel="1" x14ac:dyDescent="0.3">
      <c r="A279" s="51"/>
      <c r="B279" s="3" t="s">
        <v>387</v>
      </c>
      <c r="C279" s="4" t="s">
        <v>193</v>
      </c>
      <c r="D279" s="1">
        <f>D276</f>
        <v>74.900000000000006</v>
      </c>
      <c r="E279" s="1">
        <f>SUMIFS(მასალა!D40:D260,მასალა!B40:B260,ბიუჯეტი!B279)</f>
        <v>1.6949152542372883</v>
      </c>
      <c r="F279" s="1">
        <f>D279*E279</f>
        <v>126.9491525423729</v>
      </c>
      <c r="G279" s="1"/>
      <c r="H279" s="1"/>
      <c r="I279" s="1"/>
      <c r="J279" s="1"/>
      <c r="K279" s="1">
        <f t="shared" si="40"/>
        <v>126.9491525423729</v>
      </c>
    </row>
    <row r="280" spans="1:11" hidden="1" outlineLevel="1" x14ac:dyDescent="0.3">
      <c r="A280" s="51">
        <v>2</v>
      </c>
      <c r="B280" s="23" t="s">
        <v>173</v>
      </c>
      <c r="C280" s="4" t="s">
        <v>10</v>
      </c>
      <c r="D280" s="1">
        <f>სამუშაო!E77+სამუშაო!E78+სამუშაო!E79</f>
        <v>319.8</v>
      </c>
      <c r="E280" s="1"/>
      <c r="F280" s="1">
        <f t="shared" si="49"/>
        <v>0</v>
      </c>
      <c r="G280" s="1">
        <f>ხელფასი!D15</f>
        <v>38.25</v>
      </c>
      <c r="H280" s="1">
        <f>G280*D280</f>
        <v>12232.35</v>
      </c>
      <c r="I280" s="1"/>
      <c r="J280" s="1"/>
      <c r="K280" s="1">
        <f t="shared" si="40"/>
        <v>12232.35</v>
      </c>
    </row>
    <row r="281" spans="1:11" hidden="1" outlineLevel="1" x14ac:dyDescent="0.3">
      <c r="A281" s="51"/>
      <c r="B281" s="3" t="s">
        <v>415</v>
      </c>
      <c r="C281" s="4" t="s">
        <v>10</v>
      </c>
      <c r="D281" s="1">
        <f>D280*1.05</f>
        <v>335.79</v>
      </c>
      <c r="E281" s="1">
        <f>SUMIFS(მასალა!D107:D262,მასალა!B107:B262,ბიუჯეტი!B281)</f>
        <v>46.610169491525426</v>
      </c>
      <c r="F281" s="1">
        <f t="shared" si="49"/>
        <v>15651.228813559324</v>
      </c>
      <c r="G281" s="1"/>
      <c r="H281" s="1"/>
      <c r="I281" s="1"/>
      <c r="J281" s="1"/>
      <c r="K281" s="1">
        <f t="shared" si="40"/>
        <v>15651.228813559324</v>
      </c>
    </row>
    <row r="282" spans="1:11" hidden="1" outlineLevel="1" x14ac:dyDescent="0.3">
      <c r="A282" s="51"/>
      <c r="B282" s="3" t="s">
        <v>63</v>
      </c>
      <c r="C282" s="4" t="s">
        <v>49</v>
      </c>
      <c r="D282" s="1">
        <f>D280*5/25*1.05</f>
        <v>67.158000000000001</v>
      </c>
      <c r="E282" s="1">
        <f>მასალა!D20</f>
        <v>11.016949152542374</v>
      </c>
      <c r="F282" s="1">
        <f t="shared" si="49"/>
        <v>739.8762711864407</v>
      </c>
      <c r="G282" s="1"/>
      <c r="H282" s="1"/>
      <c r="I282" s="1"/>
      <c r="J282" s="1"/>
      <c r="K282" s="1">
        <f t="shared" ref="K282:K345" si="57">F282+H282+J282</f>
        <v>739.8762711864407</v>
      </c>
    </row>
    <row r="283" spans="1:11" hidden="1" outlineLevel="1" x14ac:dyDescent="0.3">
      <c r="A283" s="51"/>
      <c r="B283" s="3" t="s">
        <v>387</v>
      </c>
      <c r="C283" s="4" t="s">
        <v>193</v>
      </c>
      <c r="D283" s="1">
        <f>D280</f>
        <v>319.8</v>
      </c>
      <c r="E283" s="1">
        <f>SUMIFS(მასალა!D44:D264,მასალა!B44:B264,ბიუჯეტი!B283)</f>
        <v>1.6949152542372883</v>
      </c>
      <c r="F283" s="1">
        <f t="shared" si="49"/>
        <v>542.03389830508479</v>
      </c>
      <c r="G283" s="1"/>
      <c r="H283" s="1"/>
      <c r="I283" s="1"/>
      <c r="J283" s="1"/>
      <c r="K283" s="1">
        <f t="shared" si="57"/>
        <v>542.03389830508479</v>
      </c>
    </row>
    <row r="284" spans="1:11" collapsed="1" x14ac:dyDescent="0.3">
      <c r="A284" s="51">
        <v>20</v>
      </c>
      <c r="B284" s="23" t="s">
        <v>86</v>
      </c>
      <c r="C284" s="4" t="s">
        <v>10</v>
      </c>
      <c r="D284" s="1">
        <f>SUM(D285,D289,D293)</f>
        <v>578</v>
      </c>
      <c r="E284" s="1">
        <f>SUM(F285:F296)/D284</f>
        <v>50.201696381443902</v>
      </c>
      <c r="F284" s="1">
        <f t="shared" si="49"/>
        <v>29016.580508474577</v>
      </c>
      <c r="G284" s="1">
        <f>ხელფასი!D15</f>
        <v>38.25</v>
      </c>
      <c r="H284" s="1">
        <f>G284*D284</f>
        <v>22108.5</v>
      </c>
      <c r="I284" s="1">
        <v>0</v>
      </c>
      <c r="J284" s="1">
        <v>0</v>
      </c>
      <c r="K284" s="1">
        <f t="shared" si="57"/>
        <v>51125.080508474581</v>
      </c>
    </row>
    <row r="285" spans="1:11" hidden="1" outlineLevel="1" x14ac:dyDescent="0.3">
      <c r="A285" s="51">
        <v>2</v>
      </c>
      <c r="B285" s="23" t="s">
        <v>174</v>
      </c>
      <c r="C285" s="4" t="s">
        <v>10</v>
      </c>
      <c r="D285" s="1">
        <f>სამუშაო!D75</f>
        <v>179.8</v>
      </c>
      <c r="E285" s="1"/>
      <c r="F285" s="1">
        <f t="shared" si="49"/>
        <v>0</v>
      </c>
      <c r="G285" s="1">
        <f>ხელფასი!D15</f>
        <v>38.25</v>
      </c>
      <c r="H285" s="1">
        <f>G285*D285</f>
        <v>6877.35</v>
      </c>
      <c r="I285" s="1"/>
      <c r="J285" s="1"/>
      <c r="K285" s="1">
        <f t="shared" si="57"/>
        <v>6877.35</v>
      </c>
    </row>
    <row r="286" spans="1:11" hidden="1" outlineLevel="1" x14ac:dyDescent="0.3">
      <c r="A286" s="51"/>
      <c r="B286" s="3" t="s">
        <v>416</v>
      </c>
      <c r="C286" s="4" t="s">
        <v>10</v>
      </c>
      <c r="D286" s="1">
        <f>D285*1.05</f>
        <v>188.79000000000002</v>
      </c>
      <c r="E286" s="1">
        <f>SUMIFS(მასალა!D1:D267,მასალა!B1:B267,ბიუჯეტი!B286)</f>
        <v>38.135593220338983</v>
      </c>
      <c r="F286" s="1">
        <f t="shared" si="49"/>
        <v>7199.6186440677975</v>
      </c>
      <c r="G286" s="1"/>
      <c r="H286" s="1"/>
      <c r="I286" s="1"/>
      <c r="J286" s="1"/>
      <c r="K286" s="1">
        <f t="shared" si="57"/>
        <v>7199.6186440677975</v>
      </c>
    </row>
    <row r="287" spans="1:11" hidden="1" outlineLevel="1" x14ac:dyDescent="0.3">
      <c r="A287" s="51"/>
      <c r="B287" s="3" t="s">
        <v>387</v>
      </c>
      <c r="C287" s="4" t="s">
        <v>193</v>
      </c>
      <c r="D287" s="1">
        <f>D285</f>
        <v>179.8</v>
      </c>
      <c r="E287" s="1">
        <f>SUMIFS(მასალა!D48:D268,მასალა!B48:B268,ბიუჯეტი!B287)</f>
        <v>1.6949152542372883</v>
      </c>
      <c r="F287" s="1">
        <f t="shared" ref="F287" si="58">D287*E287</f>
        <v>304.74576271186447</v>
      </c>
      <c r="G287" s="1"/>
      <c r="H287" s="1"/>
      <c r="I287" s="1"/>
      <c r="J287" s="1"/>
      <c r="K287" s="1">
        <f t="shared" si="57"/>
        <v>304.74576271186447</v>
      </c>
    </row>
    <row r="288" spans="1:11" hidden="1" outlineLevel="1" x14ac:dyDescent="0.3">
      <c r="A288" s="51"/>
      <c r="B288" s="3" t="s">
        <v>63</v>
      </c>
      <c r="C288" s="4" t="s">
        <v>49</v>
      </c>
      <c r="D288" s="1">
        <f>D285*5/25*1.05</f>
        <v>37.758000000000003</v>
      </c>
      <c r="E288" s="1">
        <f>მასალა!D20</f>
        <v>11.016949152542374</v>
      </c>
      <c r="F288" s="1">
        <f t="shared" si="49"/>
        <v>415.97796610169496</v>
      </c>
      <c r="G288" s="1"/>
      <c r="H288" s="1"/>
      <c r="I288" s="1"/>
      <c r="J288" s="1"/>
      <c r="K288" s="1">
        <f t="shared" si="57"/>
        <v>415.97796610169496</v>
      </c>
    </row>
    <row r="289" spans="1:11" hidden="1" outlineLevel="1" x14ac:dyDescent="0.3">
      <c r="A289" s="51">
        <v>3</v>
      </c>
      <c r="B289" s="23" t="s">
        <v>85</v>
      </c>
      <c r="C289" s="4" t="s">
        <v>10</v>
      </c>
      <c r="D289" s="1">
        <f>სამუშაო!D76</f>
        <v>94.9</v>
      </c>
      <c r="E289" s="1"/>
      <c r="F289" s="1">
        <f t="shared" si="49"/>
        <v>0</v>
      </c>
      <c r="G289" s="1">
        <f>ხელფასი!D15</f>
        <v>38.25</v>
      </c>
      <c r="H289" s="1">
        <f>G289*D289</f>
        <v>3629.9250000000002</v>
      </c>
      <c r="I289" s="1"/>
      <c r="J289" s="1"/>
      <c r="K289" s="1">
        <f t="shared" si="57"/>
        <v>3629.9250000000002</v>
      </c>
    </row>
    <row r="290" spans="1:11" hidden="1" outlineLevel="1" x14ac:dyDescent="0.3">
      <c r="A290" s="51"/>
      <c r="B290" s="3" t="s">
        <v>415</v>
      </c>
      <c r="C290" s="4" t="s">
        <v>10</v>
      </c>
      <c r="D290" s="1">
        <f>D289+5</f>
        <v>99.9</v>
      </c>
      <c r="E290" s="1">
        <f>SUMIFS(მასალა!D1:D271,მასალა!B1:B271,ბიუჯეტი!B290)</f>
        <v>46.610169491525426</v>
      </c>
      <c r="F290" s="1">
        <f t="shared" si="49"/>
        <v>4656.3559322033907</v>
      </c>
      <c r="G290" s="1"/>
      <c r="H290" s="1"/>
      <c r="I290" s="1"/>
      <c r="J290" s="1"/>
      <c r="K290" s="1">
        <f t="shared" si="57"/>
        <v>4656.3559322033907</v>
      </c>
    </row>
    <row r="291" spans="1:11" hidden="1" outlineLevel="1" x14ac:dyDescent="0.3">
      <c r="A291" s="51"/>
      <c r="B291" s="3" t="s">
        <v>63</v>
      </c>
      <c r="C291" s="4" t="s">
        <v>49</v>
      </c>
      <c r="D291" s="1">
        <f>D289*5/25*1.05</f>
        <v>19.929000000000002</v>
      </c>
      <c r="E291" s="1">
        <f>მასალა!D20</f>
        <v>11.016949152542374</v>
      </c>
      <c r="F291" s="1">
        <f t="shared" si="49"/>
        <v>219.55677966101698</v>
      </c>
      <c r="G291" s="1"/>
      <c r="H291" s="1"/>
      <c r="I291" s="1"/>
      <c r="J291" s="1"/>
      <c r="K291" s="1">
        <f t="shared" si="57"/>
        <v>219.55677966101698</v>
      </c>
    </row>
    <row r="292" spans="1:11" hidden="1" outlineLevel="1" x14ac:dyDescent="0.3">
      <c r="A292" s="51"/>
      <c r="B292" s="3" t="s">
        <v>387</v>
      </c>
      <c r="C292" s="4" t="s">
        <v>193</v>
      </c>
      <c r="D292" s="1">
        <f>D289</f>
        <v>94.9</v>
      </c>
      <c r="E292" s="1">
        <f>SUMIFS(მასალა!D53:D273,მასალა!B53:B273,ბიუჯეტი!B292)</f>
        <v>1.6949152542372883</v>
      </c>
      <c r="F292" s="1">
        <f t="shared" si="49"/>
        <v>160.84745762711867</v>
      </c>
      <c r="G292" s="1"/>
      <c r="H292" s="1"/>
      <c r="I292" s="1"/>
      <c r="J292" s="1"/>
      <c r="K292" s="1">
        <f t="shared" si="57"/>
        <v>160.84745762711867</v>
      </c>
    </row>
    <row r="293" spans="1:11" hidden="1" outlineLevel="1" x14ac:dyDescent="0.3">
      <c r="A293" s="51">
        <v>4</v>
      </c>
      <c r="B293" s="23" t="s">
        <v>173</v>
      </c>
      <c r="C293" s="4" t="s">
        <v>10</v>
      </c>
      <c r="D293" s="1">
        <f>სამუშაო!D77+სამუშაო!D78+სამუშაო!D79</f>
        <v>303.29999999999995</v>
      </c>
      <c r="E293" s="1"/>
      <c r="F293" s="1">
        <f t="shared" si="49"/>
        <v>0</v>
      </c>
      <c r="G293" s="1">
        <f>ხელფასი!D15</f>
        <v>38.25</v>
      </c>
      <c r="H293" s="1">
        <f>G293*D293</f>
        <v>11601.224999999999</v>
      </c>
      <c r="I293" s="1"/>
      <c r="J293" s="1"/>
      <c r="K293" s="1">
        <f t="shared" si="57"/>
        <v>11601.224999999999</v>
      </c>
    </row>
    <row r="294" spans="1:11" hidden="1" outlineLevel="1" x14ac:dyDescent="0.3">
      <c r="A294" s="51"/>
      <c r="B294" s="3" t="s">
        <v>415</v>
      </c>
      <c r="C294" s="4" t="s">
        <v>10</v>
      </c>
      <c r="D294" s="1">
        <f>D293*1.05</f>
        <v>318.46499999999997</v>
      </c>
      <c r="E294" s="1">
        <f>SUMIFS(მასალა!D5:D275,მასალა!B5:B275,ბიუჯეტი!B294)</f>
        <v>46.610169491525426</v>
      </c>
      <c r="F294" s="1">
        <f t="shared" si="49"/>
        <v>14843.707627118643</v>
      </c>
      <c r="G294" s="1"/>
      <c r="H294" s="1"/>
      <c r="I294" s="1"/>
      <c r="J294" s="1"/>
      <c r="K294" s="1">
        <f t="shared" si="57"/>
        <v>14843.707627118643</v>
      </c>
    </row>
    <row r="295" spans="1:11" hidden="1" outlineLevel="1" x14ac:dyDescent="0.3">
      <c r="A295" s="51"/>
      <c r="B295" s="3" t="s">
        <v>63</v>
      </c>
      <c r="C295" s="4" t="s">
        <v>49</v>
      </c>
      <c r="D295" s="1">
        <f>D293*5/25*1.05</f>
        <v>63.692999999999991</v>
      </c>
      <c r="E295" s="1">
        <f>მასალა!D20</f>
        <v>11.016949152542374</v>
      </c>
      <c r="F295" s="1">
        <f t="shared" si="49"/>
        <v>701.70254237288134</v>
      </c>
      <c r="G295" s="1"/>
      <c r="H295" s="1"/>
      <c r="I295" s="1"/>
      <c r="J295" s="1"/>
      <c r="K295" s="1">
        <f t="shared" si="57"/>
        <v>701.70254237288134</v>
      </c>
    </row>
    <row r="296" spans="1:11" hidden="1" outlineLevel="1" x14ac:dyDescent="0.3">
      <c r="A296" s="51"/>
      <c r="B296" s="3" t="s">
        <v>387</v>
      </c>
      <c r="C296" s="4" t="s">
        <v>193</v>
      </c>
      <c r="D296" s="1">
        <f>D293</f>
        <v>303.29999999999995</v>
      </c>
      <c r="E296" s="1">
        <f>SUMIFS(მასალა!D3:D277,მასალა!B3:B277,ბიუჯეტი!B296)</f>
        <v>1.6949152542372883</v>
      </c>
      <c r="F296" s="1">
        <f t="shared" si="49"/>
        <v>514.06779661016947</v>
      </c>
      <c r="G296" s="1"/>
      <c r="H296" s="1"/>
      <c r="I296" s="1"/>
      <c r="J296" s="1"/>
      <c r="K296" s="1">
        <f t="shared" si="57"/>
        <v>514.06779661016947</v>
      </c>
    </row>
    <row r="297" spans="1:11" collapsed="1" x14ac:dyDescent="0.3">
      <c r="A297" s="51">
        <v>21</v>
      </c>
      <c r="B297" s="23" t="s">
        <v>87</v>
      </c>
      <c r="C297" s="4" t="s">
        <v>40</v>
      </c>
      <c r="D297" s="1">
        <f>SUM(D298,D301,D304)</f>
        <v>511.71</v>
      </c>
      <c r="E297" s="1">
        <f>SUM(F298:F306)/D297</f>
        <v>3.5719181936339082</v>
      </c>
      <c r="F297" s="1">
        <f>D297*E297</f>
        <v>1827.786258864407</v>
      </c>
      <c r="G297" s="1">
        <f>SUM(H298:H306)/D297</f>
        <v>12.75</v>
      </c>
      <c r="H297" s="1">
        <f>G297*D297</f>
        <v>6524.3024999999998</v>
      </c>
      <c r="I297" s="1">
        <v>0</v>
      </c>
      <c r="J297" s="1">
        <v>0</v>
      </c>
      <c r="K297" s="1">
        <f t="shared" si="57"/>
        <v>8352.0887588644073</v>
      </c>
    </row>
    <row r="298" spans="1:11" hidden="1" outlineLevel="1" x14ac:dyDescent="0.3">
      <c r="A298" s="51">
        <v>2</v>
      </c>
      <c r="B298" s="23" t="s">
        <v>175</v>
      </c>
      <c r="C298" s="4" t="s">
        <v>40</v>
      </c>
      <c r="D298" s="1">
        <f>სამუშაო!F75</f>
        <v>97.2</v>
      </c>
      <c r="E298" s="1"/>
      <c r="F298" s="1">
        <f t="shared" si="49"/>
        <v>0</v>
      </c>
      <c r="G298" s="1">
        <f>ხელფასი!D16</f>
        <v>12.75</v>
      </c>
      <c r="H298" s="1">
        <f>G298*D298</f>
        <v>1239.3</v>
      </c>
      <c r="I298" s="1"/>
      <c r="J298" s="1"/>
      <c r="K298" s="1">
        <f t="shared" si="57"/>
        <v>1239.3</v>
      </c>
    </row>
    <row r="299" spans="1:11" hidden="1" outlineLevel="1" x14ac:dyDescent="0.3">
      <c r="A299" s="51"/>
      <c r="B299" s="3" t="s">
        <v>416</v>
      </c>
      <c r="C299" s="4" t="s">
        <v>10</v>
      </c>
      <c r="D299" s="1">
        <f>D298*0.07*1.1</f>
        <v>7.4844000000000017</v>
      </c>
      <c r="E299" s="1">
        <f>SUMIFS(მასალა!D10:D280,მასალა!B10:B280,ბიუჯეტი!B299)</f>
        <v>38.135593220338983</v>
      </c>
      <c r="F299" s="1">
        <f t="shared" si="49"/>
        <v>285.42203389830513</v>
      </c>
      <c r="G299" s="1"/>
      <c r="H299" s="1"/>
      <c r="I299" s="1"/>
      <c r="J299" s="1"/>
      <c r="K299" s="1">
        <f t="shared" si="57"/>
        <v>285.42203389830513</v>
      </c>
    </row>
    <row r="300" spans="1:11" hidden="1" outlineLevel="1" x14ac:dyDescent="0.3">
      <c r="A300" s="51"/>
      <c r="B300" s="3" t="s">
        <v>63</v>
      </c>
      <c r="C300" s="4" t="s">
        <v>49</v>
      </c>
      <c r="D300" s="1">
        <f>D299*3*1.05/25</f>
        <v>0.94303440000000027</v>
      </c>
      <c r="E300" s="1">
        <f>მასალა!D20</f>
        <v>11.016949152542374</v>
      </c>
      <c r="F300" s="1">
        <f t="shared" si="49"/>
        <v>10.389362033898308</v>
      </c>
      <c r="G300" s="1"/>
      <c r="H300" s="1"/>
      <c r="I300" s="1"/>
      <c r="J300" s="1"/>
      <c r="K300" s="1">
        <f t="shared" si="57"/>
        <v>10.389362033898308</v>
      </c>
    </row>
    <row r="301" spans="1:11" hidden="1" outlineLevel="1" x14ac:dyDescent="0.3">
      <c r="A301" s="51">
        <v>3</v>
      </c>
      <c r="B301" s="23" t="s">
        <v>88</v>
      </c>
      <c r="C301" s="4" t="s">
        <v>40</v>
      </c>
      <c r="D301" s="1">
        <f>სამუშაო!F76</f>
        <v>110.25</v>
      </c>
      <c r="E301" s="1"/>
      <c r="F301" s="1">
        <f t="shared" si="49"/>
        <v>0</v>
      </c>
      <c r="G301" s="1">
        <f>ხელფასი!D16</f>
        <v>12.75</v>
      </c>
      <c r="H301" s="1">
        <f>G301*D301</f>
        <v>1405.6875</v>
      </c>
      <c r="I301" s="1"/>
      <c r="J301" s="1"/>
      <c r="K301" s="1">
        <f t="shared" si="57"/>
        <v>1405.6875</v>
      </c>
    </row>
    <row r="302" spans="1:11" hidden="1" outlineLevel="1" x14ac:dyDescent="0.3">
      <c r="A302" s="51"/>
      <c r="B302" s="3" t="s">
        <v>415</v>
      </c>
      <c r="C302" s="4" t="s">
        <v>10</v>
      </c>
      <c r="D302" s="1">
        <f>D301*0.07*1.1</f>
        <v>8.489250000000002</v>
      </c>
      <c r="E302" s="1">
        <f>SUMIFS(მასალა!D13:D283,მასალა!B13:B283,ბიუჯეტი!B302)</f>
        <v>46.610169491525426</v>
      </c>
      <c r="F302" s="1">
        <f t="shared" si="49"/>
        <v>395.68538135593229</v>
      </c>
      <c r="G302" s="1"/>
      <c r="H302" s="1"/>
      <c r="I302" s="1"/>
      <c r="J302" s="1"/>
      <c r="K302" s="1">
        <f t="shared" si="57"/>
        <v>395.68538135593229</v>
      </c>
    </row>
    <row r="303" spans="1:11" hidden="1" outlineLevel="1" x14ac:dyDescent="0.3">
      <c r="A303" s="51"/>
      <c r="B303" s="3" t="s">
        <v>63</v>
      </c>
      <c r="C303" s="4" t="s">
        <v>49</v>
      </c>
      <c r="D303" s="1">
        <f>D302*3*1.05/25</f>
        <v>1.0696455000000002</v>
      </c>
      <c r="E303" s="1">
        <f>მასალა!D20</f>
        <v>11.016949152542374</v>
      </c>
      <c r="F303" s="1">
        <f t="shared" si="49"/>
        <v>11.784230084745767</v>
      </c>
      <c r="G303" s="1"/>
      <c r="H303" s="1"/>
      <c r="I303" s="1"/>
      <c r="J303" s="1"/>
      <c r="K303" s="1">
        <f t="shared" si="57"/>
        <v>11.784230084745767</v>
      </c>
    </row>
    <row r="304" spans="1:11" hidden="1" outlineLevel="1" x14ac:dyDescent="0.3">
      <c r="A304" s="51">
        <v>4</v>
      </c>
      <c r="B304" s="23" t="s">
        <v>176</v>
      </c>
      <c r="C304" s="4" t="s">
        <v>40</v>
      </c>
      <c r="D304" s="1">
        <f>სამუშაო!F77+სამუშაო!F78+სამუშაო!F79</f>
        <v>304.26</v>
      </c>
      <c r="E304" s="1"/>
      <c r="F304" s="1">
        <f t="shared" si="49"/>
        <v>0</v>
      </c>
      <c r="G304" s="1">
        <f>ხელფასი!D16</f>
        <v>12.75</v>
      </c>
      <c r="H304" s="1">
        <f>G304*D304</f>
        <v>3879.3150000000001</v>
      </c>
      <c r="I304" s="1"/>
      <c r="J304" s="1"/>
      <c r="K304" s="1">
        <f t="shared" si="57"/>
        <v>3879.3150000000001</v>
      </c>
    </row>
    <row r="305" spans="1:11" hidden="1" outlineLevel="1" x14ac:dyDescent="0.3">
      <c r="A305" s="51"/>
      <c r="B305" s="3" t="s">
        <v>415</v>
      </c>
      <c r="C305" s="4" t="s">
        <v>10</v>
      </c>
      <c r="D305" s="1">
        <f>D304*0.07*1.1</f>
        <v>23.428020000000004</v>
      </c>
      <c r="E305" s="1">
        <f>SUMIFS(მასალა!D16:D286,მასალა!B16:B286,ბიუჯეტი!B305)</f>
        <v>46.610169491525426</v>
      </c>
      <c r="F305" s="1">
        <f t="shared" si="49"/>
        <v>1091.9839830508477</v>
      </c>
      <c r="G305" s="1"/>
      <c r="H305" s="1"/>
      <c r="I305" s="1"/>
      <c r="J305" s="1"/>
      <c r="K305" s="1">
        <f t="shared" si="57"/>
        <v>1091.9839830508477</v>
      </c>
    </row>
    <row r="306" spans="1:11" hidden="1" outlineLevel="1" x14ac:dyDescent="0.3">
      <c r="A306" s="51"/>
      <c r="B306" s="3" t="s">
        <v>63</v>
      </c>
      <c r="C306" s="4" t="s">
        <v>49</v>
      </c>
      <c r="D306" s="1">
        <f>D305*3*1.05/25</f>
        <v>2.9519305200000008</v>
      </c>
      <c r="E306" s="1">
        <f>მასალა!D20</f>
        <v>11.016949152542374</v>
      </c>
      <c r="F306" s="1">
        <f t="shared" si="49"/>
        <v>32.521268440677979</v>
      </c>
      <c r="G306" s="1"/>
      <c r="H306" s="1"/>
      <c r="I306" s="1"/>
      <c r="J306" s="1"/>
      <c r="K306" s="1">
        <f t="shared" si="57"/>
        <v>32.521268440677979</v>
      </c>
    </row>
    <row r="307" spans="1:11" collapsed="1" x14ac:dyDescent="0.3">
      <c r="A307" s="51">
        <v>22</v>
      </c>
      <c r="B307" s="23" t="s">
        <v>89</v>
      </c>
      <c r="C307" s="4" t="s">
        <v>10</v>
      </c>
      <c r="D307" s="1">
        <f>SUM(D308,D312,D318)</f>
        <v>3315.7000000000003</v>
      </c>
      <c r="E307" s="1">
        <f>SUM(K309:K311,K313:K315,K319:K321)/D307</f>
        <v>11.835109916202475</v>
      </c>
      <c r="F307" s="1">
        <f t="shared" si="49"/>
        <v>39241.673949152551</v>
      </c>
      <c r="G307" s="1">
        <v>0</v>
      </c>
      <c r="H307" s="1">
        <f>G307*D307</f>
        <v>0</v>
      </c>
      <c r="I307" s="1">
        <f>SUM(J308:J321)/D307</f>
        <v>10.169491525423732</v>
      </c>
      <c r="J307" s="1">
        <f>I307*D307</f>
        <v>33718.98305084747</v>
      </c>
      <c r="K307" s="1">
        <f t="shared" si="57"/>
        <v>72960.657000000021</v>
      </c>
    </row>
    <row r="308" spans="1:11" hidden="1" outlineLevel="1" x14ac:dyDescent="0.3">
      <c r="A308" s="51">
        <v>1</v>
      </c>
      <c r="B308" s="23" t="s">
        <v>177</v>
      </c>
      <c r="C308" s="4" t="s">
        <v>10</v>
      </c>
      <c r="D308" s="1">
        <f>სამუშაო!F85</f>
        <v>179.8</v>
      </c>
      <c r="E308" s="1"/>
      <c r="F308" s="1">
        <f t="shared" si="49"/>
        <v>0</v>
      </c>
      <c r="G308" s="1"/>
      <c r="H308" s="1">
        <f t="shared" ref="H308:H321" si="59">D308*G308</f>
        <v>0</v>
      </c>
      <c r="I308" s="1">
        <f>მომსახურება!D7</f>
        <v>10.16949152542373</v>
      </c>
      <c r="J308" s="1">
        <f>I308*D308</f>
        <v>1828.4745762711868</v>
      </c>
      <c r="K308" s="1">
        <f t="shared" si="57"/>
        <v>1828.4745762711868</v>
      </c>
    </row>
    <row r="309" spans="1:11" hidden="1" outlineLevel="1" x14ac:dyDescent="0.3">
      <c r="A309" s="51"/>
      <c r="B309" s="3" t="s">
        <v>90</v>
      </c>
      <c r="C309" s="4" t="s">
        <v>9</v>
      </c>
      <c r="D309" s="1">
        <f>D308*0.08*1.05</f>
        <v>15.103200000000001</v>
      </c>
      <c r="E309" s="1">
        <f>მასალა!D14</f>
        <v>59.322033898305087</v>
      </c>
      <c r="F309" s="1">
        <f t="shared" si="49"/>
        <v>895.95254237288145</v>
      </c>
      <c r="G309" s="1"/>
      <c r="H309" s="1">
        <f t="shared" si="59"/>
        <v>0</v>
      </c>
      <c r="I309" s="1"/>
      <c r="J309" s="1"/>
      <c r="K309" s="1">
        <f t="shared" si="57"/>
        <v>895.95254237288145</v>
      </c>
    </row>
    <row r="310" spans="1:11" hidden="1" outlineLevel="1" x14ac:dyDescent="0.3">
      <c r="A310" s="51"/>
      <c r="B310" s="3" t="s">
        <v>388</v>
      </c>
      <c r="C310" s="4" t="s">
        <v>193</v>
      </c>
      <c r="D310" s="1">
        <f>D308</f>
        <v>179.8</v>
      </c>
      <c r="E310" s="1">
        <f>SUMIFS(მასალა!D3:D291,მასალა!B3:B291,ბიუჯეტი!B310)</f>
        <v>1.6949152542372883</v>
      </c>
      <c r="F310" s="1">
        <f t="shared" ref="F310" si="60">D310*E310</f>
        <v>304.74576271186447</v>
      </c>
      <c r="G310" s="1"/>
      <c r="H310" s="1">
        <f t="shared" ref="H310" si="61">D310*G310</f>
        <v>0</v>
      </c>
      <c r="I310" s="1"/>
      <c r="J310" s="1"/>
      <c r="K310" s="1">
        <f t="shared" si="57"/>
        <v>304.74576271186447</v>
      </c>
    </row>
    <row r="311" spans="1:11" hidden="1" outlineLevel="1" x14ac:dyDescent="0.3">
      <c r="A311" s="51"/>
      <c r="B311" s="3" t="s">
        <v>91</v>
      </c>
      <c r="C311" s="4" t="s">
        <v>12</v>
      </c>
      <c r="D311" s="1">
        <f>D308*0.04/3*1.05</f>
        <v>2.5172000000000003</v>
      </c>
      <c r="E311" s="1">
        <f>მასალა!D31</f>
        <v>303.98305084745766</v>
      </c>
      <c r="F311" s="1">
        <f t="shared" si="49"/>
        <v>765.18613559322057</v>
      </c>
      <c r="G311" s="1"/>
      <c r="H311" s="1">
        <f t="shared" si="59"/>
        <v>0</v>
      </c>
      <c r="I311" s="1"/>
      <c r="J311" s="1"/>
      <c r="K311" s="1">
        <f t="shared" si="57"/>
        <v>765.18613559322057</v>
      </c>
    </row>
    <row r="312" spans="1:11" hidden="1" outlineLevel="1" x14ac:dyDescent="0.3">
      <c r="A312" s="51">
        <v>2</v>
      </c>
      <c r="B312" s="23" t="s">
        <v>92</v>
      </c>
      <c r="C312" s="4" t="s">
        <v>10</v>
      </c>
      <c r="D312" s="1">
        <f>სამუშაო!I86</f>
        <v>736.8</v>
      </c>
      <c r="E312" s="1"/>
      <c r="F312" s="1">
        <f t="shared" si="49"/>
        <v>0</v>
      </c>
      <c r="G312" s="1"/>
      <c r="H312" s="1">
        <f t="shared" si="59"/>
        <v>0</v>
      </c>
      <c r="I312" s="1">
        <f>მომსახურება!D7</f>
        <v>10.16949152542373</v>
      </c>
      <c r="J312" s="1">
        <f>I312*D312</f>
        <v>7492.8813559322043</v>
      </c>
      <c r="K312" s="1">
        <f t="shared" si="57"/>
        <v>7492.8813559322043</v>
      </c>
    </row>
    <row r="313" spans="1:11" hidden="1" outlineLevel="1" x14ac:dyDescent="0.3">
      <c r="A313" s="51"/>
      <c r="B313" s="3" t="s">
        <v>90</v>
      </c>
      <c r="C313" s="4" t="s">
        <v>9</v>
      </c>
      <c r="D313" s="1">
        <f>D312*0.08*1.05</f>
        <v>61.891199999999998</v>
      </c>
      <c r="E313" s="1">
        <f>მასალა!D14</f>
        <v>59.322033898305087</v>
      </c>
      <c r="F313" s="1">
        <f t="shared" si="49"/>
        <v>3671.5118644067798</v>
      </c>
      <c r="G313" s="1"/>
      <c r="H313" s="1">
        <f t="shared" si="59"/>
        <v>0</v>
      </c>
      <c r="I313" s="1"/>
      <c r="J313" s="1"/>
      <c r="K313" s="1">
        <f t="shared" si="57"/>
        <v>3671.5118644067798</v>
      </c>
    </row>
    <row r="314" spans="1:11" hidden="1" outlineLevel="1" x14ac:dyDescent="0.3">
      <c r="A314" s="51"/>
      <c r="B314" s="3" t="s">
        <v>388</v>
      </c>
      <c r="C314" s="4" t="s">
        <v>193</v>
      </c>
      <c r="D314" s="1">
        <f>D312</f>
        <v>736.8</v>
      </c>
      <c r="E314" s="1">
        <f>SUMIFS(მასალა!D3:D295,მასალა!B3:B295,ბიუჯეტი!B314)</f>
        <v>1.6949152542372883</v>
      </c>
      <c r="F314" s="1">
        <f t="shared" ref="F314" si="62">D314*E314</f>
        <v>1248.8135593220338</v>
      </c>
      <c r="G314" s="1"/>
      <c r="H314" s="1">
        <f t="shared" ref="H314" si="63">D314*G314</f>
        <v>0</v>
      </c>
      <c r="I314" s="1"/>
      <c r="J314" s="1"/>
      <c r="K314" s="1">
        <f t="shared" si="57"/>
        <v>1248.8135593220338</v>
      </c>
    </row>
    <row r="315" spans="1:11" hidden="1" outlineLevel="1" x14ac:dyDescent="0.3">
      <c r="A315" s="51"/>
      <c r="B315" s="3" t="s">
        <v>91</v>
      </c>
      <c r="C315" s="4" t="s">
        <v>12</v>
      </c>
      <c r="D315" s="1">
        <f>D312*0.04/3*1.05</f>
        <v>10.315200000000001</v>
      </c>
      <c r="E315" s="1">
        <f>მასალა!D31</f>
        <v>303.98305084745766</v>
      </c>
      <c r="F315" s="1">
        <f t="shared" si="49"/>
        <v>3135.6459661016956</v>
      </c>
      <c r="G315" s="1"/>
      <c r="H315" s="1">
        <f t="shared" si="59"/>
        <v>0</v>
      </c>
      <c r="I315" s="1"/>
      <c r="J315" s="1"/>
      <c r="K315" s="1">
        <f t="shared" si="57"/>
        <v>3135.6459661016956</v>
      </c>
    </row>
    <row r="316" spans="1:11" hidden="1" outlineLevel="1" x14ac:dyDescent="0.3">
      <c r="A316" s="51"/>
      <c r="B316" s="3" t="s">
        <v>419</v>
      </c>
      <c r="C316" s="4" t="s">
        <v>10</v>
      </c>
      <c r="D316" s="1">
        <f>სამუშაო!D86</f>
        <v>567</v>
      </c>
      <c r="E316" s="1">
        <f>SUMIFS(მასალა!D5:D297,მასალა!B5:B297,ბიუჯეტი!B316)</f>
        <v>6.7796610169491531</v>
      </c>
      <c r="F316" s="1">
        <f t="shared" si="49"/>
        <v>3844.0677966101698</v>
      </c>
      <c r="G316" s="1"/>
      <c r="H316" s="1">
        <f t="shared" si="59"/>
        <v>0</v>
      </c>
      <c r="I316" s="1"/>
      <c r="J316" s="1"/>
      <c r="K316" s="1">
        <f t="shared" si="57"/>
        <v>3844.0677966101698</v>
      </c>
    </row>
    <row r="317" spans="1:11" hidden="1" outlineLevel="1" x14ac:dyDescent="0.3">
      <c r="A317" s="51"/>
      <c r="B317" s="3" t="s">
        <v>13</v>
      </c>
      <c r="C317" s="4" t="s">
        <v>12</v>
      </c>
      <c r="D317" s="1">
        <f>D313*0.007</f>
        <v>0.43323839999999997</v>
      </c>
      <c r="E317" s="1">
        <f>SUMIFS(მასალა!D6:D298,მასალა!B6:B298,ბიუჯეტი!B317)</f>
        <v>0</v>
      </c>
      <c r="F317" s="1">
        <f t="shared" si="49"/>
        <v>0</v>
      </c>
      <c r="G317" s="1"/>
      <c r="H317" s="1">
        <f t="shared" si="59"/>
        <v>0</v>
      </c>
      <c r="I317" s="1"/>
      <c r="J317" s="1"/>
      <c r="K317" s="1">
        <f t="shared" si="57"/>
        <v>0</v>
      </c>
    </row>
    <row r="318" spans="1:11" hidden="1" outlineLevel="1" x14ac:dyDescent="0.3">
      <c r="A318" s="51">
        <v>3</v>
      </c>
      <c r="B318" s="23" t="s">
        <v>179</v>
      </c>
      <c r="C318" s="4" t="s">
        <v>10</v>
      </c>
      <c r="D318" s="1">
        <f>სამუშაო!I87+სამუშაო!I88+სამუშაო!I89</f>
        <v>2399.1000000000004</v>
      </c>
      <c r="E318" s="1"/>
      <c r="F318" s="1">
        <f t="shared" si="49"/>
        <v>0</v>
      </c>
      <c r="G318" s="1"/>
      <c r="H318" s="1">
        <f t="shared" si="59"/>
        <v>0</v>
      </c>
      <c r="I318" s="1">
        <f>მომსახურება!D7</f>
        <v>10.16949152542373</v>
      </c>
      <c r="J318" s="1">
        <f>I318*D318</f>
        <v>24397.627118644075</v>
      </c>
      <c r="K318" s="1">
        <f t="shared" si="57"/>
        <v>24397.627118644075</v>
      </c>
    </row>
    <row r="319" spans="1:11" hidden="1" outlineLevel="1" x14ac:dyDescent="0.3">
      <c r="A319" s="51"/>
      <c r="B319" s="3" t="s">
        <v>90</v>
      </c>
      <c r="C319" s="4" t="s">
        <v>9</v>
      </c>
      <c r="D319" s="1">
        <f>D318*0.1*1.05</f>
        <v>251.90550000000007</v>
      </c>
      <c r="E319" s="1">
        <f>მასალა!D14</f>
        <v>59.322033898305087</v>
      </c>
      <c r="F319" s="1">
        <f t="shared" si="49"/>
        <v>14943.546610169496</v>
      </c>
      <c r="G319" s="1"/>
      <c r="H319" s="1">
        <f t="shared" si="59"/>
        <v>0</v>
      </c>
      <c r="I319" s="1"/>
      <c r="J319" s="1"/>
      <c r="K319" s="1">
        <f t="shared" si="57"/>
        <v>14943.546610169496</v>
      </c>
    </row>
    <row r="320" spans="1:11" hidden="1" outlineLevel="1" x14ac:dyDescent="0.3">
      <c r="A320" s="51"/>
      <c r="B320" s="3" t="s">
        <v>388</v>
      </c>
      <c r="C320" s="4" t="s">
        <v>193</v>
      </c>
      <c r="D320" s="1">
        <f>D318</f>
        <v>2399.1000000000004</v>
      </c>
      <c r="E320" s="1">
        <f>SUMIFS(მასალა!D3:D299,მასალა!B3:B299,ბიუჯეტი!B320)</f>
        <v>1.6949152542372883</v>
      </c>
      <c r="F320" s="1">
        <f t="shared" ref="F320" si="64">D320*E320</f>
        <v>4066.2711864406788</v>
      </c>
      <c r="G320" s="1"/>
      <c r="H320" s="1">
        <f t="shared" ref="H320" si="65">D320*G320</f>
        <v>0</v>
      </c>
      <c r="I320" s="1"/>
      <c r="J320" s="1"/>
      <c r="K320" s="1">
        <f t="shared" si="57"/>
        <v>4066.2711864406788</v>
      </c>
    </row>
    <row r="321" spans="1:11" hidden="1" outlineLevel="1" x14ac:dyDescent="0.3">
      <c r="A321" s="51"/>
      <c r="B321" s="3" t="s">
        <v>91</v>
      </c>
      <c r="C321" s="4" t="s">
        <v>12</v>
      </c>
      <c r="D321" s="1">
        <f>D318*0.04/3*1.05</f>
        <v>33.587400000000002</v>
      </c>
      <c r="E321" s="1">
        <f>მასალა!D31</f>
        <v>303.98305084745766</v>
      </c>
      <c r="F321" s="1">
        <f t="shared" si="49"/>
        <v>10210.0003220339</v>
      </c>
      <c r="G321" s="1"/>
      <c r="H321" s="1">
        <f t="shared" si="59"/>
        <v>0</v>
      </c>
      <c r="I321" s="1"/>
      <c r="J321" s="1"/>
      <c r="K321" s="1">
        <f t="shared" si="57"/>
        <v>10210.0003220339</v>
      </c>
    </row>
    <row r="322" spans="1:11" collapsed="1" x14ac:dyDescent="0.3">
      <c r="A322" s="51">
        <v>23</v>
      </c>
      <c r="B322" s="23" t="s">
        <v>93</v>
      </c>
      <c r="C322" s="4" t="s">
        <v>10</v>
      </c>
      <c r="D322" s="1">
        <f>SUM(D335,D323)</f>
        <v>4361.3856000000005</v>
      </c>
      <c r="E322" s="1">
        <f>SUM(F323:F346)/D322</f>
        <v>24.425786742199929</v>
      </c>
      <c r="F322" s="1">
        <f t="shared" si="49"/>
        <v>106530.2745661017</v>
      </c>
      <c r="G322" s="1">
        <f>SUM(H323:H346)/D322</f>
        <v>15.299999999999999</v>
      </c>
      <c r="H322" s="1">
        <f>G322*D322</f>
        <v>66729.199680000005</v>
      </c>
      <c r="I322" s="1">
        <v>0</v>
      </c>
      <c r="J322" s="1">
        <v>0</v>
      </c>
      <c r="K322" s="1">
        <f t="shared" si="57"/>
        <v>173259.47424610169</v>
      </c>
    </row>
    <row r="323" spans="1:11" hidden="1" outlineLevel="1" x14ac:dyDescent="0.3">
      <c r="A323" s="51">
        <v>1</v>
      </c>
      <c r="B323" s="23" t="s">
        <v>94</v>
      </c>
      <c r="C323" s="4" t="s">
        <v>10</v>
      </c>
      <c r="D323" s="1">
        <f>სამუშაო!D96</f>
        <v>1090.3464000000001</v>
      </c>
      <c r="E323" s="1"/>
      <c r="F323" s="1">
        <f t="shared" si="49"/>
        <v>0</v>
      </c>
      <c r="G323" s="1">
        <f>ხელფასი!D18</f>
        <v>15.299999999999999</v>
      </c>
      <c r="H323" s="1">
        <f t="shared" ref="H323:H346" si="66">D323*G323</f>
        <v>16682.299920000001</v>
      </c>
      <c r="I323" s="1"/>
      <c r="J323" s="1"/>
      <c r="K323" s="1">
        <f t="shared" si="57"/>
        <v>16682.299920000001</v>
      </c>
    </row>
    <row r="324" spans="1:11" hidden="1" outlineLevel="1" x14ac:dyDescent="0.3">
      <c r="A324" s="51">
        <v>1</v>
      </c>
      <c r="B324" s="23" t="s">
        <v>94</v>
      </c>
      <c r="C324" s="4" t="s">
        <v>10</v>
      </c>
      <c r="D324" s="1">
        <f>D323-D91</f>
        <v>1073.0664000000002</v>
      </c>
      <c r="E324" s="1"/>
      <c r="F324" s="1">
        <f t="shared" si="49"/>
        <v>0</v>
      </c>
      <c r="G324" s="1">
        <v>0</v>
      </c>
      <c r="H324" s="1">
        <f t="shared" si="66"/>
        <v>0</v>
      </c>
      <c r="I324" s="1"/>
      <c r="J324" s="1"/>
      <c r="K324" s="1">
        <f t="shared" si="57"/>
        <v>0</v>
      </c>
    </row>
    <row r="325" spans="1:11" hidden="1" outlineLevel="1" x14ac:dyDescent="0.3">
      <c r="A325" s="51"/>
      <c r="B325" s="3" t="s">
        <v>95</v>
      </c>
      <c r="C325" s="4" t="s">
        <v>49</v>
      </c>
      <c r="D325" s="1">
        <f>D324*2/3*1.05</f>
        <v>751.14648000000022</v>
      </c>
      <c r="E325" s="1">
        <f>SUMIFS(მასალა!D1:D304,მასალა!B1:B304,ბიუჯეტი!B325)</f>
        <v>12.627118644067798</v>
      </c>
      <c r="F325" s="1">
        <f t="shared" si="49"/>
        <v>9484.8157220339017</v>
      </c>
      <c r="G325" s="1"/>
      <c r="H325" s="1">
        <f t="shared" si="66"/>
        <v>0</v>
      </c>
      <c r="I325" s="1"/>
      <c r="J325" s="1"/>
      <c r="K325" s="1">
        <f t="shared" si="57"/>
        <v>9484.8157220339017</v>
      </c>
    </row>
    <row r="326" spans="1:11" hidden="1" outlineLevel="1" x14ac:dyDescent="0.3">
      <c r="A326" s="51"/>
      <c r="B326" s="3" t="s">
        <v>96</v>
      </c>
      <c r="C326" s="4" t="s">
        <v>49</v>
      </c>
      <c r="D326" s="1">
        <f>D324*2/3*1.05</f>
        <v>751.14648000000022</v>
      </c>
      <c r="E326" s="1">
        <f>SUMIFS(მასალა!D2:D305,მასალა!B2:B305,ბიუჯეტი!B326)</f>
        <v>9.4067796610169498</v>
      </c>
      <c r="F326" s="1">
        <f t="shared" si="49"/>
        <v>7065.8694305084773</v>
      </c>
      <c r="G326" s="1"/>
      <c r="H326" s="1">
        <f t="shared" si="66"/>
        <v>0</v>
      </c>
      <c r="I326" s="1"/>
      <c r="J326" s="1"/>
      <c r="K326" s="1">
        <f t="shared" si="57"/>
        <v>7065.8694305084773</v>
      </c>
    </row>
    <row r="327" spans="1:11" hidden="1" outlineLevel="1" x14ac:dyDescent="0.3">
      <c r="A327" s="51"/>
      <c r="B327" s="3" t="s">
        <v>97</v>
      </c>
      <c r="C327" s="4" t="s">
        <v>49</v>
      </c>
      <c r="D327" s="1">
        <f>D324*1.4/3*1.05</f>
        <v>525.80253600000003</v>
      </c>
      <c r="E327" s="1">
        <f>SUMIFS(მასალა!D3:D306,მასალა!B3:B306,ბიუჯეტი!B327)</f>
        <v>6.9491525423728815</v>
      </c>
      <c r="F327" s="1">
        <f t="shared" si="49"/>
        <v>3653.8820298305086</v>
      </c>
      <c r="G327" s="1"/>
      <c r="H327" s="1">
        <f t="shared" si="66"/>
        <v>0</v>
      </c>
      <c r="I327" s="1"/>
      <c r="J327" s="1"/>
      <c r="K327" s="1">
        <f t="shared" si="57"/>
        <v>3653.8820298305086</v>
      </c>
    </row>
    <row r="328" spans="1:11" hidden="1" outlineLevel="1" x14ac:dyDescent="0.3">
      <c r="A328" s="51"/>
      <c r="B328" s="3" t="s">
        <v>98</v>
      </c>
      <c r="C328" s="4" t="s">
        <v>10</v>
      </c>
      <c r="D328" s="1">
        <f>D324*1.02</f>
        <v>1094.5277280000003</v>
      </c>
      <c r="E328" s="1">
        <f>SUMIFS(მასალა!D4:D307,მასალა!B4:B307,ბიუჯეტი!B328)</f>
        <v>2.4576271186440679</v>
      </c>
      <c r="F328" s="1">
        <f t="shared" si="49"/>
        <v>2689.9410264406788</v>
      </c>
      <c r="G328" s="1"/>
      <c r="H328" s="1">
        <f t="shared" si="66"/>
        <v>0</v>
      </c>
      <c r="I328" s="1"/>
      <c r="J328" s="1"/>
      <c r="K328" s="1">
        <f t="shared" si="57"/>
        <v>2689.9410264406788</v>
      </c>
    </row>
    <row r="329" spans="1:11" hidden="1" outlineLevel="1" x14ac:dyDescent="0.3">
      <c r="A329" s="51"/>
      <c r="B329" s="3" t="s">
        <v>99</v>
      </c>
      <c r="C329" s="4" t="s">
        <v>49</v>
      </c>
      <c r="D329" s="1">
        <f>D324*2.5</f>
        <v>2682.6660000000002</v>
      </c>
      <c r="E329" s="1">
        <f>SUMIFS(მასალა!D5:D308,მასალა!B5:B308,ბიუჯეტი!B329)</f>
        <v>0.81355932203389836</v>
      </c>
      <c r="F329" s="1">
        <f>E329*D329</f>
        <v>2182.5079322033903</v>
      </c>
      <c r="G329" s="1"/>
      <c r="H329" s="1">
        <f t="shared" si="66"/>
        <v>0</v>
      </c>
      <c r="I329" s="1"/>
      <c r="J329" s="1"/>
      <c r="K329" s="1">
        <f t="shared" si="57"/>
        <v>2182.5079322033903</v>
      </c>
    </row>
    <row r="330" spans="1:11" hidden="1" outlineLevel="1" x14ac:dyDescent="0.3">
      <c r="A330" s="51"/>
      <c r="B330" s="3" t="s">
        <v>100</v>
      </c>
      <c r="C330" s="4" t="s">
        <v>49</v>
      </c>
      <c r="D330" s="1">
        <f>D324*7.6</f>
        <v>8155.3046400000012</v>
      </c>
      <c r="E330" s="1">
        <f>SUMIFS(მასალა!D6:D309,მასალა!B6:B309,ბიუჯეტი!B330)</f>
        <v>2.9661016949152547E-2</v>
      </c>
      <c r="F330" s="1">
        <f>E330*D330</f>
        <v>241.89462915254245</v>
      </c>
      <c r="G330" s="1"/>
      <c r="H330" s="1">
        <f t="shared" si="66"/>
        <v>0</v>
      </c>
      <c r="I330" s="1"/>
      <c r="J330" s="1"/>
      <c r="K330" s="1">
        <f t="shared" si="57"/>
        <v>241.89462915254245</v>
      </c>
    </row>
    <row r="331" spans="1:11" hidden="1" outlineLevel="1" x14ac:dyDescent="0.3">
      <c r="A331" s="51"/>
      <c r="B331" s="3" t="s">
        <v>101</v>
      </c>
      <c r="C331" s="4" t="s">
        <v>49</v>
      </c>
      <c r="D331" s="1">
        <f>D324*14.4</f>
        <v>15452.156160000002</v>
      </c>
      <c r="E331" s="1">
        <f>SUMIFS(მასალა!D7:D310,მასალა!B7:B310,ბიუჯეტი!B331)</f>
        <v>3.8135593220338986E-2</v>
      </c>
      <c r="F331" s="1">
        <f>E331*D331</f>
        <v>589.27714169491537</v>
      </c>
      <c r="G331" s="1"/>
      <c r="H331" s="1">
        <f t="shared" si="66"/>
        <v>0</v>
      </c>
      <c r="I331" s="1"/>
      <c r="J331" s="1"/>
      <c r="K331" s="1">
        <f t="shared" si="57"/>
        <v>589.27714169491537</v>
      </c>
    </row>
    <row r="332" spans="1:11" hidden="1" outlineLevel="1" x14ac:dyDescent="0.3">
      <c r="A332" s="51"/>
      <c r="B332" s="3" t="s">
        <v>263</v>
      </c>
      <c r="C332" s="4" t="s">
        <v>49</v>
      </c>
      <c r="D332" s="1">
        <f>D329</f>
        <v>2682.6660000000002</v>
      </c>
      <c r="E332" s="1">
        <f>SUMIFS(მასალა!D8:D311,მასალა!B8:B311,ბიუჯეტი!B332)</f>
        <v>8.0508474576271194E-2</v>
      </c>
      <c r="F332" s="1">
        <f>E332*D332</f>
        <v>215.97734745762716</v>
      </c>
      <c r="G332" s="1"/>
      <c r="H332" s="1">
        <f t="shared" si="66"/>
        <v>0</v>
      </c>
      <c r="I332" s="1"/>
      <c r="J332" s="1"/>
      <c r="K332" s="1">
        <f t="shared" si="57"/>
        <v>215.97734745762716</v>
      </c>
    </row>
    <row r="333" spans="1:11" hidden="1" outlineLevel="1" x14ac:dyDescent="0.3">
      <c r="A333" s="51"/>
      <c r="B333" s="3" t="s">
        <v>321</v>
      </c>
      <c r="C333" s="4" t="s">
        <v>49</v>
      </c>
      <c r="D333" s="1">
        <f>D329*2</f>
        <v>5365.3320000000003</v>
      </c>
      <c r="E333" s="1">
        <f>SUMIFS(მასალა!D9:D312,მასალა!B9:B312,ბიუჯეტი!B333)</f>
        <v>3.2203389830508473E-2</v>
      </c>
      <c r="F333" s="1">
        <f>E333*D333</f>
        <v>172.78187796610169</v>
      </c>
      <c r="G333" s="1"/>
      <c r="H333" s="1">
        <f t="shared" ref="H333" si="67">D333*G333</f>
        <v>0</v>
      </c>
      <c r="I333" s="1"/>
      <c r="J333" s="1"/>
      <c r="K333" s="1">
        <f t="shared" si="57"/>
        <v>172.78187796610169</v>
      </c>
    </row>
    <row r="334" spans="1:11" hidden="1" outlineLevel="1" x14ac:dyDescent="0.3">
      <c r="A334" s="51"/>
      <c r="B334" s="3" t="s">
        <v>389</v>
      </c>
      <c r="C334" s="4" t="s">
        <v>10</v>
      </c>
      <c r="D334" s="1">
        <f>D324</f>
        <v>1073.0664000000002</v>
      </c>
      <c r="E334" s="1">
        <f>SUMIFS(მასალა!D10:D313,მასალა!B10:B313,ბიუჯეტი!B334)</f>
        <v>0.84745762711864414</v>
      </c>
      <c r="F334" s="1">
        <f>D334*E334</f>
        <v>909.37830508474599</v>
      </c>
      <c r="G334" s="1"/>
      <c r="H334" s="1">
        <f t="shared" si="66"/>
        <v>0</v>
      </c>
      <c r="I334" s="1"/>
      <c r="J334" s="1"/>
      <c r="K334" s="1">
        <f t="shared" si="57"/>
        <v>909.37830508474599</v>
      </c>
    </row>
    <row r="335" spans="1:11" hidden="1" outlineLevel="1" x14ac:dyDescent="0.3">
      <c r="A335" s="51">
        <v>1</v>
      </c>
      <c r="B335" s="23" t="s">
        <v>178</v>
      </c>
      <c r="C335" s="4" t="s">
        <v>10</v>
      </c>
      <c r="D335" s="1">
        <f>სამუშაო!D97+სამუშაო!D98+სამუშაო!D99</f>
        <v>3271.0392000000002</v>
      </c>
      <c r="E335" s="1"/>
      <c r="F335" s="1">
        <f t="shared" si="49"/>
        <v>0</v>
      </c>
      <c r="G335" s="1">
        <f>ხელფასი!D18</f>
        <v>15.299999999999999</v>
      </c>
      <c r="H335" s="1">
        <f t="shared" si="66"/>
        <v>50046.89976</v>
      </c>
      <c r="I335" s="1"/>
      <c r="J335" s="1"/>
      <c r="K335" s="1">
        <f t="shared" si="57"/>
        <v>50046.89976</v>
      </c>
    </row>
    <row r="336" spans="1:11" hidden="1" outlineLevel="1" x14ac:dyDescent="0.3">
      <c r="A336" s="51">
        <v>1</v>
      </c>
      <c r="B336" s="23" t="s">
        <v>178</v>
      </c>
      <c r="C336" s="4" t="s">
        <v>10</v>
      </c>
      <c r="D336" s="1">
        <f>D335-D92-D372*2.2</f>
        <v>3128.6792000000005</v>
      </c>
      <c r="E336" s="1"/>
      <c r="F336" s="1">
        <f t="shared" si="49"/>
        <v>0</v>
      </c>
      <c r="G336" s="1">
        <v>0</v>
      </c>
      <c r="H336" s="1">
        <f t="shared" si="66"/>
        <v>0</v>
      </c>
      <c r="I336" s="1"/>
      <c r="J336" s="1"/>
      <c r="K336" s="1">
        <f t="shared" si="57"/>
        <v>0</v>
      </c>
    </row>
    <row r="337" spans="1:11" hidden="1" outlineLevel="1" x14ac:dyDescent="0.3">
      <c r="A337" s="51"/>
      <c r="B337" s="3" t="s">
        <v>95</v>
      </c>
      <c r="C337" s="4" t="s">
        <v>49</v>
      </c>
      <c r="D337" s="1">
        <f>D336*2/3*1.05</f>
        <v>2190.0754400000001</v>
      </c>
      <c r="E337" s="1">
        <f>SUMIFS(მასალა!D1:D316,მასალა!B1:B316,ბიუჯეტი!B337)</f>
        <v>12.627118644067798</v>
      </c>
      <c r="F337" s="1">
        <f t="shared" si="49"/>
        <v>27654.342420338988</v>
      </c>
      <c r="G337" s="1"/>
      <c r="H337" s="1">
        <f t="shared" si="66"/>
        <v>0</v>
      </c>
      <c r="I337" s="1"/>
      <c r="J337" s="1"/>
      <c r="K337" s="1">
        <f t="shared" si="57"/>
        <v>27654.342420338988</v>
      </c>
    </row>
    <row r="338" spans="1:11" hidden="1" outlineLevel="1" x14ac:dyDescent="0.3">
      <c r="A338" s="51"/>
      <c r="B338" s="3" t="s">
        <v>96</v>
      </c>
      <c r="C338" s="4" t="s">
        <v>49</v>
      </c>
      <c r="D338" s="1">
        <f>D336*2/3*1.05</f>
        <v>2190.0754400000001</v>
      </c>
      <c r="E338" s="1">
        <f>SUMIFS(მასალა!D2:D317,მასალა!B2:B317,ბიუჯეტი!B338)</f>
        <v>9.4067796610169498</v>
      </c>
      <c r="F338" s="1">
        <f t="shared" si="49"/>
        <v>20601.557105084747</v>
      </c>
      <c r="G338" s="1"/>
      <c r="H338" s="1">
        <f t="shared" si="66"/>
        <v>0</v>
      </c>
      <c r="I338" s="1"/>
      <c r="J338" s="1"/>
      <c r="K338" s="1">
        <f t="shared" si="57"/>
        <v>20601.557105084747</v>
      </c>
    </row>
    <row r="339" spans="1:11" hidden="1" outlineLevel="1" x14ac:dyDescent="0.3">
      <c r="A339" s="51"/>
      <c r="B339" s="3" t="s">
        <v>97</v>
      </c>
      <c r="C339" s="4" t="s">
        <v>49</v>
      </c>
      <c r="D339" s="1">
        <f>D336*1.4/3*1.05</f>
        <v>1533.0528080000001</v>
      </c>
      <c r="E339" s="1">
        <f>SUMIFS(მასალა!D3:D318,მასალა!B3:B318,ბიუჯეტი!B339)</f>
        <v>6.9491525423728815</v>
      </c>
      <c r="F339" s="1">
        <f t="shared" si="49"/>
        <v>10653.417818305086</v>
      </c>
      <c r="G339" s="1"/>
      <c r="H339" s="1">
        <f t="shared" si="66"/>
        <v>0</v>
      </c>
      <c r="I339" s="1"/>
      <c r="J339" s="1"/>
      <c r="K339" s="1">
        <f t="shared" si="57"/>
        <v>10653.417818305086</v>
      </c>
    </row>
    <row r="340" spans="1:11" hidden="1" outlineLevel="1" x14ac:dyDescent="0.3">
      <c r="A340" s="51"/>
      <c r="B340" s="3" t="s">
        <v>98</v>
      </c>
      <c r="C340" s="4" t="s">
        <v>10</v>
      </c>
      <c r="D340" s="1">
        <f>D336*1.02</f>
        <v>3191.2527840000007</v>
      </c>
      <c r="E340" s="1">
        <f>SUMIFS(მასალა!D4:D319,მასალა!B4:B319,ბიუჯეტი!B340)</f>
        <v>2.4576271186440679</v>
      </c>
      <c r="F340" s="1">
        <f t="shared" si="49"/>
        <v>7842.909384406782</v>
      </c>
      <c r="G340" s="1"/>
      <c r="H340" s="1">
        <f t="shared" si="66"/>
        <v>0</v>
      </c>
      <c r="I340" s="1"/>
      <c r="J340" s="1"/>
      <c r="K340" s="1">
        <f t="shared" si="57"/>
        <v>7842.909384406782</v>
      </c>
    </row>
    <row r="341" spans="1:11" hidden="1" outlineLevel="1" x14ac:dyDescent="0.3">
      <c r="A341" s="51"/>
      <c r="B341" s="3" t="s">
        <v>99</v>
      </c>
      <c r="C341" s="4" t="s">
        <v>49</v>
      </c>
      <c r="D341" s="1">
        <f>D336*2.5</f>
        <v>7821.6980000000012</v>
      </c>
      <c r="E341" s="1">
        <f>SUMIFS(მასალა!D5:D320,მასალა!B5:B320,ბიუჯეტი!B341)</f>
        <v>0.81355932203389836</v>
      </c>
      <c r="F341" s="1">
        <f>E341*D341</f>
        <v>6363.4153220338994</v>
      </c>
      <c r="G341" s="1"/>
      <c r="H341" s="1">
        <f t="shared" si="66"/>
        <v>0</v>
      </c>
      <c r="I341" s="1"/>
      <c r="J341" s="1"/>
      <c r="K341" s="1">
        <f t="shared" si="57"/>
        <v>6363.4153220338994</v>
      </c>
    </row>
    <row r="342" spans="1:11" hidden="1" outlineLevel="1" x14ac:dyDescent="0.3">
      <c r="A342" s="51"/>
      <c r="B342" s="3" t="s">
        <v>100</v>
      </c>
      <c r="C342" s="4" t="s">
        <v>49</v>
      </c>
      <c r="D342" s="1">
        <f>D336*7.6</f>
        <v>23777.961920000002</v>
      </c>
      <c r="E342" s="1">
        <f>SUMIFS(მასალა!D6:D321,მასალა!B6:B321,ბიუჯეტი!B342)</f>
        <v>2.9661016949152547E-2</v>
      </c>
      <c r="F342" s="1">
        <f>E342*D342</f>
        <v>705.27853152542389</v>
      </c>
      <c r="G342" s="1"/>
      <c r="H342" s="1">
        <f t="shared" si="66"/>
        <v>0</v>
      </c>
      <c r="I342" s="1"/>
      <c r="J342" s="1"/>
      <c r="K342" s="1">
        <f t="shared" si="57"/>
        <v>705.27853152542389</v>
      </c>
    </row>
    <row r="343" spans="1:11" hidden="1" outlineLevel="1" x14ac:dyDescent="0.3">
      <c r="A343" s="51"/>
      <c r="B343" s="3" t="s">
        <v>101</v>
      </c>
      <c r="C343" s="4" t="s">
        <v>49</v>
      </c>
      <c r="D343" s="1">
        <f>D336*14.4</f>
        <v>45052.980480000006</v>
      </c>
      <c r="E343" s="1">
        <f>SUMIFS(მასალა!D7:D322,მასალა!B7:B322,ბიუჯეტი!B343)</f>
        <v>3.8135593220338986E-2</v>
      </c>
      <c r="F343" s="1">
        <f>E343*D343</f>
        <v>1718.1221369491529</v>
      </c>
      <c r="G343" s="1"/>
      <c r="H343" s="1">
        <f t="shared" si="66"/>
        <v>0</v>
      </c>
      <c r="I343" s="1"/>
      <c r="J343" s="1"/>
      <c r="K343" s="1">
        <f t="shared" si="57"/>
        <v>1718.1221369491529</v>
      </c>
    </row>
    <row r="344" spans="1:11" hidden="1" outlineLevel="1" x14ac:dyDescent="0.3">
      <c r="A344" s="51"/>
      <c r="B344" s="3" t="s">
        <v>263</v>
      </c>
      <c r="C344" s="4" t="s">
        <v>49</v>
      </c>
      <c r="D344" s="1">
        <f>D341</f>
        <v>7821.6980000000012</v>
      </c>
      <c r="E344" s="1">
        <f>SUMIFS(მასალა!D8:D323,მასალა!B8:B323,ბიუჯეტი!B344)</f>
        <v>8.0508474576271194E-2</v>
      </c>
      <c r="F344" s="1">
        <f>E344*D344</f>
        <v>629.71297457627134</v>
      </c>
      <c r="G344" s="1"/>
      <c r="H344" s="1">
        <f t="shared" si="66"/>
        <v>0</v>
      </c>
      <c r="I344" s="1"/>
      <c r="J344" s="1"/>
      <c r="K344" s="1">
        <f t="shared" si="57"/>
        <v>629.71297457627134</v>
      </c>
    </row>
    <row r="345" spans="1:11" hidden="1" outlineLevel="1" x14ac:dyDescent="0.3">
      <c r="A345" s="51"/>
      <c r="B345" s="3" t="s">
        <v>321</v>
      </c>
      <c r="C345" s="4" t="s">
        <v>49</v>
      </c>
      <c r="D345" s="1">
        <f>D341*2</f>
        <v>15643.396000000002</v>
      </c>
      <c r="E345" s="1">
        <f>SUMIFS(მასალა!D9:D324,მასალა!B9:B324,ბიუჯეტი!B345)</f>
        <v>3.2203389830508473E-2</v>
      </c>
      <c r="F345" s="1">
        <f>E345*D345</f>
        <v>503.77037966101699</v>
      </c>
      <c r="G345" s="1"/>
      <c r="H345" s="1">
        <f t="shared" ref="H345" si="68">D345*G345</f>
        <v>0</v>
      </c>
      <c r="I345" s="1"/>
      <c r="J345" s="1"/>
      <c r="K345" s="1">
        <f t="shared" si="57"/>
        <v>503.77037966101699</v>
      </c>
    </row>
    <row r="346" spans="1:11" hidden="1" outlineLevel="1" x14ac:dyDescent="0.3">
      <c r="A346" s="51"/>
      <c r="B346" s="3" t="s">
        <v>389</v>
      </c>
      <c r="C346" s="4" t="s">
        <v>10</v>
      </c>
      <c r="D346" s="1">
        <f>D336</f>
        <v>3128.6792000000005</v>
      </c>
      <c r="E346" s="1">
        <f>SUMIFS(მასალა!D10:D325,მასალა!B10:B325,ბიუჯეტი!B346)</f>
        <v>0.84745762711864414</v>
      </c>
      <c r="F346" s="1">
        <f>D346*E346</f>
        <v>2651.4230508474584</v>
      </c>
      <c r="G346" s="1"/>
      <c r="H346" s="1">
        <f t="shared" si="66"/>
        <v>0</v>
      </c>
      <c r="I346" s="1"/>
      <c r="J346" s="1"/>
      <c r="K346" s="1">
        <f t="shared" ref="K346:K409" si="69">F346+H346+J346</f>
        <v>2651.4230508474584</v>
      </c>
    </row>
    <row r="347" spans="1:11" collapsed="1" x14ac:dyDescent="0.3">
      <c r="A347" s="51">
        <v>24</v>
      </c>
      <c r="B347" s="23" t="s">
        <v>102</v>
      </c>
      <c r="C347" s="4" t="s">
        <v>10</v>
      </c>
      <c r="D347" s="1">
        <f>SUM(D359,D348,)</f>
        <v>1342.143</v>
      </c>
      <c r="E347" s="1">
        <f>SUM(K361:K369,K350:K358,)/D347</f>
        <v>28.626637711864419</v>
      </c>
      <c r="F347" s="1">
        <f>D347*E347</f>
        <v>38421.041418514847</v>
      </c>
      <c r="G347" s="1">
        <f>SUM(H348:H369)/D347</f>
        <v>20.399999999999999</v>
      </c>
      <c r="H347" s="1">
        <f>G347*D347</f>
        <v>27379.717199999999</v>
      </c>
      <c r="I347" s="1">
        <v>0</v>
      </c>
      <c r="J347" s="1">
        <v>0</v>
      </c>
      <c r="K347" s="1">
        <f t="shared" si="69"/>
        <v>65800.758618514839</v>
      </c>
    </row>
    <row r="348" spans="1:11" hidden="1" outlineLevel="1" x14ac:dyDescent="0.3">
      <c r="A348" s="51">
        <v>0</v>
      </c>
      <c r="B348" s="23" t="s">
        <v>94</v>
      </c>
      <c r="C348" s="4" t="s">
        <v>10</v>
      </c>
      <c r="D348" s="1">
        <f>სამუშაო!E96</f>
        <v>322.83900000000006</v>
      </c>
      <c r="E348" s="1"/>
      <c r="F348" s="1">
        <f t="shared" ref="F348:F353" si="70">D348*E348</f>
        <v>0</v>
      </c>
      <c r="G348" s="1">
        <f>ხელფასი!D19</f>
        <v>20.399999999999999</v>
      </c>
      <c r="H348" s="1">
        <f t="shared" ref="H348:H369" si="71">D348*G348</f>
        <v>6585.9156000000003</v>
      </c>
      <c r="I348" s="1"/>
      <c r="J348" s="1"/>
      <c r="K348" s="1">
        <f t="shared" si="69"/>
        <v>6585.9156000000003</v>
      </c>
    </row>
    <row r="349" spans="1:11" hidden="1" outlineLevel="1" x14ac:dyDescent="0.3">
      <c r="A349" s="51">
        <v>0</v>
      </c>
      <c r="B349" s="23" t="s">
        <v>94</v>
      </c>
      <c r="C349" s="4" t="s">
        <v>10</v>
      </c>
      <c r="D349" s="1">
        <f>D348*1.1</f>
        <v>355.12290000000007</v>
      </c>
      <c r="E349" s="1"/>
      <c r="F349" s="1">
        <f t="shared" si="70"/>
        <v>0</v>
      </c>
      <c r="G349" s="1">
        <v>0</v>
      </c>
      <c r="H349" s="1">
        <f t="shared" si="71"/>
        <v>0</v>
      </c>
      <c r="I349" s="1"/>
      <c r="J349" s="1"/>
      <c r="K349" s="1">
        <f t="shared" si="69"/>
        <v>0</v>
      </c>
    </row>
    <row r="350" spans="1:11" hidden="1" outlineLevel="1" x14ac:dyDescent="0.3">
      <c r="A350" s="51"/>
      <c r="B350" s="3" t="s">
        <v>95</v>
      </c>
      <c r="C350" s="4" t="s">
        <v>49</v>
      </c>
      <c r="D350" s="1">
        <f>D349/4*3*1.05</f>
        <v>279.65928375000004</v>
      </c>
      <c r="E350" s="1">
        <f>SUMIFS(მასალა!D1:D329,მასალა!B1:B329,ბიუჯეტი!B350)</f>
        <v>12.627118644067798</v>
      </c>
      <c r="F350" s="1">
        <f t="shared" si="70"/>
        <v>3531.2909558262718</v>
      </c>
      <c r="G350" s="1"/>
      <c r="H350" s="1">
        <f t="shared" si="71"/>
        <v>0</v>
      </c>
      <c r="I350" s="1"/>
      <c r="J350" s="1"/>
      <c r="K350" s="1">
        <f t="shared" si="69"/>
        <v>3531.2909558262718</v>
      </c>
    </row>
    <row r="351" spans="1:11" hidden="1" outlineLevel="1" x14ac:dyDescent="0.3">
      <c r="A351" s="51"/>
      <c r="B351" s="3" t="s">
        <v>103</v>
      </c>
      <c r="C351" s="4" t="s">
        <v>49</v>
      </c>
      <c r="D351" s="1">
        <f>D349*0.7/3*1.05</f>
        <v>87.005110500000015</v>
      </c>
      <c r="E351" s="1">
        <f>SUMIFS(მასალა!D2:D330,მასალა!B2:B330,ბიუჯეტი!B351)</f>
        <v>12.288135593220339</v>
      </c>
      <c r="F351" s="1">
        <f t="shared" si="70"/>
        <v>1069.1305951271188</v>
      </c>
      <c r="G351" s="1"/>
      <c r="H351" s="1">
        <f t="shared" si="71"/>
        <v>0</v>
      </c>
      <c r="I351" s="1"/>
      <c r="J351" s="1"/>
      <c r="K351" s="1">
        <f t="shared" si="69"/>
        <v>1069.1305951271188</v>
      </c>
    </row>
    <row r="352" spans="1:11" hidden="1" outlineLevel="1" x14ac:dyDescent="0.3">
      <c r="A352" s="51"/>
      <c r="B352" s="3" t="s">
        <v>104</v>
      </c>
      <c r="C352" s="4" t="s">
        <v>49</v>
      </c>
      <c r="D352" s="1">
        <f>D349*2/3*1.05</f>
        <v>248.58603000000005</v>
      </c>
      <c r="E352" s="1">
        <f>SUMIFS(მასალა!D3:D331,მასალა!B3:B331,ბიუჯეტი!B352)</f>
        <v>14.237288135593221</v>
      </c>
      <c r="F352" s="1">
        <f t="shared" si="70"/>
        <v>3539.1909355932212</v>
      </c>
      <c r="G352" s="1"/>
      <c r="H352" s="1">
        <f t="shared" si="71"/>
        <v>0</v>
      </c>
      <c r="I352" s="1"/>
      <c r="J352" s="1"/>
      <c r="K352" s="1">
        <f t="shared" si="69"/>
        <v>3539.1909355932212</v>
      </c>
    </row>
    <row r="353" spans="1:11" hidden="1" outlineLevel="1" x14ac:dyDescent="0.3">
      <c r="A353" s="51"/>
      <c r="B353" s="3" t="s">
        <v>98</v>
      </c>
      <c r="C353" s="4" t="s">
        <v>10</v>
      </c>
      <c r="D353" s="1">
        <f>D349/2*1.02</f>
        <v>181.11267900000004</v>
      </c>
      <c r="E353" s="1">
        <f>SUMIFS(მასალა!D4:D332,მასალა!B4:B332,ბიუჯეტი!B353)</f>
        <v>2.4576271186440679</v>
      </c>
      <c r="F353" s="1">
        <f t="shared" si="70"/>
        <v>445.10743144067811</v>
      </c>
      <c r="G353" s="1"/>
      <c r="H353" s="1">
        <f t="shared" si="71"/>
        <v>0</v>
      </c>
      <c r="I353" s="1"/>
      <c r="J353" s="1"/>
      <c r="K353" s="1">
        <f t="shared" si="69"/>
        <v>445.10743144067811</v>
      </c>
    </row>
    <row r="354" spans="1:11" hidden="1" outlineLevel="1" x14ac:dyDescent="0.3">
      <c r="A354" s="51"/>
      <c r="B354" s="3" t="s">
        <v>100</v>
      </c>
      <c r="C354" s="4" t="s">
        <v>49</v>
      </c>
      <c r="D354" s="1">
        <f>D349*7.6</f>
        <v>2698.9340400000006</v>
      </c>
      <c r="E354" s="1">
        <f>SUMIFS(მასალა!D5:D333,მასალა!B5:B333,ბიუჯეტი!B354)</f>
        <v>2.9661016949152547E-2</v>
      </c>
      <c r="F354" s="1">
        <f>E354*D354</f>
        <v>80.053128305084769</v>
      </c>
      <c r="G354" s="1"/>
      <c r="H354" s="1">
        <f t="shared" si="71"/>
        <v>0</v>
      </c>
      <c r="I354" s="1"/>
      <c r="J354" s="1"/>
      <c r="K354" s="1">
        <f t="shared" si="69"/>
        <v>80.053128305084769</v>
      </c>
    </row>
    <row r="355" spans="1:11" hidden="1" outlineLevel="1" x14ac:dyDescent="0.3">
      <c r="A355" s="51"/>
      <c r="B355" s="3" t="s">
        <v>101</v>
      </c>
      <c r="C355" s="4" t="s">
        <v>49</v>
      </c>
      <c r="D355" s="1">
        <f>D349*14.4</f>
        <v>5113.769760000001</v>
      </c>
      <c r="E355" s="1">
        <f>SUMIFS(მასალა!D6:D334,მასალა!B6:B334,ბიუჯეტი!B355)</f>
        <v>3.8135593220338986E-2</v>
      </c>
      <c r="F355" s="1">
        <f>E355*D355</f>
        <v>195.01664338983056</v>
      </c>
      <c r="G355" s="1"/>
      <c r="H355" s="1">
        <f t="shared" si="71"/>
        <v>0</v>
      </c>
      <c r="I355" s="1"/>
      <c r="J355" s="1"/>
      <c r="K355" s="1">
        <f t="shared" si="69"/>
        <v>195.01664338983056</v>
      </c>
    </row>
    <row r="356" spans="1:11" hidden="1" outlineLevel="1" x14ac:dyDescent="0.3">
      <c r="A356" s="51"/>
      <c r="B356" s="3" t="s">
        <v>263</v>
      </c>
      <c r="C356" s="4" t="s">
        <v>49</v>
      </c>
      <c r="D356" s="1">
        <f>D351*7</f>
        <v>609.03577350000012</v>
      </c>
      <c r="E356" s="1">
        <f>SUMIFS(მასალა!D7:D335,მასალა!B7:B335,ბიუჯეტი!B356)</f>
        <v>8.0508474576271194E-2</v>
      </c>
      <c r="F356" s="1">
        <f>E356*D356</f>
        <v>49.03254108686442</v>
      </c>
      <c r="G356" s="1"/>
      <c r="H356" s="1">
        <f t="shared" si="71"/>
        <v>0</v>
      </c>
      <c r="I356" s="1"/>
      <c r="J356" s="1"/>
      <c r="K356" s="1">
        <f t="shared" si="69"/>
        <v>49.03254108686442</v>
      </c>
    </row>
    <row r="357" spans="1:11" hidden="1" outlineLevel="1" x14ac:dyDescent="0.3">
      <c r="A357" s="51"/>
      <c r="B357" s="3" t="s">
        <v>321</v>
      </c>
      <c r="C357" s="4" t="s">
        <v>49</v>
      </c>
      <c r="D357" s="1">
        <f>D352*4</f>
        <v>994.3441200000002</v>
      </c>
      <c r="E357" s="1">
        <f>SUMIFS(მასალა!D8:D336,მასალა!B8:B336,ბიუჯეტი!B357)</f>
        <v>3.2203389830508473E-2</v>
      </c>
      <c r="F357" s="1">
        <f>E357*D357</f>
        <v>32.021251322033905</v>
      </c>
      <c r="G357" s="1"/>
      <c r="H357" s="1">
        <f t="shared" ref="H357" si="72">D357*G357</f>
        <v>0</v>
      </c>
      <c r="I357" s="1"/>
      <c r="J357" s="1"/>
      <c r="K357" s="1">
        <f t="shared" si="69"/>
        <v>32.021251322033905</v>
      </c>
    </row>
    <row r="358" spans="1:11" hidden="1" outlineLevel="1" x14ac:dyDescent="0.3">
      <c r="A358" s="51"/>
      <c r="B358" s="3" t="s">
        <v>389</v>
      </c>
      <c r="C358" s="4" t="s">
        <v>10</v>
      </c>
      <c r="D358" s="1">
        <f>D349</f>
        <v>355.12290000000007</v>
      </c>
      <c r="E358" s="1">
        <f>SUMIFS(მასალა!D9:D337,მასალა!B9:B337,ბიუჯეტი!B358)</f>
        <v>0.84745762711864414</v>
      </c>
      <c r="F358" s="1">
        <f t="shared" ref="F358:F364" si="73">D358*E358</f>
        <v>300.95161016949163</v>
      </c>
      <c r="G358" s="1"/>
      <c r="H358" s="1">
        <f t="shared" si="71"/>
        <v>0</v>
      </c>
      <c r="I358" s="1"/>
      <c r="J358" s="1"/>
      <c r="K358" s="1">
        <f t="shared" si="69"/>
        <v>300.95161016949163</v>
      </c>
    </row>
    <row r="359" spans="1:11" hidden="1" outlineLevel="1" x14ac:dyDescent="0.3">
      <c r="A359" s="51">
        <v>1</v>
      </c>
      <c r="B359" s="23" t="s">
        <v>178</v>
      </c>
      <c r="C359" s="4" t="s">
        <v>10</v>
      </c>
      <c r="D359" s="1">
        <f>სამუშაო!E97+სამუშაო!E98+სამუშაო!E99</f>
        <v>1019.3040000000001</v>
      </c>
      <c r="E359" s="1"/>
      <c r="F359" s="1">
        <f t="shared" si="73"/>
        <v>0</v>
      </c>
      <c r="G359" s="1">
        <f>ხელფასი!D19</f>
        <v>20.399999999999999</v>
      </c>
      <c r="H359" s="1">
        <f t="shared" si="71"/>
        <v>20793.801599999999</v>
      </c>
      <c r="I359" s="1"/>
      <c r="J359" s="1"/>
      <c r="K359" s="1">
        <f t="shared" si="69"/>
        <v>20793.801599999999</v>
      </c>
    </row>
    <row r="360" spans="1:11" hidden="1" outlineLevel="1" x14ac:dyDescent="0.3">
      <c r="A360" s="51">
        <v>1</v>
      </c>
      <c r="B360" s="23" t="s">
        <v>178</v>
      </c>
      <c r="C360" s="4" t="s">
        <v>10</v>
      </c>
      <c r="D360" s="1">
        <f>D359*1.1</f>
        <v>1121.2344000000003</v>
      </c>
      <c r="E360" s="1"/>
      <c r="F360" s="1">
        <f t="shared" si="73"/>
        <v>0</v>
      </c>
      <c r="G360" s="1">
        <v>0</v>
      </c>
      <c r="H360" s="1">
        <f t="shared" si="71"/>
        <v>0</v>
      </c>
      <c r="I360" s="1"/>
      <c r="J360" s="1"/>
      <c r="K360" s="1">
        <f t="shared" si="69"/>
        <v>0</v>
      </c>
    </row>
    <row r="361" spans="1:11" hidden="1" outlineLevel="1" x14ac:dyDescent="0.3">
      <c r="A361" s="51"/>
      <c r="B361" s="3" t="s">
        <v>95</v>
      </c>
      <c r="C361" s="4" t="s">
        <v>49</v>
      </c>
      <c r="D361" s="1">
        <f>D360/4*3*1.05</f>
        <v>882.97209000000021</v>
      </c>
      <c r="E361" s="1">
        <f>SUMIFS(მასალა!D1:D340,მასალა!B1:B340,ბიუჯეტი!B361)</f>
        <v>12.627118644067798</v>
      </c>
      <c r="F361" s="1">
        <f t="shared" si="73"/>
        <v>11149.393339830513</v>
      </c>
      <c r="G361" s="1"/>
      <c r="H361" s="1">
        <f t="shared" si="71"/>
        <v>0</v>
      </c>
      <c r="I361" s="1"/>
      <c r="J361" s="1"/>
      <c r="K361" s="1">
        <f t="shared" si="69"/>
        <v>11149.393339830513</v>
      </c>
    </row>
    <row r="362" spans="1:11" hidden="1" outlineLevel="1" x14ac:dyDescent="0.3">
      <c r="A362" s="51"/>
      <c r="B362" s="3" t="s">
        <v>103</v>
      </c>
      <c r="C362" s="4" t="s">
        <v>49</v>
      </c>
      <c r="D362" s="1">
        <f>D360*0.7/3*1.05</f>
        <v>274.70242800000005</v>
      </c>
      <c r="E362" s="1">
        <f>SUMIFS(მასალა!D2:D341,მასალა!B2:B341,ბიუჯეტი!B362)</f>
        <v>12.288135593220339</v>
      </c>
      <c r="F362" s="1">
        <f t="shared" si="73"/>
        <v>3375.5806830508482</v>
      </c>
      <c r="G362" s="1"/>
      <c r="H362" s="1">
        <f t="shared" si="71"/>
        <v>0</v>
      </c>
      <c r="I362" s="1"/>
      <c r="J362" s="1"/>
      <c r="K362" s="1">
        <f t="shared" si="69"/>
        <v>3375.5806830508482</v>
      </c>
    </row>
    <row r="363" spans="1:11" hidden="1" outlineLevel="1" x14ac:dyDescent="0.3">
      <c r="A363" s="51"/>
      <c r="B363" s="3" t="s">
        <v>104</v>
      </c>
      <c r="C363" s="4" t="s">
        <v>49</v>
      </c>
      <c r="D363" s="1">
        <f>D360*2/3*1.05</f>
        <v>784.86408000000029</v>
      </c>
      <c r="E363" s="1">
        <f>SUMIFS(მასალა!D3:D342,მასალა!B3:B342,ბიუჯეტი!B363)</f>
        <v>14.237288135593221</v>
      </c>
      <c r="F363" s="1">
        <f t="shared" si="73"/>
        <v>11174.336054237294</v>
      </c>
      <c r="G363" s="1"/>
      <c r="H363" s="1">
        <f t="shared" si="71"/>
        <v>0</v>
      </c>
      <c r="I363" s="1"/>
      <c r="J363" s="1"/>
      <c r="K363" s="1">
        <f t="shared" si="69"/>
        <v>11174.336054237294</v>
      </c>
    </row>
    <row r="364" spans="1:11" hidden="1" outlineLevel="1" x14ac:dyDescent="0.3">
      <c r="A364" s="51"/>
      <c r="B364" s="3" t="s">
        <v>98</v>
      </c>
      <c r="C364" s="4" t="s">
        <v>10</v>
      </c>
      <c r="D364" s="1">
        <f>D360/2*1.02</f>
        <v>571.82954400000017</v>
      </c>
      <c r="E364" s="1">
        <f>SUMIFS(მასალა!D4:D343,მასალა!B4:B343,ბიუჯეტი!B364)</f>
        <v>2.4576271186440679</v>
      </c>
      <c r="F364" s="1">
        <f t="shared" si="73"/>
        <v>1405.3437945762716</v>
      </c>
      <c r="G364" s="1"/>
      <c r="H364" s="1">
        <f t="shared" si="71"/>
        <v>0</v>
      </c>
      <c r="I364" s="1"/>
      <c r="J364" s="1"/>
      <c r="K364" s="1">
        <f t="shared" si="69"/>
        <v>1405.3437945762716</v>
      </c>
    </row>
    <row r="365" spans="1:11" hidden="1" outlineLevel="1" x14ac:dyDescent="0.3">
      <c r="A365" s="51"/>
      <c r="B365" s="3" t="s">
        <v>100</v>
      </c>
      <c r="C365" s="4" t="s">
        <v>49</v>
      </c>
      <c r="D365" s="1">
        <f>D360*7.6</f>
        <v>8521.381440000001</v>
      </c>
      <c r="E365" s="1">
        <f>SUMIFS(მასალა!D5:D344,მასალა!B5:B344,ბიუჯეტი!B365)</f>
        <v>2.9661016949152547E-2</v>
      </c>
      <c r="F365" s="1">
        <f>E365*D365</f>
        <v>252.75283932203396</v>
      </c>
      <c r="G365" s="1"/>
      <c r="H365" s="1">
        <f t="shared" si="71"/>
        <v>0</v>
      </c>
      <c r="I365" s="1"/>
      <c r="J365" s="1"/>
      <c r="K365" s="1">
        <f t="shared" si="69"/>
        <v>252.75283932203396</v>
      </c>
    </row>
    <row r="366" spans="1:11" hidden="1" outlineLevel="1" x14ac:dyDescent="0.3">
      <c r="A366" s="51"/>
      <c r="B366" s="3" t="s">
        <v>101</v>
      </c>
      <c r="C366" s="4" t="s">
        <v>49</v>
      </c>
      <c r="D366" s="1">
        <f>D360*14.4</f>
        <v>16145.775360000005</v>
      </c>
      <c r="E366" s="1">
        <f>SUMIFS(მასალა!D6:D345,მასალა!B6:B345,ბიუჯეტი!B366)</f>
        <v>3.8135593220338986E-2</v>
      </c>
      <c r="F366" s="1">
        <f>E366*D366</f>
        <v>615.72872135593241</v>
      </c>
      <c r="G366" s="1"/>
      <c r="H366" s="1">
        <f t="shared" si="71"/>
        <v>0</v>
      </c>
      <c r="I366" s="1"/>
      <c r="J366" s="1"/>
      <c r="K366" s="1">
        <f t="shared" si="69"/>
        <v>615.72872135593241</v>
      </c>
    </row>
    <row r="367" spans="1:11" hidden="1" outlineLevel="1" x14ac:dyDescent="0.3">
      <c r="A367" s="51"/>
      <c r="B367" s="3" t="s">
        <v>263</v>
      </c>
      <c r="C367" s="4" t="s">
        <v>49</v>
      </c>
      <c r="D367" s="1">
        <f>D362*7</f>
        <v>1922.9169960000004</v>
      </c>
      <c r="E367" s="1">
        <f>SUMIFS(მასალა!D7:D346,მასალა!B7:B346,ბიუჯეტი!B367)</f>
        <v>8.0508474576271194E-2</v>
      </c>
      <c r="F367" s="1">
        <f>E367*D367</f>
        <v>154.81111408474581</v>
      </c>
      <c r="G367" s="1"/>
      <c r="H367" s="1">
        <f t="shared" si="71"/>
        <v>0</v>
      </c>
      <c r="I367" s="1"/>
      <c r="J367" s="1"/>
      <c r="K367" s="1">
        <f t="shared" si="69"/>
        <v>154.81111408474581</v>
      </c>
    </row>
    <row r="368" spans="1:11" hidden="1" outlineLevel="1" x14ac:dyDescent="0.3">
      <c r="A368" s="51"/>
      <c r="B368" s="3" t="s">
        <v>321</v>
      </c>
      <c r="C368" s="4" t="s">
        <v>49</v>
      </c>
      <c r="D368" s="1">
        <f>D363*4</f>
        <v>3139.4563200000011</v>
      </c>
      <c r="E368" s="1">
        <f>SUMIFS(მასალა!D8:D347,მასალა!B8:B347,ბიუჯეტი!B368)</f>
        <v>3.2203389830508473E-2</v>
      </c>
      <c r="F368" s="1">
        <f>E368*D368</f>
        <v>101.10113572881359</v>
      </c>
      <c r="G368" s="1"/>
      <c r="H368" s="1">
        <f t="shared" ref="H368" si="74">D368*G368</f>
        <v>0</v>
      </c>
      <c r="I368" s="1"/>
      <c r="J368" s="1"/>
      <c r="K368" s="1">
        <f t="shared" si="69"/>
        <v>101.10113572881359</v>
      </c>
    </row>
    <row r="369" spans="1:11" hidden="1" outlineLevel="1" x14ac:dyDescent="0.3">
      <c r="A369" s="51"/>
      <c r="B369" s="3" t="s">
        <v>389</v>
      </c>
      <c r="C369" s="4" t="s">
        <v>10</v>
      </c>
      <c r="D369" s="1">
        <f>D360</f>
        <v>1121.2344000000003</v>
      </c>
      <c r="E369" s="1">
        <f>SUMIFS(მასალა!D9:D348,მასალა!B9:B348,ბიუჯეტი!B369)</f>
        <v>0.84745762711864414</v>
      </c>
      <c r="F369" s="1">
        <f>D369*E369</f>
        <v>950.19864406779698</v>
      </c>
      <c r="G369" s="1"/>
      <c r="H369" s="1">
        <f t="shared" si="71"/>
        <v>0</v>
      </c>
      <c r="I369" s="1"/>
      <c r="J369" s="1"/>
      <c r="K369" s="1">
        <f t="shared" si="69"/>
        <v>950.19864406779698</v>
      </c>
    </row>
    <row r="370" spans="1:11" collapsed="1" x14ac:dyDescent="0.3">
      <c r="A370" s="51">
        <v>25</v>
      </c>
      <c r="B370" s="23" t="s">
        <v>105</v>
      </c>
      <c r="C370" s="4" t="s">
        <v>55</v>
      </c>
      <c r="D370" s="1">
        <f>SUM(D371:D373)</f>
        <v>74</v>
      </c>
      <c r="E370" s="1">
        <v>0</v>
      </c>
      <c r="F370" s="1">
        <f t="shared" ref="F370:F394" si="75">D370*E370</f>
        <v>0</v>
      </c>
      <c r="G370" s="1">
        <v>0</v>
      </c>
      <c r="H370" s="1">
        <v>0</v>
      </c>
      <c r="I370" s="1">
        <f>SUM(K371:K373)/D370</f>
        <v>964.26935409986265</v>
      </c>
      <c r="J370" s="1">
        <f>D370*I370</f>
        <v>71355.932203389835</v>
      </c>
      <c r="K370" s="1">
        <f t="shared" si="69"/>
        <v>71355.932203389835</v>
      </c>
    </row>
    <row r="371" spans="1:11" hidden="1" outlineLevel="1" x14ac:dyDescent="0.3">
      <c r="A371" s="51">
        <v>2</v>
      </c>
      <c r="B371" s="23" t="s">
        <v>180</v>
      </c>
      <c r="C371" s="4" t="s">
        <v>55</v>
      </c>
      <c r="D371" s="1">
        <f>სამუშაო!D55</f>
        <v>30</v>
      </c>
      <c r="E371" s="1"/>
      <c r="F371" s="1">
        <f t="shared" si="75"/>
        <v>0</v>
      </c>
      <c r="G371" s="1"/>
      <c r="H371" s="1">
        <f t="shared" ref="H371:H376" si="76">D371*G371</f>
        <v>0</v>
      </c>
      <c r="I371" s="1">
        <f>მომსახურება!D9</f>
        <v>762.71186440677968</v>
      </c>
      <c r="J371" s="1">
        <f t="shared" ref="J371:J394" si="77">D371*I371</f>
        <v>22881.355932203391</v>
      </c>
      <c r="K371" s="1">
        <f t="shared" si="69"/>
        <v>22881.355932203391</v>
      </c>
    </row>
    <row r="372" spans="1:11" hidden="1" outlineLevel="1" x14ac:dyDescent="0.3">
      <c r="A372" s="51">
        <v>3</v>
      </c>
      <c r="B372" s="23" t="s">
        <v>106</v>
      </c>
      <c r="C372" s="4" t="s">
        <v>55</v>
      </c>
      <c r="D372" s="1">
        <f>სამუშაო!D56</f>
        <v>11</v>
      </c>
      <c r="E372" s="1"/>
      <c r="F372" s="1">
        <f t="shared" si="75"/>
        <v>0</v>
      </c>
      <c r="G372" s="1"/>
      <c r="H372" s="1">
        <f t="shared" si="76"/>
        <v>0</v>
      </c>
      <c r="I372" s="1">
        <f>მომსახურება!D8</f>
        <v>1101.6949152542375</v>
      </c>
      <c r="J372" s="1">
        <f t="shared" si="77"/>
        <v>12118.644067796613</v>
      </c>
      <c r="K372" s="1">
        <f t="shared" si="69"/>
        <v>12118.644067796613</v>
      </c>
    </row>
    <row r="373" spans="1:11" hidden="1" outlineLevel="1" x14ac:dyDescent="0.3">
      <c r="A373" s="51">
        <v>4</v>
      </c>
      <c r="B373" s="23" t="s">
        <v>107</v>
      </c>
      <c r="C373" s="4" t="s">
        <v>55</v>
      </c>
      <c r="D373" s="1">
        <f>სამუშაო!D57+სამუშაო!D58+სამუშაო!D59</f>
        <v>33</v>
      </c>
      <c r="E373" s="1"/>
      <c r="F373" s="1">
        <f t="shared" si="75"/>
        <v>0</v>
      </c>
      <c r="G373" s="1"/>
      <c r="H373" s="1">
        <f t="shared" si="76"/>
        <v>0</v>
      </c>
      <c r="I373" s="1">
        <f>მომსახურება!D8</f>
        <v>1101.6949152542375</v>
      </c>
      <c r="J373" s="1">
        <f t="shared" si="77"/>
        <v>36355.932203389835</v>
      </c>
      <c r="K373" s="1">
        <f t="shared" si="69"/>
        <v>36355.932203389835</v>
      </c>
    </row>
    <row r="374" spans="1:11" collapsed="1" x14ac:dyDescent="0.3">
      <c r="A374" s="51">
        <v>26</v>
      </c>
      <c r="B374" s="23" t="s">
        <v>181</v>
      </c>
      <c r="C374" s="4" t="s">
        <v>10</v>
      </c>
      <c r="D374" s="1">
        <f>D375+D376</f>
        <v>107.874</v>
      </c>
      <c r="E374" s="1">
        <v>0</v>
      </c>
      <c r="F374" s="1">
        <f t="shared" si="75"/>
        <v>0</v>
      </c>
      <c r="G374" s="1">
        <v>0</v>
      </c>
      <c r="H374" s="1">
        <f t="shared" si="76"/>
        <v>0</v>
      </c>
      <c r="I374" s="1">
        <f>SUM(J375:J376)/D374</f>
        <v>220.33898305084747</v>
      </c>
      <c r="J374" s="1">
        <f>D374*I374</f>
        <v>23768.847457627118</v>
      </c>
      <c r="K374" s="1">
        <f t="shared" si="69"/>
        <v>23768.847457627118</v>
      </c>
    </row>
    <row r="375" spans="1:11" hidden="1" outlineLevel="1" x14ac:dyDescent="0.3">
      <c r="A375" s="51">
        <v>3</v>
      </c>
      <c r="B375" s="3" t="s">
        <v>323</v>
      </c>
      <c r="C375" s="4" t="s">
        <v>10</v>
      </c>
      <c r="D375" s="1">
        <f>სამუშაო!E66</f>
        <v>12.564</v>
      </c>
      <c r="E375" s="1"/>
      <c r="F375" s="1">
        <f t="shared" si="75"/>
        <v>0</v>
      </c>
      <c r="G375" s="1"/>
      <c r="H375" s="1">
        <f t="shared" si="76"/>
        <v>0</v>
      </c>
      <c r="I375" s="1">
        <f>მომსახურება!D15</f>
        <v>220.33898305084747</v>
      </c>
      <c r="J375" s="1">
        <f>D375*I375</f>
        <v>2768.3389830508477</v>
      </c>
      <c r="K375" s="1">
        <f t="shared" si="69"/>
        <v>2768.3389830508477</v>
      </c>
    </row>
    <row r="376" spans="1:11" hidden="1" outlineLevel="1" x14ac:dyDescent="0.3">
      <c r="A376" s="51">
        <v>4</v>
      </c>
      <c r="B376" s="3" t="s">
        <v>324</v>
      </c>
      <c r="C376" s="4" t="s">
        <v>10</v>
      </c>
      <c r="D376" s="1">
        <f>სამუშაო!E67+სამუშაო!E68+სამუშაო!E69</f>
        <v>95.31</v>
      </c>
      <c r="E376" s="1"/>
      <c r="F376" s="1">
        <f t="shared" si="75"/>
        <v>0</v>
      </c>
      <c r="G376" s="1"/>
      <c r="H376" s="1">
        <f t="shared" si="76"/>
        <v>0</v>
      </c>
      <c r="I376" s="1">
        <f>მომსახურება!D15</f>
        <v>220.33898305084747</v>
      </c>
      <c r="J376" s="1">
        <f>D376*I376</f>
        <v>21000.508474576272</v>
      </c>
      <c r="K376" s="1">
        <f t="shared" si="69"/>
        <v>21000.508474576272</v>
      </c>
    </row>
    <row r="377" spans="1:11" collapsed="1" x14ac:dyDescent="0.3">
      <c r="A377" s="51">
        <v>27</v>
      </c>
      <c r="B377" s="23" t="s">
        <v>108</v>
      </c>
      <c r="C377" s="4" t="s">
        <v>55</v>
      </c>
      <c r="D377" s="1">
        <f>სამუშაო!F56</f>
        <v>3</v>
      </c>
      <c r="E377" s="1">
        <v>0</v>
      </c>
      <c r="F377" s="1">
        <f t="shared" si="75"/>
        <v>0</v>
      </c>
      <c r="G377" s="1">
        <v>0</v>
      </c>
      <c r="H377" s="1">
        <v>0</v>
      </c>
      <c r="I377" s="1">
        <f>მომსახურება!D11</f>
        <v>3050.8474576271187</v>
      </c>
      <c r="J377" s="1">
        <f>D377*I377</f>
        <v>9152.5423728813566</v>
      </c>
      <c r="K377" s="1">
        <f t="shared" si="69"/>
        <v>9152.5423728813566</v>
      </c>
    </row>
    <row r="378" spans="1:11" hidden="1" outlineLevel="1" x14ac:dyDescent="0.3">
      <c r="A378" s="51">
        <v>1</v>
      </c>
      <c r="B378" s="3" t="s">
        <v>109</v>
      </c>
      <c r="C378" s="4" t="s">
        <v>55</v>
      </c>
      <c r="D378" s="1">
        <f>D377</f>
        <v>3</v>
      </c>
      <c r="E378" s="1"/>
      <c r="F378" s="1">
        <f t="shared" si="75"/>
        <v>0</v>
      </c>
      <c r="G378" s="1"/>
      <c r="H378" s="1">
        <f>D378*G378</f>
        <v>0</v>
      </c>
      <c r="I378" s="1">
        <f>მომსახურება!D11</f>
        <v>3050.8474576271187</v>
      </c>
      <c r="J378" s="1">
        <f t="shared" si="77"/>
        <v>9152.5423728813566</v>
      </c>
      <c r="K378" s="1">
        <f t="shared" si="69"/>
        <v>9152.5423728813566</v>
      </c>
    </row>
    <row r="379" spans="1:11" collapsed="1" x14ac:dyDescent="0.3">
      <c r="A379" s="51">
        <v>28</v>
      </c>
      <c r="B379" s="23" t="s">
        <v>110</v>
      </c>
      <c r="C379" s="4" t="s">
        <v>55</v>
      </c>
      <c r="D379" s="1">
        <v>3</v>
      </c>
      <c r="E379" s="1">
        <v>0</v>
      </c>
      <c r="F379" s="1">
        <f t="shared" si="75"/>
        <v>0</v>
      </c>
      <c r="G379" s="1">
        <v>0</v>
      </c>
      <c r="H379" s="1">
        <v>0</v>
      </c>
      <c r="I379" s="1">
        <f>მომსახურება!D12</f>
        <v>144.06779661016949</v>
      </c>
      <c r="J379" s="1">
        <f>D379*I379</f>
        <v>432.20338983050851</v>
      </c>
      <c r="K379" s="1">
        <f t="shared" si="69"/>
        <v>432.20338983050851</v>
      </c>
    </row>
    <row r="380" spans="1:11" hidden="1" outlineLevel="1" x14ac:dyDescent="0.3">
      <c r="A380" s="51">
        <v>1</v>
      </c>
      <c r="B380" s="3" t="s">
        <v>111</v>
      </c>
      <c r="C380" s="4" t="s">
        <v>55</v>
      </c>
      <c r="D380" s="1">
        <v>3</v>
      </c>
      <c r="E380" s="1"/>
      <c r="F380" s="1">
        <f t="shared" si="75"/>
        <v>0</v>
      </c>
      <c r="G380" s="1"/>
      <c r="H380" s="1">
        <f>D380*G380</f>
        <v>0</v>
      </c>
      <c r="I380" s="1">
        <f>მომსახურება!D12</f>
        <v>144.06779661016949</v>
      </c>
      <c r="J380" s="1">
        <f t="shared" si="77"/>
        <v>432.20338983050851</v>
      </c>
      <c r="K380" s="1">
        <f t="shared" si="69"/>
        <v>432.20338983050851</v>
      </c>
    </row>
    <row r="381" spans="1:11" collapsed="1" x14ac:dyDescent="0.3">
      <c r="A381" s="51">
        <v>29</v>
      </c>
      <c r="B381" s="23" t="s">
        <v>112</v>
      </c>
      <c r="C381" s="4" t="s">
        <v>55</v>
      </c>
      <c r="D381" s="1">
        <f>SUM(D383:D384)</f>
        <v>12</v>
      </c>
      <c r="E381" s="1">
        <v>0</v>
      </c>
      <c r="F381" s="1">
        <f t="shared" si="75"/>
        <v>0</v>
      </c>
      <c r="G381" s="1">
        <v>0</v>
      </c>
      <c r="H381" s="1">
        <v>0</v>
      </c>
      <c r="I381" s="1">
        <f>1750/1.18</f>
        <v>1483.0508474576272</v>
      </c>
      <c r="J381" s="1">
        <f>D381*I381</f>
        <v>17796.610169491527</v>
      </c>
      <c r="K381" s="1">
        <f t="shared" si="69"/>
        <v>17796.610169491527</v>
      </c>
    </row>
    <row r="382" spans="1:11" hidden="1" outlineLevel="1" x14ac:dyDescent="0.3">
      <c r="A382" s="51"/>
      <c r="B382" s="3" t="s">
        <v>326</v>
      </c>
      <c r="C382" s="4" t="s">
        <v>55</v>
      </c>
      <c r="D382" s="1">
        <v>0</v>
      </c>
      <c r="E382" s="1"/>
      <c r="F382" s="1">
        <f>D382*E382</f>
        <v>0</v>
      </c>
      <c r="G382" s="1"/>
      <c r="H382" s="1"/>
      <c r="I382" s="1">
        <f>მომსახურება!D13</f>
        <v>1440.6779661016949</v>
      </c>
      <c r="J382" s="1">
        <f>D382*I382</f>
        <v>0</v>
      </c>
      <c r="K382" s="1">
        <f t="shared" si="69"/>
        <v>0</v>
      </c>
    </row>
    <row r="383" spans="1:11" hidden="1" outlineLevel="1" x14ac:dyDescent="0.3">
      <c r="A383" s="51"/>
      <c r="B383" s="3" t="s">
        <v>106</v>
      </c>
      <c r="C383" s="4" t="s">
        <v>55</v>
      </c>
      <c r="D383" s="1">
        <f>სამუშაო!G57</f>
        <v>3</v>
      </c>
      <c r="E383" s="1"/>
      <c r="F383" s="1">
        <f t="shared" si="75"/>
        <v>0</v>
      </c>
      <c r="G383" s="1"/>
      <c r="H383" s="1"/>
      <c r="I383" s="1">
        <f>მომსახურება!D13</f>
        <v>1440.6779661016949</v>
      </c>
      <c r="J383" s="1">
        <f t="shared" si="77"/>
        <v>4322.0338983050842</v>
      </c>
      <c r="K383" s="1">
        <f t="shared" si="69"/>
        <v>4322.0338983050842</v>
      </c>
    </row>
    <row r="384" spans="1:11" hidden="1" outlineLevel="1" x14ac:dyDescent="0.3">
      <c r="A384" s="51"/>
      <c r="B384" s="3" t="s">
        <v>107</v>
      </c>
      <c r="C384" s="4" t="s">
        <v>55</v>
      </c>
      <c r="D384" s="1">
        <f>სამუშაო!G58+სამუშაო!G59+სამუშაო!G59</f>
        <v>9</v>
      </c>
      <c r="E384" s="1"/>
      <c r="F384" s="1">
        <f t="shared" si="75"/>
        <v>0</v>
      </c>
      <c r="G384" s="1"/>
      <c r="H384" s="1"/>
      <c r="I384" s="1">
        <f>მომსახურება!D13</f>
        <v>1440.6779661016949</v>
      </c>
      <c r="J384" s="1">
        <f t="shared" si="77"/>
        <v>12966.101694915254</v>
      </c>
      <c r="K384" s="1">
        <f t="shared" si="69"/>
        <v>12966.101694915254</v>
      </c>
    </row>
    <row r="385" spans="1:11" collapsed="1" x14ac:dyDescent="0.3">
      <c r="A385" s="51">
        <v>30</v>
      </c>
      <c r="B385" s="23" t="s">
        <v>113</v>
      </c>
      <c r="C385" s="4" t="s">
        <v>40</v>
      </c>
      <c r="D385" s="1">
        <f>SUM(D386,D387)</f>
        <v>263.10000000000002</v>
      </c>
      <c r="E385" s="1">
        <v>0</v>
      </c>
      <c r="F385" s="1">
        <f t="shared" si="75"/>
        <v>0</v>
      </c>
      <c r="G385" s="1">
        <v>0</v>
      </c>
      <c r="H385" s="1">
        <v>0</v>
      </c>
      <c r="I385" s="1">
        <f>SUM(K386:K387)/D385</f>
        <v>220.33898305084747</v>
      </c>
      <c r="J385" s="1">
        <f>D385*I385</f>
        <v>57971.186440677979</v>
      </c>
      <c r="K385" s="1">
        <f t="shared" si="69"/>
        <v>57971.186440677979</v>
      </c>
    </row>
    <row r="386" spans="1:11" hidden="1" outlineLevel="1" x14ac:dyDescent="0.3">
      <c r="A386" s="51">
        <v>1</v>
      </c>
      <c r="B386" s="3" t="s">
        <v>114</v>
      </c>
      <c r="C386" s="4" t="s">
        <v>40</v>
      </c>
      <c r="D386" s="1">
        <f>სამუშაო!D66</f>
        <v>45</v>
      </c>
      <c r="E386" s="1"/>
      <c r="F386" s="1">
        <f t="shared" si="75"/>
        <v>0</v>
      </c>
      <c r="G386" s="1"/>
      <c r="H386" s="1">
        <f>D386*G386</f>
        <v>0</v>
      </c>
      <c r="I386" s="1">
        <f>მომსახურება!D14</f>
        <v>220.33898305084747</v>
      </c>
      <c r="J386" s="1">
        <f t="shared" si="77"/>
        <v>9915.2542372881362</v>
      </c>
      <c r="K386" s="1">
        <f t="shared" si="69"/>
        <v>9915.2542372881362</v>
      </c>
    </row>
    <row r="387" spans="1:11" hidden="1" outlineLevel="1" x14ac:dyDescent="0.3">
      <c r="A387" s="51">
        <v>2</v>
      </c>
      <c r="B387" s="3" t="s">
        <v>117</v>
      </c>
      <c r="C387" s="4" t="s">
        <v>40</v>
      </c>
      <c r="D387" s="1">
        <f>სამუშაო!D67+სამუშაო!D68+სამუშაო!D69</f>
        <v>218.10000000000005</v>
      </c>
      <c r="E387" s="1"/>
      <c r="F387" s="1">
        <f t="shared" si="75"/>
        <v>0</v>
      </c>
      <c r="G387" s="1"/>
      <c r="H387" s="1">
        <f>D387*G387</f>
        <v>0</v>
      </c>
      <c r="I387" s="1">
        <f>მომსახურება!D14</f>
        <v>220.33898305084747</v>
      </c>
      <c r="J387" s="1">
        <f t="shared" si="77"/>
        <v>48055.932203389842</v>
      </c>
      <c r="K387" s="1">
        <f t="shared" si="69"/>
        <v>48055.932203389842</v>
      </c>
    </row>
    <row r="388" spans="1:11" collapsed="1" x14ac:dyDescent="0.3">
      <c r="A388" s="51">
        <v>31</v>
      </c>
      <c r="B388" s="23" t="s">
        <v>115</v>
      </c>
      <c r="C388" s="4" t="s">
        <v>40</v>
      </c>
      <c r="D388" s="1">
        <f>SUM(D389:D391)</f>
        <v>102.00000000000001</v>
      </c>
      <c r="E388" s="1">
        <v>0</v>
      </c>
      <c r="F388" s="1">
        <f t="shared" si="75"/>
        <v>0</v>
      </c>
      <c r="G388" s="1">
        <v>0</v>
      </c>
      <c r="H388" s="1">
        <v>0</v>
      </c>
      <c r="I388" s="1">
        <f>მომსახურება!D17</f>
        <v>72.033898305084747</v>
      </c>
      <c r="J388" s="1">
        <f>D388*I388</f>
        <v>7347.4576271186452</v>
      </c>
      <c r="K388" s="1">
        <f t="shared" si="69"/>
        <v>7347.4576271186452</v>
      </c>
    </row>
    <row r="389" spans="1:11" hidden="1" outlineLevel="1" x14ac:dyDescent="0.3">
      <c r="A389" s="51"/>
      <c r="B389" s="3" t="s">
        <v>329</v>
      </c>
      <c r="C389" s="4" t="s">
        <v>40</v>
      </c>
      <c r="D389" s="1">
        <f>სამუშაო!F65</f>
        <v>16.8</v>
      </c>
      <c r="E389" s="1"/>
      <c r="F389" s="1">
        <f t="shared" si="75"/>
        <v>0</v>
      </c>
      <c r="G389" s="1">
        <v>0</v>
      </c>
      <c r="H389" s="1"/>
      <c r="I389" s="1">
        <f>მომსახურება!D16</f>
        <v>220.33898305084747</v>
      </c>
      <c r="J389" s="1">
        <f t="shared" si="77"/>
        <v>3701.6949152542379</v>
      </c>
      <c r="K389" s="1">
        <f t="shared" si="69"/>
        <v>3701.6949152542379</v>
      </c>
    </row>
    <row r="390" spans="1:11" hidden="1" outlineLevel="1" x14ac:dyDescent="0.3">
      <c r="A390" s="51"/>
      <c r="B390" s="3" t="s">
        <v>114</v>
      </c>
      <c r="C390" s="4" t="s">
        <v>40</v>
      </c>
      <c r="D390" s="1">
        <f>სამუშაო!F66</f>
        <v>20.100000000000001</v>
      </c>
      <c r="E390" s="1"/>
      <c r="F390" s="1">
        <f t="shared" ref="F390" si="78">D390*E390</f>
        <v>0</v>
      </c>
      <c r="G390" s="1">
        <v>0</v>
      </c>
      <c r="H390" s="1"/>
      <c r="I390" s="1">
        <f>მომსახურება!D16</f>
        <v>220.33898305084747</v>
      </c>
      <c r="J390" s="1">
        <f t="shared" ref="J390" si="79">D390*I390</f>
        <v>4428.813559322035</v>
      </c>
      <c r="K390" s="1">
        <f t="shared" si="69"/>
        <v>4428.813559322035</v>
      </c>
    </row>
    <row r="391" spans="1:11" hidden="1" outlineLevel="1" x14ac:dyDescent="0.3">
      <c r="A391" s="51"/>
      <c r="B391" s="3" t="s">
        <v>117</v>
      </c>
      <c r="C391" s="4" t="s">
        <v>40</v>
      </c>
      <c r="D391" s="1">
        <f>სამუშაო!F67+სამუშაო!F68+სამუშაო!F69</f>
        <v>65.100000000000009</v>
      </c>
      <c r="E391" s="1"/>
      <c r="F391" s="1">
        <f t="shared" si="75"/>
        <v>0</v>
      </c>
      <c r="G391" s="1">
        <v>0</v>
      </c>
      <c r="H391" s="1"/>
      <c r="I391" s="1">
        <f>მომსახურება!D16</f>
        <v>220.33898305084747</v>
      </c>
      <c r="J391" s="1">
        <f t="shared" si="77"/>
        <v>14344.067796610172</v>
      </c>
      <c r="K391" s="1">
        <f t="shared" si="69"/>
        <v>14344.067796610172</v>
      </c>
    </row>
    <row r="392" spans="1:11" collapsed="1" x14ac:dyDescent="0.3">
      <c r="A392" s="51">
        <v>32</v>
      </c>
      <c r="B392" s="23" t="s">
        <v>116</v>
      </c>
      <c r="C392" s="4" t="s">
        <v>40</v>
      </c>
      <c r="D392" s="1">
        <f>SUM(D393:D394)</f>
        <v>92.700000000000017</v>
      </c>
      <c r="E392" s="1">
        <v>0</v>
      </c>
      <c r="F392" s="1">
        <f t="shared" si="75"/>
        <v>0</v>
      </c>
      <c r="G392" s="1">
        <v>0</v>
      </c>
      <c r="H392" s="1">
        <v>0</v>
      </c>
      <c r="I392" s="1">
        <f>მომსახურება!D17</f>
        <v>72.033898305084747</v>
      </c>
      <c r="J392" s="1">
        <f>D392*I392</f>
        <v>6677.5423728813576</v>
      </c>
      <c r="K392" s="1">
        <f t="shared" si="69"/>
        <v>6677.5423728813576</v>
      </c>
    </row>
    <row r="393" spans="1:11" hidden="1" outlineLevel="1" x14ac:dyDescent="0.3">
      <c r="A393" s="51"/>
      <c r="B393" s="3" t="s">
        <v>330</v>
      </c>
      <c r="C393" s="4" t="s">
        <v>40</v>
      </c>
      <c r="D393" s="1">
        <f>სამუშაო!G65+სამუშაო!G66</f>
        <v>35.100000000000009</v>
      </c>
      <c r="E393" s="1"/>
      <c r="F393" s="1">
        <f t="shared" si="75"/>
        <v>0</v>
      </c>
      <c r="G393" s="1">
        <v>0</v>
      </c>
      <c r="H393" s="1"/>
      <c r="I393" s="1">
        <f>მომსახურება!D17</f>
        <v>72.033898305084747</v>
      </c>
      <c r="J393" s="1">
        <f t="shared" si="77"/>
        <v>2528.3898305084754</v>
      </c>
      <c r="K393" s="1">
        <f t="shared" si="69"/>
        <v>2528.3898305084754</v>
      </c>
    </row>
    <row r="394" spans="1:11" hidden="1" outlineLevel="1" x14ac:dyDescent="0.3">
      <c r="A394" s="51"/>
      <c r="B394" s="3" t="s">
        <v>117</v>
      </c>
      <c r="C394" s="4" t="s">
        <v>40</v>
      </c>
      <c r="D394" s="1">
        <f>სამუშაო!G67+სამუშაო!G68+სამუშაო!G69</f>
        <v>57.600000000000009</v>
      </c>
      <c r="E394" s="1"/>
      <c r="F394" s="1">
        <f t="shared" si="75"/>
        <v>0</v>
      </c>
      <c r="G394" s="1">
        <v>0</v>
      </c>
      <c r="H394" s="1"/>
      <c r="I394" s="1">
        <f>მომსახურება!D17</f>
        <v>72.033898305084747</v>
      </c>
      <c r="J394" s="1">
        <f t="shared" si="77"/>
        <v>4149.1525423728817</v>
      </c>
      <c r="K394" s="1">
        <f t="shared" si="69"/>
        <v>4149.1525423728817</v>
      </c>
    </row>
    <row r="395" spans="1:11" collapsed="1" x14ac:dyDescent="0.3">
      <c r="A395" s="65">
        <v>33</v>
      </c>
      <c r="B395" s="66" t="s">
        <v>189</v>
      </c>
      <c r="C395" s="67" t="s">
        <v>55</v>
      </c>
      <c r="D395" s="68">
        <f>D396+D397+D398</f>
        <v>44</v>
      </c>
      <c r="E395" s="68">
        <v>0</v>
      </c>
      <c r="F395" s="68">
        <v>0</v>
      </c>
      <c r="G395" s="68">
        <v>0</v>
      </c>
      <c r="H395" s="68">
        <v>0</v>
      </c>
      <c r="I395" s="68">
        <f>SUM(J396:J398)/D395</f>
        <v>1483.0508474576272</v>
      </c>
      <c r="J395" s="68">
        <f>D395*I395</f>
        <v>65254.237288135599</v>
      </c>
      <c r="K395" s="1">
        <f t="shared" si="69"/>
        <v>65254.237288135599</v>
      </c>
    </row>
    <row r="396" spans="1:11" hidden="1" outlineLevel="1" x14ac:dyDescent="0.3">
      <c r="A396" s="51">
        <v>1</v>
      </c>
      <c r="B396" s="3" t="s">
        <v>332</v>
      </c>
      <c r="C396" s="4" t="s">
        <v>55</v>
      </c>
      <c r="D396" s="1">
        <v>0</v>
      </c>
      <c r="E396" s="1"/>
      <c r="F396" s="1">
        <f t="shared" ref="F396:F433" si="80">D396*E396</f>
        <v>0</v>
      </c>
      <c r="G396" s="1"/>
      <c r="H396" s="1">
        <f>D396*G396</f>
        <v>0</v>
      </c>
      <c r="I396" s="1">
        <f>მომსახურება!D10</f>
        <v>1483.0508474576272</v>
      </c>
      <c r="J396" s="1">
        <f>D396*I396</f>
        <v>0</v>
      </c>
      <c r="K396" s="1">
        <f t="shared" si="69"/>
        <v>0</v>
      </c>
    </row>
    <row r="397" spans="1:11" hidden="1" outlineLevel="1" x14ac:dyDescent="0.3">
      <c r="A397" s="51">
        <v>2</v>
      </c>
      <c r="B397" s="3" t="s">
        <v>118</v>
      </c>
      <c r="C397" s="4" t="s">
        <v>55</v>
      </c>
      <c r="D397" s="1">
        <f>სამუშაო!H56</f>
        <v>11</v>
      </c>
      <c r="E397" s="1"/>
      <c r="F397" s="1">
        <f t="shared" si="80"/>
        <v>0</v>
      </c>
      <c r="G397" s="1"/>
      <c r="H397" s="1">
        <f>D397*G397</f>
        <v>0</v>
      </c>
      <c r="I397" s="1">
        <f>მომსახურება!D10</f>
        <v>1483.0508474576272</v>
      </c>
      <c r="J397" s="1">
        <f>D397*I397</f>
        <v>16313.5593220339</v>
      </c>
      <c r="K397" s="1">
        <f t="shared" si="69"/>
        <v>16313.5593220339</v>
      </c>
    </row>
    <row r="398" spans="1:11" hidden="1" outlineLevel="1" x14ac:dyDescent="0.3">
      <c r="A398" s="51">
        <v>3</v>
      </c>
      <c r="B398" s="3" t="s">
        <v>119</v>
      </c>
      <c r="C398" s="4" t="s">
        <v>55</v>
      </c>
      <c r="D398" s="1">
        <f>სამუშაო!H57+სამუშაო!H58+სამუშაო!H59</f>
        <v>33</v>
      </c>
      <c r="E398" s="1"/>
      <c r="F398" s="1">
        <f t="shared" si="80"/>
        <v>0</v>
      </c>
      <c r="G398" s="1"/>
      <c r="H398" s="1">
        <f>D398*G398</f>
        <v>0</v>
      </c>
      <c r="I398" s="1">
        <f>მომსახურება!D10</f>
        <v>1483.0508474576272</v>
      </c>
      <c r="J398" s="1">
        <f>D398*I398</f>
        <v>48940.677966101699</v>
      </c>
      <c r="K398" s="1">
        <f t="shared" si="69"/>
        <v>48940.677966101699</v>
      </c>
    </row>
    <row r="399" spans="1:11" collapsed="1" x14ac:dyDescent="0.3">
      <c r="A399" s="51">
        <v>34</v>
      </c>
      <c r="B399" s="23" t="s">
        <v>120</v>
      </c>
      <c r="C399" s="4" t="s">
        <v>121</v>
      </c>
      <c r="D399" s="1">
        <f>SUM(D402,D400)</f>
        <v>44</v>
      </c>
      <c r="E399" s="1">
        <f>SUM(K403:K403,K401,)/D399</f>
        <v>541.31355932203394</v>
      </c>
      <c r="F399" s="1">
        <f t="shared" si="80"/>
        <v>23817.796610169495</v>
      </c>
      <c r="G399" s="1">
        <f>SUM(H400:H403)/D399</f>
        <v>195.75</v>
      </c>
      <c r="H399" s="1">
        <f>G399*D399</f>
        <v>8613</v>
      </c>
      <c r="I399" s="1">
        <v>0</v>
      </c>
      <c r="J399" s="1">
        <v>0</v>
      </c>
      <c r="K399" s="1">
        <f t="shared" si="69"/>
        <v>32430.796610169495</v>
      </c>
    </row>
    <row r="400" spans="1:11" hidden="1" outlineLevel="1" x14ac:dyDescent="0.3">
      <c r="A400" s="51">
        <v>1</v>
      </c>
      <c r="B400" s="23" t="s">
        <v>122</v>
      </c>
      <c r="C400" s="4" t="s">
        <v>121</v>
      </c>
      <c r="D400" s="1">
        <f>D372</f>
        <v>11</v>
      </c>
      <c r="E400" s="1"/>
      <c r="F400" s="1">
        <f t="shared" si="80"/>
        <v>0</v>
      </c>
      <c r="G400" s="1">
        <f>ხელფასი!D20+30</f>
        <v>195.75</v>
      </c>
      <c r="H400" s="1">
        <f>G400*D400</f>
        <v>2153.25</v>
      </c>
      <c r="I400" s="1"/>
      <c r="J400" s="1"/>
      <c r="K400" s="1">
        <f t="shared" si="69"/>
        <v>2153.25</v>
      </c>
    </row>
    <row r="401" spans="1:11" hidden="1" outlineLevel="1" x14ac:dyDescent="0.3">
      <c r="A401" s="51"/>
      <c r="B401" s="3" t="s">
        <v>123</v>
      </c>
      <c r="C401" s="4" t="s">
        <v>40</v>
      </c>
      <c r="D401" s="1">
        <f>D400*250</f>
        <v>2750</v>
      </c>
      <c r="E401" s="1">
        <f>მასალა!D44</f>
        <v>2.9661016949152543</v>
      </c>
      <c r="F401" s="1">
        <f t="shared" si="80"/>
        <v>8156.7796610169498</v>
      </c>
      <c r="G401" s="1"/>
      <c r="H401" s="1">
        <f>D401*G401</f>
        <v>0</v>
      </c>
      <c r="I401" s="1"/>
      <c r="J401" s="1"/>
      <c r="K401" s="1">
        <f t="shared" si="69"/>
        <v>8156.7796610169498</v>
      </c>
    </row>
    <row r="402" spans="1:11" hidden="1" outlineLevel="1" x14ac:dyDescent="0.3">
      <c r="A402" s="51">
        <v>2</v>
      </c>
      <c r="B402" s="23" t="s">
        <v>182</v>
      </c>
      <c r="C402" s="4" t="s">
        <v>121</v>
      </c>
      <c r="D402" s="1">
        <f>D373</f>
        <v>33</v>
      </c>
      <c r="E402" s="1"/>
      <c r="F402" s="1">
        <f t="shared" si="80"/>
        <v>0</v>
      </c>
      <c r="G402" s="1">
        <f>ხელფასი!D20+30</f>
        <v>195.75</v>
      </c>
      <c r="H402" s="1">
        <f>G402*D402</f>
        <v>6459.75</v>
      </c>
      <c r="I402" s="1"/>
      <c r="J402" s="1"/>
      <c r="K402" s="1">
        <f t="shared" si="69"/>
        <v>6459.75</v>
      </c>
    </row>
    <row r="403" spans="1:11" hidden="1" outlineLevel="1" x14ac:dyDescent="0.3">
      <c r="A403" s="51"/>
      <c r="B403" s="3" t="s">
        <v>123</v>
      </c>
      <c r="C403" s="4" t="s">
        <v>40</v>
      </c>
      <c r="D403" s="1">
        <f>D402*160</f>
        <v>5280</v>
      </c>
      <c r="E403" s="1">
        <f>მასალა!D44</f>
        <v>2.9661016949152543</v>
      </c>
      <c r="F403" s="1">
        <f t="shared" si="80"/>
        <v>15661.016949152543</v>
      </c>
      <c r="G403" s="1"/>
      <c r="H403" s="1">
        <f>D403*G403</f>
        <v>0</v>
      </c>
      <c r="I403" s="1"/>
      <c r="J403" s="1"/>
      <c r="K403" s="1">
        <f t="shared" si="69"/>
        <v>15661.016949152543</v>
      </c>
    </row>
    <row r="404" spans="1:11" collapsed="1" x14ac:dyDescent="0.3">
      <c r="A404" s="51">
        <v>35</v>
      </c>
      <c r="B404" s="23" t="s">
        <v>124</v>
      </c>
      <c r="C404" s="4" t="s">
        <v>49</v>
      </c>
      <c r="D404" s="1">
        <v>161</v>
      </c>
      <c r="E404" s="1">
        <f>მასალა!D87</f>
        <v>110.16949152542374</v>
      </c>
      <c r="F404" s="1">
        <f t="shared" si="80"/>
        <v>17737.288135593222</v>
      </c>
      <c r="G404" s="1">
        <f>ხელფასი!D21</f>
        <v>31.874999999999996</v>
      </c>
      <c r="H404" s="1">
        <f>G404*D404</f>
        <v>5131.8749999999991</v>
      </c>
      <c r="I404" s="1">
        <v>0</v>
      </c>
      <c r="J404" s="1">
        <f>I404*D404</f>
        <v>0</v>
      </c>
      <c r="K404" s="1">
        <f t="shared" si="69"/>
        <v>22869.163135593222</v>
      </c>
    </row>
    <row r="405" spans="1:11" collapsed="1" x14ac:dyDescent="0.3">
      <c r="A405" s="51">
        <v>36</v>
      </c>
      <c r="B405" s="23" t="s">
        <v>338</v>
      </c>
      <c r="C405" s="4" t="s">
        <v>49</v>
      </c>
      <c r="D405" s="1">
        <v>44</v>
      </c>
      <c r="E405" s="1">
        <f>მასალა!D88</f>
        <v>42.372881355932208</v>
      </c>
      <c r="F405" s="1">
        <f t="shared" ref="F405" si="81">D405*E405</f>
        <v>1864.406779661017</v>
      </c>
      <c r="G405" s="1">
        <f>ხელფასი!D22</f>
        <v>57.374999999999993</v>
      </c>
      <c r="H405" s="1">
        <f>G405*D405</f>
        <v>2524.4999999999995</v>
      </c>
      <c r="I405" s="1">
        <v>0</v>
      </c>
      <c r="J405" s="1">
        <f>I405*D405</f>
        <v>0</v>
      </c>
      <c r="K405" s="1">
        <f t="shared" si="69"/>
        <v>4388.9067796610161</v>
      </c>
    </row>
    <row r="406" spans="1:11" x14ac:dyDescent="0.3">
      <c r="A406" s="51">
        <v>37</v>
      </c>
      <c r="B406" s="23" t="s">
        <v>125</v>
      </c>
      <c r="C406" s="4" t="s">
        <v>49</v>
      </c>
      <c r="D406" s="1">
        <v>96</v>
      </c>
      <c r="E406" s="1">
        <f>მასალა!D89</f>
        <v>25.423728813559322</v>
      </c>
      <c r="F406" s="1">
        <f t="shared" si="80"/>
        <v>2440.6779661016949</v>
      </c>
      <c r="G406" s="1">
        <f>ხელფასი!D23</f>
        <v>31.874999999999996</v>
      </c>
      <c r="H406" s="1">
        <f>G406*D406</f>
        <v>3059.9999999999995</v>
      </c>
      <c r="I406" s="1">
        <v>0</v>
      </c>
      <c r="J406" s="1">
        <f>I406*D406</f>
        <v>0</v>
      </c>
      <c r="K406" s="1">
        <f t="shared" si="69"/>
        <v>5500.6779661016944</v>
      </c>
    </row>
    <row r="407" spans="1:11" x14ac:dyDescent="0.3">
      <c r="A407" s="51">
        <v>38</v>
      </c>
      <c r="B407" s="23" t="s">
        <v>126</v>
      </c>
      <c r="C407" s="4" t="s">
        <v>127</v>
      </c>
      <c r="D407" s="1">
        <f>SUM(D414,D408,)</f>
        <v>3960</v>
      </c>
      <c r="E407" s="1">
        <f>SUM(K415:K419,K409:K413)/D407</f>
        <v>12.906673728813558</v>
      </c>
      <c r="F407" s="1">
        <f t="shared" si="80"/>
        <v>51110.427966101692</v>
      </c>
      <c r="G407" s="1">
        <f>SUM(H408:H419)/D407</f>
        <v>10.199999999999999</v>
      </c>
      <c r="H407" s="1">
        <f>G407*D407</f>
        <v>40392</v>
      </c>
      <c r="I407" s="1">
        <v>0</v>
      </c>
      <c r="J407" s="1">
        <v>0</v>
      </c>
      <c r="K407" s="1">
        <f t="shared" si="69"/>
        <v>91502.427966101692</v>
      </c>
    </row>
    <row r="408" spans="1:11" hidden="1" outlineLevel="1" x14ac:dyDescent="0.3">
      <c r="A408" s="51">
        <v>0</v>
      </c>
      <c r="B408" s="23" t="s">
        <v>128</v>
      </c>
      <c r="C408" s="4" t="s">
        <v>127</v>
      </c>
      <c r="D408" s="1">
        <f>11*90</f>
        <v>990</v>
      </c>
      <c r="E408" s="1"/>
      <c r="F408" s="1">
        <f t="shared" si="80"/>
        <v>0</v>
      </c>
      <c r="G408" s="1">
        <f>ხელფასი!D24</f>
        <v>10.199999999999999</v>
      </c>
      <c r="H408" s="1">
        <f>D408*G408</f>
        <v>10098</v>
      </c>
      <c r="I408" s="1"/>
      <c r="J408" s="1"/>
      <c r="K408" s="1">
        <f t="shared" si="69"/>
        <v>10098</v>
      </c>
    </row>
    <row r="409" spans="1:11" hidden="1" outlineLevel="1" x14ac:dyDescent="0.3">
      <c r="A409" s="51"/>
      <c r="B409" s="3" t="s">
        <v>129</v>
      </c>
      <c r="C409" s="4" t="s">
        <v>40</v>
      </c>
      <c r="D409" s="1">
        <f>D408*3*1.05</f>
        <v>3118.5</v>
      </c>
      <c r="E409" s="1">
        <f>მასალა!D50</f>
        <v>2.5423728813559325</v>
      </c>
      <c r="F409" s="1">
        <f t="shared" si="80"/>
        <v>7928.3898305084758</v>
      </c>
      <c r="G409" s="1"/>
      <c r="H409" s="1"/>
      <c r="I409" s="1"/>
      <c r="J409" s="1"/>
      <c r="K409" s="1">
        <f t="shared" si="69"/>
        <v>7928.3898305084758</v>
      </c>
    </row>
    <row r="410" spans="1:11" hidden="1" outlineLevel="1" x14ac:dyDescent="0.3">
      <c r="A410" s="51"/>
      <c r="B410" s="3" t="s">
        <v>130</v>
      </c>
      <c r="C410" s="4" t="s">
        <v>40</v>
      </c>
      <c r="D410" s="1">
        <f>D408*0.85*1.05</f>
        <v>883.57500000000005</v>
      </c>
      <c r="E410" s="1">
        <f>მასალა!D51</f>
        <v>1.6101694915254237</v>
      </c>
      <c r="F410" s="1">
        <f t="shared" si="80"/>
        <v>1422.7055084745764</v>
      </c>
      <c r="G410" s="1"/>
      <c r="H410" s="1"/>
      <c r="I410" s="1"/>
      <c r="J410" s="1"/>
      <c r="K410" s="1">
        <f t="shared" ref="K410:K473" si="82">F410+H410+J410</f>
        <v>1422.7055084745764</v>
      </c>
    </row>
    <row r="411" spans="1:11" hidden="1" outlineLevel="1" x14ac:dyDescent="0.3">
      <c r="A411" s="51"/>
      <c r="B411" s="3" t="s">
        <v>131</v>
      </c>
      <c r="C411" s="4" t="s">
        <v>40</v>
      </c>
      <c r="D411" s="1">
        <f>D408*1.75*1.05</f>
        <v>1819.125</v>
      </c>
      <c r="E411" s="1">
        <f>მასალა!D52</f>
        <v>1.1016949152542375</v>
      </c>
      <c r="F411" s="1">
        <f t="shared" si="80"/>
        <v>2004.1207627118647</v>
      </c>
      <c r="G411" s="1"/>
      <c r="H411" s="1"/>
      <c r="I411" s="1"/>
      <c r="J411" s="1"/>
      <c r="K411" s="1">
        <f t="shared" si="82"/>
        <v>2004.1207627118647</v>
      </c>
    </row>
    <row r="412" spans="1:11" hidden="1" outlineLevel="1" x14ac:dyDescent="0.3">
      <c r="A412" s="51"/>
      <c r="B412" s="3" t="s">
        <v>132</v>
      </c>
      <c r="C412" s="4" t="s">
        <v>40</v>
      </c>
      <c r="D412" s="1">
        <f>D408*0.65</f>
        <v>643.5</v>
      </c>
      <c r="E412" s="1">
        <f>მასალა!D53</f>
        <v>1.1016949152542375</v>
      </c>
      <c r="F412" s="1">
        <f t="shared" si="80"/>
        <v>708.94067796610182</v>
      </c>
      <c r="G412" s="1"/>
      <c r="H412" s="1"/>
      <c r="I412" s="1"/>
      <c r="J412" s="1"/>
      <c r="K412" s="1">
        <f t="shared" si="82"/>
        <v>708.94067796610182</v>
      </c>
    </row>
    <row r="413" spans="1:11" hidden="1" outlineLevel="1" x14ac:dyDescent="0.3">
      <c r="A413" s="51"/>
      <c r="B413" s="3" t="s">
        <v>390</v>
      </c>
      <c r="C413" s="4" t="s">
        <v>127</v>
      </c>
      <c r="D413" s="1">
        <f>D408</f>
        <v>990</v>
      </c>
      <c r="E413" s="1">
        <f>SUMIFS(მასალა!D3:D392,მასალა!B3:B392,ბიუჯეტი!B413)</f>
        <v>0.84745762711864414</v>
      </c>
      <c r="F413" s="1">
        <f t="shared" si="80"/>
        <v>838.98305084745766</v>
      </c>
      <c r="G413" s="1"/>
      <c r="H413" s="1"/>
      <c r="I413" s="1"/>
      <c r="J413" s="1"/>
      <c r="K413" s="1">
        <f t="shared" si="82"/>
        <v>838.98305084745766</v>
      </c>
    </row>
    <row r="414" spans="1:11" hidden="1" outlineLevel="1" x14ac:dyDescent="0.3">
      <c r="A414" s="51">
        <v>1</v>
      </c>
      <c r="B414" s="23" t="s">
        <v>348</v>
      </c>
      <c r="C414" s="4" t="s">
        <v>127</v>
      </c>
      <c r="D414" s="1">
        <f>90*33</f>
        <v>2970</v>
      </c>
      <c r="E414" s="1"/>
      <c r="F414" s="1">
        <f t="shared" si="80"/>
        <v>0</v>
      </c>
      <c r="G414" s="1">
        <f>ხელფასი!D24</f>
        <v>10.199999999999999</v>
      </c>
      <c r="H414" s="1">
        <f>G414*D414</f>
        <v>30293.999999999996</v>
      </c>
      <c r="I414" s="1"/>
      <c r="J414" s="1"/>
      <c r="K414" s="1">
        <f t="shared" si="82"/>
        <v>30293.999999999996</v>
      </c>
    </row>
    <row r="415" spans="1:11" hidden="1" outlineLevel="1" x14ac:dyDescent="0.3">
      <c r="A415" s="51"/>
      <c r="B415" s="3" t="s">
        <v>129</v>
      </c>
      <c r="C415" s="4" t="s">
        <v>40</v>
      </c>
      <c r="D415" s="1">
        <f>D414*3*1.05</f>
        <v>9355.5</v>
      </c>
      <c r="E415" s="1">
        <f>მასალა!D50</f>
        <v>2.5423728813559325</v>
      </c>
      <c r="F415" s="1">
        <f t="shared" si="80"/>
        <v>23785.169491525427</v>
      </c>
      <c r="G415" s="1"/>
      <c r="H415" s="1"/>
      <c r="I415" s="1"/>
      <c r="J415" s="1"/>
      <c r="K415" s="1">
        <f t="shared" si="82"/>
        <v>23785.169491525427</v>
      </c>
    </row>
    <row r="416" spans="1:11" hidden="1" outlineLevel="1" x14ac:dyDescent="0.3">
      <c r="A416" s="51"/>
      <c r="B416" s="3" t="s">
        <v>130</v>
      </c>
      <c r="C416" s="4" t="s">
        <v>40</v>
      </c>
      <c r="D416" s="1">
        <f>D414*0.75*1.05</f>
        <v>2338.875</v>
      </c>
      <c r="E416" s="1">
        <f>მასალა!D51</f>
        <v>1.6101694915254237</v>
      </c>
      <c r="F416" s="1">
        <f t="shared" si="80"/>
        <v>3765.9851694915251</v>
      </c>
      <c r="G416" s="1"/>
      <c r="H416" s="1"/>
      <c r="I416" s="1"/>
      <c r="J416" s="1"/>
      <c r="K416" s="1">
        <f t="shared" si="82"/>
        <v>3765.9851694915251</v>
      </c>
    </row>
    <row r="417" spans="1:11" hidden="1" outlineLevel="1" x14ac:dyDescent="0.3">
      <c r="A417" s="51"/>
      <c r="B417" s="3" t="s">
        <v>131</v>
      </c>
      <c r="C417" s="4" t="s">
        <v>40</v>
      </c>
      <c r="D417" s="1">
        <f>D414*1.75*1.05</f>
        <v>5457.375</v>
      </c>
      <c r="E417" s="1">
        <f>მასალა!D52</f>
        <v>1.1016949152542375</v>
      </c>
      <c r="F417" s="1">
        <f t="shared" si="80"/>
        <v>6012.3622881355941</v>
      </c>
      <c r="G417" s="1"/>
      <c r="H417" s="1"/>
      <c r="I417" s="1"/>
      <c r="J417" s="1"/>
      <c r="K417" s="1">
        <f t="shared" si="82"/>
        <v>6012.3622881355941</v>
      </c>
    </row>
    <row r="418" spans="1:11" hidden="1" outlineLevel="1" x14ac:dyDescent="0.3">
      <c r="A418" s="51"/>
      <c r="B418" s="3" t="s">
        <v>132</v>
      </c>
      <c r="C418" s="4" t="s">
        <v>40</v>
      </c>
      <c r="D418" s="1">
        <f>D414*0.65</f>
        <v>1930.5</v>
      </c>
      <c r="E418" s="1">
        <f>მასალა!D53</f>
        <v>1.1016949152542375</v>
      </c>
      <c r="F418" s="1">
        <f t="shared" si="80"/>
        <v>2126.8220338983056</v>
      </c>
      <c r="G418" s="1"/>
      <c r="H418" s="1"/>
      <c r="I418" s="1"/>
      <c r="J418" s="1"/>
      <c r="K418" s="1">
        <f t="shared" si="82"/>
        <v>2126.8220338983056</v>
      </c>
    </row>
    <row r="419" spans="1:11" hidden="1" outlineLevel="1" x14ac:dyDescent="0.3">
      <c r="A419" s="51"/>
      <c r="B419" s="3" t="s">
        <v>390</v>
      </c>
      <c r="C419" s="4" t="s">
        <v>127</v>
      </c>
      <c r="D419" s="1">
        <f>D414</f>
        <v>2970</v>
      </c>
      <c r="E419" s="1">
        <f>SUMIFS(მასალა!D3:D398,მასალა!B3:B398,ბიუჯეტი!B419)</f>
        <v>0.84745762711864414</v>
      </c>
      <c r="F419" s="1">
        <f t="shared" si="80"/>
        <v>2516.9491525423732</v>
      </c>
      <c r="G419" s="1"/>
      <c r="H419" s="1"/>
      <c r="I419" s="1"/>
      <c r="J419" s="1"/>
      <c r="K419" s="1">
        <f t="shared" si="82"/>
        <v>2516.9491525423732</v>
      </c>
    </row>
    <row r="420" spans="1:11" collapsed="1" x14ac:dyDescent="0.3">
      <c r="A420" s="51">
        <v>39</v>
      </c>
      <c r="B420" s="23" t="s">
        <v>133</v>
      </c>
      <c r="C420" s="4" t="s">
        <v>55</v>
      </c>
      <c r="D420" s="1">
        <f>SUM(D421,D423)</f>
        <v>68</v>
      </c>
      <c r="E420" s="1">
        <f>SUM(K422,K424)/D420</f>
        <v>8.4745762711864412</v>
      </c>
      <c r="F420" s="1">
        <f t="shared" si="80"/>
        <v>576.27118644067798</v>
      </c>
      <c r="G420" s="1">
        <f>8*1.275</f>
        <v>10.199999999999999</v>
      </c>
      <c r="H420" s="1">
        <f>G420*D420</f>
        <v>693.59999999999991</v>
      </c>
      <c r="I420" s="1">
        <v>0</v>
      </c>
      <c r="J420" s="1">
        <v>0</v>
      </c>
      <c r="K420" s="1">
        <f t="shared" si="82"/>
        <v>1269.8711864406778</v>
      </c>
    </row>
    <row r="421" spans="1:11" hidden="1" outlineLevel="1" x14ac:dyDescent="0.3">
      <c r="A421" s="51">
        <v>1</v>
      </c>
      <c r="B421" s="23" t="s">
        <v>134</v>
      </c>
      <c r="C421" s="4" t="s">
        <v>55</v>
      </c>
      <c r="D421" s="1">
        <v>17</v>
      </c>
      <c r="E421" s="1"/>
      <c r="F421" s="1">
        <f t="shared" si="80"/>
        <v>0</v>
      </c>
      <c r="G421" s="1">
        <f>ხელფასი!D25</f>
        <v>15.299999999999999</v>
      </c>
      <c r="H421" s="1">
        <f>G421*D421</f>
        <v>260.09999999999997</v>
      </c>
      <c r="I421" s="1"/>
      <c r="J421" s="1"/>
      <c r="K421" s="1">
        <f t="shared" si="82"/>
        <v>260.09999999999997</v>
      </c>
    </row>
    <row r="422" spans="1:11" hidden="1" outlineLevel="1" x14ac:dyDescent="0.3">
      <c r="A422" s="51"/>
      <c r="B422" s="3" t="s">
        <v>135</v>
      </c>
      <c r="C422" s="4" t="s">
        <v>55</v>
      </c>
      <c r="D422" s="1">
        <f>D421</f>
        <v>17</v>
      </c>
      <c r="E422" s="1">
        <f>მასალა!D54</f>
        <v>8.4745762711864412</v>
      </c>
      <c r="F422" s="1">
        <f t="shared" si="80"/>
        <v>144.06779661016949</v>
      </c>
      <c r="G422" s="1"/>
      <c r="H422" s="1"/>
      <c r="I422" s="1"/>
      <c r="J422" s="1"/>
      <c r="K422" s="1">
        <f t="shared" si="82"/>
        <v>144.06779661016949</v>
      </c>
    </row>
    <row r="423" spans="1:11" hidden="1" outlineLevel="1" x14ac:dyDescent="0.3">
      <c r="A423" s="51">
        <v>2</v>
      </c>
      <c r="B423" s="23" t="s">
        <v>136</v>
      </c>
      <c r="C423" s="4" t="s">
        <v>55</v>
      </c>
      <c r="D423" s="1">
        <f>17*3</f>
        <v>51</v>
      </c>
      <c r="E423" s="1"/>
      <c r="F423" s="1">
        <f t="shared" si="80"/>
        <v>0</v>
      </c>
      <c r="G423" s="1">
        <f>ხელფასი!D25</f>
        <v>15.299999999999999</v>
      </c>
      <c r="H423" s="1">
        <f>G423*D423</f>
        <v>780.3</v>
      </c>
      <c r="I423" s="1"/>
      <c r="J423" s="1"/>
      <c r="K423" s="1">
        <f t="shared" si="82"/>
        <v>780.3</v>
      </c>
    </row>
    <row r="424" spans="1:11" hidden="1" outlineLevel="1" x14ac:dyDescent="0.3">
      <c r="A424" s="51"/>
      <c r="B424" s="3" t="s">
        <v>135</v>
      </c>
      <c r="C424" s="4" t="s">
        <v>55</v>
      </c>
      <c r="D424" s="1">
        <f>D423</f>
        <v>51</v>
      </c>
      <c r="E424" s="1">
        <f>მასალა!D54</f>
        <v>8.4745762711864412</v>
      </c>
      <c r="F424" s="1">
        <f t="shared" si="80"/>
        <v>432.20338983050851</v>
      </c>
      <c r="G424" s="1"/>
      <c r="H424" s="1"/>
      <c r="I424" s="1"/>
      <c r="J424" s="1"/>
      <c r="K424" s="1">
        <f t="shared" si="82"/>
        <v>432.20338983050851</v>
      </c>
    </row>
    <row r="425" spans="1:11" collapsed="1" x14ac:dyDescent="0.3">
      <c r="A425" s="65">
        <v>40</v>
      </c>
      <c r="B425" s="66" t="s">
        <v>137</v>
      </c>
      <c r="C425" s="67" t="s">
        <v>55</v>
      </c>
      <c r="D425" s="68">
        <f>D426+D428+D430</f>
        <v>87</v>
      </c>
      <c r="E425" s="68">
        <f>SUM(F426:F430)/D425</f>
        <v>22.501461133839861</v>
      </c>
      <c r="F425" s="68">
        <f t="shared" si="80"/>
        <v>1957.6271186440679</v>
      </c>
      <c r="G425" s="68">
        <f>ხელფასი!D26</f>
        <v>57.374999999999993</v>
      </c>
      <c r="H425" s="68">
        <f>G425*D425</f>
        <v>4991.6249999999991</v>
      </c>
      <c r="I425" s="68">
        <v>0</v>
      </c>
      <c r="J425" s="68">
        <v>0</v>
      </c>
      <c r="K425" s="1">
        <f t="shared" si="82"/>
        <v>6949.2521186440672</v>
      </c>
    </row>
    <row r="426" spans="1:11" hidden="1" outlineLevel="1" x14ac:dyDescent="0.3">
      <c r="A426" s="51">
        <v>2</v>
      </c>
      <c r="B426" s="23" t="s">
        <v>347</v>
      </c>
      <c r="C426" s="4" t="s">
        <v>55</v>
      </c>
      <c r="D426" s="1">
        <v>24</v>
      </c>
      <c r="E426" s="1"/>
      <c r="F426" s="1">
        <f t="shared" si="80"/>
        <v>0</v>
      </c>
      <c r="G426" s="68">
        <f>ხელფასი!D26</f>
        <v>57.374999999999993</v>
      </c>
      <c r="H426" s="1">
        <f>G426*D426</f>
        <v>1376.9999999999998</v>
      </c>
      <c r="I426" s="1"/>
      <c r="J426" s="1"/>
      <c r="K426" s="1">
        <f t="shared" si="82"/>
        <v>1376.9999999999998</v>
      </c>
    </row>
    <row r="427" spans="1:11" hidden="1" outlineLevel="1" x14ac:dyDescent="0.3">
      <c r="A427" s="51"/>
      <c r="B427" s="3" t="s">
        <v>135</v>
      </c>
      <c r="C427" s="4" t="s">
        <v>55</v>
      </c>
      <c r="D427" s="1">
        <f>D426</f>
        <v>24</v>
      </c>
      <c r="E427" s="1">
        <f>მასალა!D55</f>
        <v>46.610169491525426</v>
      </c>
      <c r="F427" s="1">
        <f t="shared" si="80"/>
        <v>1118.6440677966102</v>
      </c>
      <c r="G427" s="1"/>
      <c r="H427" s="1">
        <f>D427*G427</f>
        <v>0</v>
      </c>
      <c r="I427" s="1"/>
      <c r="J427" s="1"/>
      <c r="K427" s="1">
        <f t="shared" si="82"/>
        <v>1118.6440677966102</v>
      </c>
    </row>
    <row r="428" spans="1:11" hidden="1" outlineLevel="1" x14ac:dyDescent="0.3">
      <c r="A428" s="51">
        <v>3</v>
      </c>
      <c r="B428" s="23" t="s">
        <v>134</v>
      </c>
      <c r="C428" s="4" t="s">
        <v>55</v>
      </c>
      <c r="D428" s="1">
        <v>18</v>
      </c>
      <c r="E428" s="1"/>
      <c r="F428" s="1">
        <f t="shared" si="80"/>
        <v>0</v>
      </c>
      <c r="G428" s="68">
        <f>ხელფასი!D26</f>
        <v>57.374999999999993</v>
      </c>
      <c r="H428" s="1">
        <f>G428*D428</f>
        <v>1032.7499999999998</v>
      </c>
      <c r="I428" s="1"/>
      <c r="J428" s="1"/>
      <c r="K428" s="1">
        <f t="shared" si="82"/>
        <v>1032.7499999999998</v>
      </c>
    </row>
    <row r="429" spans="1:11" hidden="1" outlineLevel="1" x14ac:dyDescent="0.3">
      <c r="A429" s="51"/>
      <c r="B429" s="3" t="s">
        <v>135</v>
      </c>
      <c r="C429" s="4" t="s">
        <v>55</v>
      </c>
      <c r="D429" s="1">
        <f>D428</f>
        <v>18</v>
      </c>
      <c r="E429" s="1">
        <f>მასალა!D55</f>
        <v>46.610169491525426</v>
      </c>
      <c r="F429" s="1">
        <f t="shared" si="80"/>
        <v>838.98305084745766</v>
      </c>
      <c r="G429" s="1"/>
      <c r="H429" s="1">
        <f>D429*G429</f>
        <v>0</v>
      </c>
      <c r="I429" s="1"/>
      <c r="J429" s="1"/>
      <c r="K429" s="1">
        <f t="shared" si="82"/>
        <v>838.98305084745766</v>
      </c>
    </row>
    <row r="430" spans="1:11" hidden="1" outlineLevel="1" x14ac:dyDescent="0.3">
      <c r="A430" s="51">
        <v>4</v>
      </c>
      <c r="B430" s="23" t="s">
        <v>136</v>
      </c>
      <c r="C430" s="4" t="s">
        <v>55</v>
      </c>
      <c r="D430" s="1">
        <f>15*3</f>
        <v>45</v>
      </c>
      <c r="E430" s="1"/>
      <c r="F430" s="1">
        <f t="shared" si="80"/>
        <v>0</v>
      </c>
      <c r="G430" s="68">
        <f>ხელფასი!D26</f>
        <v>57.374999999999993</v>
      </c>
      <c r="H430" s="1">
        <f>G430*D430</f>
        <v>2581.8749999999995</v>
      </c>
      <c r="I430" s="1"/>
      <c r="J430" s="1"/>
      <c r="K430" s="1">
        <f t="shared" si="82"/>
        <v>2581.8749999999995</v>
      </c>
    </row>
    <row r="431" spans="1:11" hidden="1" outlineLevel="1" x14ac:dyDescent="0.3">
      <c r="A431" s="51"/>
      <c r="B431" s="3" t="s">
        <v>135</v>
      </c>
      <c r="C431" s="4" t="s">
        <v>55</v>
      </c>
      <c r="D431" s="1">
        <f>D430</f>
        <v>45</v>
      </c>
      <c r="E431" s="1">
        <f>მასალა!D55</f>
        <v>46.610169491525426</v>
      </c>
      <c r="F431" s="1">
        <f t="shared" si="80"/>
        <v>2097.4576271186443</v>
      </c>
      <c r="G431" s="1"/>
      <c r="H431" s="1">
        <f>D431*G431</f>
        <v>0</v>
      </c>
      <c r="I431" s="1"/>
      <c r="J431" s="1"/>
      <c r="K431" s="1">
        <f t="shared" si="82"/>
        <v>2097.4576271186443</v>
      </c>
    </row>
    <row r="432" spans="1:11" collapsed="1" x14ac:dyDescent="0.3">
      <c r="A432" s="65">
        <v>41</v>
      </c>
      <c r="B432" s="66" t="s">
        <v>138</v>
      </c>
      <c r="C432" s="67" t="s">
        <v>55</v>
      </c>
      <c r="D432" s="68">
        <f>D433+D438+D443</f>
        <v>92</v>
      </c>
      <c r="E432" s="68">
        <v>0</v>
      </c>
      <c r="F432" s="68">
        <f t="shared" si="80"/>
        <v>0</v>
      </c>
      <c r="G432" s="68">
        <f>ხელფასი!D27</f>
        <v>57.374999999999993</v>
      </c>
      <c r="H432" s="68">
        <f>G432*D432</f>
        <v>5278.4999999999991</v>
      </c>
      <c r="I432" s="68">
        <v>0</v>
      </c>
      <c r="J432" s="68">
        <v>0</v>
      </c>
      <c r="K432" s="1">
        <f t="shared" si="82"/>
        <v>5278.4999999999991</v>
      </c>
    </row>
    <row r="433" spans="1:11" hidden="1" outlineLevel="1" x14ac:dyDescent="0.3">
      <c r="A433" s="51">
        <v>2</v>
      </c>
      <c r="B433" s="23" t="s">
        <v>350</v>
      </c>
      <c r="C433" s="4" t="s">
        <v>55</v>
      </c>
      <c r="D433" s="1">
        <f>16*3</f>
        <v>48</v>
      </c>
      <c r="E433" s="1"/>
      <c r="F433" s="1">
        <f t="shared" si="80"/>
        <v>0</v>
      </c>
      <c r="G433" s="1">
        <f>ხელფასი!D27</f>
        <v>57.374999999999993</v>
      </c>
      <c r="H433" s="1">
        <f>G433*D433</f>
        <v>2753.9999999999995</v>
      </c>
      <c r="I433" s="1"/>
      <c r="J433" s="1"/>
      <c r="K433" s="1">
        <f t="shared" si="82"/>
        <v>2753.9999999999995</v>
      </c>
    </row>
    <row r="434" spans="1:11" hidden="1" outlineLevel="1" x14ac:dyDescent="0.3">
      <c r="A434" s="51"/>
      <c r="B434" s="3" t="s">
        <v>349</v>
      </c>
      <c r="C434" s="4" t="s">
        <v>40</v>
      </c>
      <c r="D434" s="1">
        <f>D433*45</f>
        <v>2160</v>
      </c>
      <c r="E434" s="1">
        <f>მასალა!D58</f>
        <v>4.9152542372881358</v>
      </c>
      <c r="F434" s="1">
        <f t="shared" ref="F434:F476" si="83">D434*E434</f>
        <v>10616.949152542373</v>
      </c>
      <c r="G434" s="1"/>
      <c r="H434" s="1"/>
      <c r="I434" s="1"/>
      <c r="J434" s="1"/>
      <c r="K434" s="1">
        <f t="shared" si="82"/>
        <v>10616.949152542373</v>
      </c>
    </row>
    <row r="435" spans="1:11" hidden="1" outlineLevel="1" x14ac:dyDescent="0.3">
      <c r="A435" s="51"/>
      <c r="B435" s="3" t="s">
        <v>140</v>
      </c>
      <c r="C435" s="4" t="s">
        <v>40</v>
      </c>
      <c r="D435" s="1">
        <v>0</v>
      </c>
      <c r="E435" s="1">
        <v>0</v>
      </c>
      <c r="F435" s="1">
        <f t="shared" si="83"/>
        <v>0</v>
      </c>
      <c r="G435" s="1"/>
      <c r="H435" s="1"/>
      <c r="I435" s="1"/>
      <c r="J435" s="1"/>
      <c r="K435" s="1">
        <f t="shared" si="82"/>
        <v>0</v>
      </c>
    </row>
    <row r="436" spans="1:11" hidden="1" outlineLevel="1" x14ac:dyDescent="0.3">
      <c r="A436" s="51"/>
      <c r="B436" s="3" t="s">
        <v>131</v>
      </c>
      <c r="C436" s="4" t="s">
        <v>40</v>
      </c>
      <c r="D436" s="1">
        <v>140</v>
      </c>
      <c r="E436" s="1">
        <f>მასალა!D52</f>
        <v>1.1016949152542375</v>
      </c>
      <c r="F436" s="1">
        <f t="shared" si="83"/>
        <v>154.23728813559325</v>
      </c>
      <c r="G436" s="1"/>
      <c r="H436" s="1"/>
      <c r="I436" s="1"/>
      <c r="J436" s="1"/>
      <c r="K436" s="1">
        <f t="shared" si="82"/>
        <v>154.23728813559325</v>
      </c>
    </row>
    <row r="437" spans="1:11" hidden="1" outlineLevel="1" x14ac:dyDescent="0.3">
      <c r="A437" s="51"/>
      <c r="B437" s="3" t="s">
        <v>391</v>
      </c>
      <c r="C437" s="4" t="s">
        <v>40</v>
      </c>
      <c r="D437" s="1">
        <f>D433</f>
        <v>48</v>
      </c>
      <c r="E437" s="1">
        <f>SUMIFS(მასალა!D3:D416,მასალა!B3:B416,ბიუჯეტი!B437)</f>
        <v>6.7796610169491531</v>
      </c>
      <c r="F437" s="1">
        <f t="shared" si="83"/>
        <v>325.42372881355936</v>
      </c>
      <c r="G437" s="1"/>
      <c r="H437" s="1"/>
      <c r="I437" s="1"/>
      <c r="J437" s="1"/>
      <c r="K437" s="1">
        <f t="shared" si="82"/>
        <v>325.42372881355936</v>
      </c>
    </row>
    <row r="438" spans="1:11" hidden="1" outlineLevel="1" x14ac:dyDescent="0.3">
      <c r="A438" s="51">
        <v>3</v>
      </c>
      <c r="B438" s="23" t="s">
        <v>128</v>
      </c>
      <c r="C438" s="4" t="s">
        <v>55</v>
      </c>
      <c r="D438" s="1">
        <v>11</v>
      </c>
      <c r="E438" s="1"/>
      <c r="F438" s="1">
        <f t="shared" si="83"/>
        <v>0</v>
      </c>
      <c r="G438" s="1">
        <f>ხელფასი!D27</f>
        <v>57.374999999999993</v>
      </c>
      <c r="H438" s="1">
        <f>G438*D438</f>
        <v>631.12499999999989</v>
      </c>
      <c r="I438" s="1"/>
      <c r="J438" s="1"/>
      <c r="K438" s="1">
        <f t="shared" si="82"/>
        <v>631.12499999999989</v>
      </c>
    </row>
    <row r="439" spans="1:11" hidden="1" outlineLevel="1" x14ac:dyDescent="0.3">
      <c r="A439" s="51"/>
      <c r="B439" s="3" t="s">
        <v>139</v>
      </c>
      <c r="C439" s="4" t="s">
        <v>40</v>
      </c>
      <c r="D439" s="1">
        <f>D438*30</f>
        <v>330</v>
      </c>
      <c r="E439" s="1">
        <f>მასალა!D57</f>
        <v>8.0508474576271194</v>
      </c>
      <c r="F439" s="1">
        <f t="shared" si="83"/>
        <v>2656.7796610169494</v>
      </c>
      <c r="G439" s="1"/>
      <c r="H439" s="1"/>
      <c r="I439" s="1"/>
      <c r="J439" s="1"/>
      <c r="K439" s="1">
        <f t="shared" si="82"/>
        <v>2656.7796610169494</v>
      </c>
    </row>
    <row r="440" spans="1:11" hidden="1" outlineLevel="1" x14ac:dyDescent="0.3">
      <c r="A440" s="51"/>
      <c r="B440" s="3" t="s">
        <v>351</v>
      </c>
      <c r="C440" s="4" t="s">
        <v>55</v>
      </c>
      <c r="D440" s="1">
        <f>D441/0.6</f>
        <v>166.66666666666669</v>
      </c>
      <c r="E440" s="1">
        <f>მასალა!D60</f>
        <v>1.6949152542372883</v>
      </c>
      <c r="F440" s="1">
        <f t="shared" si="83"/>
        <v>282.48587570621476</v>
      </c>
      <c r="G440" s="1"/>
      <c r="H440" s="1"/>
      <c r="I440" s="1"/>
      <c r="J440" s="1"/>
      <c r="K440" s="1">
        <f t="shared" si="82"/>
        <v>282.48587570621476</v>
      </c>
    </row>
    <row r="441" spans="1:11" hidden="1" outlineLevel="1" x14ac:dyDescent="0.3">
      <c r="A441" s="51"/>
      <c r="B441" s="3" t="s">
        <v>194</v>
      </c>
      <c r="C441" s="4" t="s">
        <v>40</v>
      </c>
      <c r="D441" s="1">
        <v>100</v>
      </c>
      <c r="E441" s="1">
        <f>მასალა!D59</f>
        <v>6.3559322033898304</v>
      </c>
      <c r="F441" s="1">
        <f t="shared" si="83"/>
        <v>635.59322033898309</v>
      </c>
      <c r="G441" s="1"/>
      <c r="H441" s="1"/>
      <c r="I441" s="1"/>
      <c r="J441" s="1"/>
      <c r="K441" s="1">
        <f t="shared" si="82"/>
        <v>635.59322033898309</v>
      </c>
    </row>
    <row r="442" spans="1:11" hidden="1" outlineLevel="1" x14ac:dyDescent="0.3">
      <c r="A442" s="51"/>
      <c r="B442" s="3" t="s">
        <v>391</v>
      </c>
      <c r="C442" s="4" t="s">
        <v>55</v>
      </c>
      <c r="D442" s="1">
        <v>60</v>
      </c>
      <c r="E442" s="1">
        <f>SUMIFS(მასალა!D3:D421,მასალა!B3:B421,ბიუჯეტი!B442)</f>
        <v>6.7796610169491531</v>
      </c>
      <c r="F442" s="1">
        <f t="shared" si="83"/>
        <v>406.77966101694921</v>
      </c>
      <c r="G442" s="1"/>
      <c r="H442" s="1"/>
      <c r="I442" s="1"/>
      <c r="J442" s="1"/>
      <c r="K442" s="1">
        <f t="shared" si="82"/>
        <v>406.77966101694921</v>
      </c>
    </row>
    <row r="443" spans="1:11" hidden="1" outlineLevel="1" x14ac:dyDescent="0.3">
      <c r="A443" s="51">
        <v>4</v>
      </c>
      <c r="B443" s="23" t="s">
        <v>348</v>
      </c>
      <c r="C443" s="4" t="s">
        <v>55</v>
      </c>
      <c r="D443" s="1">
        <f>11*3</f>
        <v>33</v>
      </c>
      <c r="E443" s="1"/>
      <c r="F443" s="1">
        <f t="shared" si="83"/>
        <v>0</v>
      </c>
      <c r="G443" s="1">
        <f>ხელფასი!D27</f>
        <v>57.374999999999993</v>
      </c>
      <c r="H443" s="1">
        <f>G443*D443</f>
        <v>1893.3749999999998</v>
      </c>
      <c r="I443" s="1"/>
      <c r="J443" s="1"/>
      <c r="K443" s="1">
        <f t="shared" si="82"/>
        <v>1893.3749999999998</v>
      </c>
    </row>
    <row r="444" spans="1:11" hidden="1" outlineLevel="1" x14ac:dyDescent="0.3">
      <c r="A444" s="51"/>
      <c r="B444" s="3" t="s">
        <v>139</v>
      </c>
      <c r="C444" s="4" t="s">
        <v>40</v>
      </c>
      <c r="D444" s="1">
        <f>D443*35</f>
        <v>1155</v>
      </c>
      <c r="E444" s="1">
        <f>მასალა!D57</f>
        <v>8.0508474576271194</v>
      </c>
      <c r="F444" s="1">
        <f t="shared" si="83"/>
        <v>9298.7288135593226</v>
      </c>
      <c r="G444" s="1"/>
      <c r="H444" s="1"/>
      <c r="I444" s="1"/>
      <c r="J444" s="1"/>
      <c r="K444" s="1">
        <f t="shared" si="82"/>
        <v>9298.7288135593226</v>
      </c>
    </row>
    <row r="445" spans="1:11" hidden="1" outlineLevel="1" x14ac:dyDescent="0.3">
      <c r="A445" s="51"/>
      <c r="B445" s="3" t="s">
        <v>351</v>
      </c>
      <c r="C445" s="4" t="s">
        <v>55</v>
      </c>
      <c r="D445" s="1">
        <f>D446/0.6</f>
        <v>500</v>
      </c>
      <c r="E445" s="1">
        <f>მასალა!D60</f>
        <v>1.6949152542372883</v>
      </c>
      <c r="F445" s="1">
        <f t="shared" si="83"/>
        <v>847.45762711864415</v>
      </c>
      <c r="G445" s="1"/>
      <c r="H445" s="1"/>
      <c r="I445" s="1"/>
      <c r="J445" s="1"/>
      <c r="K445" s="1">
        <f t="shared" si="82"/>
        <v>847.45762711864415</v>
      </c>
    </row>
    <row r="446" spans="1:11" hidden="1" outlineLevel="1" x14ac:dyDescent="0.3">
      <c r="A446" s="51"/>
      <c r="B446" s="3" t="s">
        <v>194</v>
      </c>
      <c r="C446" s="4" t="s">
        <v>40</v>
      </c>
      <c r="D446" s="1">
        <v>300</v>
      </c>
      <c r="E446" s="1">
        <f>მასალა!D59</f>
        <v>6.3559322033898304</v>
      </c>
      <c r="F446" s="1">
        <f t="shared" si="83"/>
        <v>1906.7796610169491</v>
      </c>
      <c r="G446" s="1"/>
      <c r="H446" s="1"/>
      <c r="I446" s="1"/>
      <c r="J446" s="1"/>
      <c r="K446" s="1">
        <f t="shared" si="82"/>
        <v>1906.7796610169491</v>
      </c>
    </row>
    <row r="447" spans="1:11" hidden="1" outlineLevel="1" x14ac:dyDescent="0.3">
      <c r="A447" s="51"/>
      <c r="B447" s="3" t="s">
        <v>391</v>
      </c>
      <c r="C447" s="4" t="s">
        <v>55</v>
      </c>
      <c r="D447" s="1">
        <f>D443</f>
        <v>33</v>
      </c>
      <c r="E447" s="1">
        <f>SUMIFS(მასალა!D3:D426,მასალა!B3:B426,ბიუჯეტი!B447)</f>
        <v>6.7796610169491531</v>
      </c>
      <c r="F447" s="1">
        <f t="shared" si="83"/>
        <v>223.72881355932205</v>
      </c>
      <c r="G447" s="1"/>
      <c r="H447" s="1"/>
      <c r="I447" s="1"/>
      <c r="J447" s="1"/>
      <c r="K447" s="1">
        <f t="shared" si="82"/>
        <v>223.72881355932205</v>
      </c>
    </row>
    <row r="448" spans="1:11" collapsed="1" x14ac:dyDescent="0.3">
      <c r="A448" s="51">
        <v>42</v>
      </c>
      <c r="B448" s="23" t="s">
        <v>141</v>
      </c>
      <c r="C448" s="4" t="s">
        <v>40</v>
      </c>
      <c r="D448" s="1">
        <f>SUM(D449,D452,D455,D458,)</f>
        <v>51</v>
      </c>
      <c r="E448" s="1">
        <f>SUM(K450:K451,K453:K454,K456:K457,K459:K460,)/D448</f>
        <v>8.6440677966101696</v>
      </c>
      <c r="F448" s="1">
        <f t="shared" si="83"/>
        <v>440.84745762711867</v>
      </c>
      <c r="G448" s="1">
        <f>SUM(H449:H460)/D448</f>
        <v>25.5</v>
      </c>
      <c r="H448" s="1">
        <f>G448*D448</f>
        <v>1300.5</v>
      </c>
      <c r="I448" s="1">
        <v>0</v>
      </c>
      <c r="J448" s="1">
        <v>0</v>
      </c>
      <c r="K448" s="1">
        <f t="shared" si="82"/>
        <v>1741.3474576271187</v>
      </c>
    </row>
    <row r="449" spans="1:11" hidden="1" outlineLevel="1" x14ac:dyDescent="0.3">
      <c r="A449" s="51">
        <v>2</v>
      </c>
      <c r="B449" s="23" t="s">
        <v>355</v>
      </c>
      <c r="C449" s="4" t="s">
        <v>40</v>
      </c>
      <c r="D449" s="1">
        <v>0</v>
      </c>
      <c r="E449" s="1"/>
      <c r="F449" s="1">
        <f t="shared" si="83"/>
        <v>0</v>
      </c>
      <c r="G449" s="1">
        <f>ხელფასი!D29</f>
        <v>25.5</v>
      </c>
      <c r="H449" s="1">
        <f>D449*G449</f>
        <v>0</v>
      </c>
      <c r="I449" s="1"/>
      <c r="J449" s="1"/>
      <c r="K449" s="1">
        <f t="shared" si="82"/>
        <v>0</v>
      </c>
    </row>
    <row r="450" spans="1:11" hidden="1" outlineLevel="1" x14ac:dyDescent="0.3">
      <c r="A450" s="51"/>
      <c r="B450" s="3" t="s">
        <v>142</v>
      </c>
      <c r="C450" s="4" t="s">
        <v>40</v>
      </c>
      <c r="D450" s="1">
        <f>D449</f>
        <v>0</v>
      </c>
      <c r="E450" s="1">
        <f>მასალა!D63</f>
        <v>2.2881355932203391</v>
      </c>
      <c r="F450" s="1">
        <f t="shared" si="83"/>
        <v>0</v>
      </c>
      <c r="G450" s="1"/>
      <c r="H450" s="1"/>
      <c r="I450" s="1"/>
      <c r="J450" s="1"/>
      <c r="K450" s="1">
        <f t="shared" si="82"/>
        <v>0</v>
      </c>
    </row>
    <row r="451" spans="1:11" hidden="1" outlineLevel="1" x14ac:dyDescent="0.3">
      <c r="A451" s="51"/>
      <c r="B451" s="3" t="s">
        <v>392</v>
      </c>
      <c r="C451" s="4" t="s">
        <v>40</v>
      </c>
      <c r="D451" s="1">
        <f>D449</f>
        <v>0</v>
      </c>
      <c r="E451" s="1">
        <f>SUMIFS(მასალა!D7:D430,მასალა!B7:B430,ბიუჯეტი!B451)</f>
        <v>4.2372881355932206</v>
      </c>
      <c r="F451" s="1">
        <f t="shared" si="83"/>
        <v>0</v>
      </c>
      <c r="G451" s="1"/>
      <c r="H451" s="1"/>
      <c r="I451" s="1"/>
      <c r="J451" s="1"/>
      <c r="K451" s="1">
        <f t="shared" si="82"/>
        <v>0</v>
      </c>
    </row>
    <row r="452" spans="1:11" hidden="1" outlineLevel="1" x14ac:dyDescent="0.3">
      <c r="A452" s="51">
        <v>3</v>
      </c>
      <c r="B452" s="23" t="s">
        <v>143</v>
      </c>
      <c r="C452" s="4" t="s">
        <v>40</v>
      </c>
      <c r="D452" s="1">
        <f>4.5*3</f>
        <v>13.5</v>
      </c>
      <c r="E452" s="1"/>
      <c r="F452" s="1">
        <f t="shared" si="83"/>
        <v>0</v>
      </c>
      <c r="G452" s="1">
        <f>ხელფასი!D29</f>
        <v>25.5</v>
      </c>
      <c r="H452" s="1">
        <f>D452*G452</f>
        <v>344.25</v>
      </c>
      <c r="I452" s="1"/>
      <c r="J452" s="1"/>
      <c r="K452" s="1">
        <f t="shared" si="82"/>
        <v>344.25</v>
      </c>
    </row>
    <row r="453" spans="1:11" hidden="1" outlineLevel="1" x14ac:dyDescent="0.3">
      <c r="A453" s="51"/>
      <c r="B453" s="3" t="s">
        <v>142</v>
      </c>
      <c r="C453" s="4" t="s">
        <v>40</v>
      </c>
      <c r="D453" s="1">
        <f>D452</f>
        <v>13.5</v>
      </c>
      <c r="E453" s="1">
        <f>მასალა!D64</f>
        <v>4.4067796610169498</v>
      </c>
      <c r="F453" s="1">
        <f t="shared" si="83"/>
        <v>59.491525423728824</v>
      </c>
      <c r="G453" s="1"/>
      <c r="H453" s="1"/>
      <c r="I453" s="1"/>
      <c r="J453" s="1"/>
      <c r="K453" s="1">
        <f t="shared" si="82"/>
        <v>59.491525423728824</v>
      </c>
    </row>
    <row r="454" spans="1:11" hidden="1" outlineLevel="1" x14ac:dyDescent="0.3">
      <c r="A454" s="51"/>
      <c r="B454" s="3" t="s">
        <v>392</v>
      </c>
      <c r="C454" s="4" t="s">
        <v>40</v>
      </c>
      <c r="D454" s="1">
        <f>D452</f>
        <v>13.5</v>
      </c>
      <c r="E454" s="1">
        <f>SUMIFS(მასალა!D10:D433,მასალა!B10:B433,ბიუჯეტი!B454)</f>
        <v>4.2372881355932206</v>
      </c>
      <c r="F454" s="1">
        <f t="shared" si="83"/>
        <v>57.203389830508478</v>
      </c>
      <c r="G454" s="1"/>
      <c r="H454" s="1"/>
      <c r="I454" s="1"/>
      <c r="J454" s="1"/>
      <c r="K454" s="1">
        <f t="shared" si="82"/>
        <v>57.203389830508478</v>
      </c>
    </row>
    <row r="455" spans="1:11" hidden="1" outlineLevel="1" x14ac:dyDescent="0.3">
      <c r="A455" s="51">
        <v>4</v>
      </c>
      <c r="B455" s="23" t="s">
        <v>422</v>
      </c>
      <c r="C455" s="4" t="s">
        <v>40</v>
      </c>
      <c r="D455" s="1">
        <f>4.5*3</f>
        <v>13.5</v>
      </c>
      <c r="E455" s="1"/>
      <c r="F455" s="1">
        <f t="shared" si="83"/>
        <v>0</v>
      </c>
      <c r="G455" s="1">
        <f>ხელფასი!D29</f>
        <v>25.5</v>
      </c>
      <c r="H455" s="1">
        <f>D455*G455</f>
        <v>344.25</v>
      </c>
      <c r="I455" s="1"/>
      <c r="J455" s="1"/>
      <c r="K455" s="1">
        <f t="shared" si="82"/>
        <v>344.25</v>
      </c>
    </row>
    <row r="456" spans="1:11" hidden="1" outlineLevel="1" x14ac:dyDescent="0.3">
      <c r="A456" s="51"/>
      <c r="B456" s="3" t="s">
        <v>142</v>
      </c>
      <c r="C456" s="4" t="s">
        <v>40</v>
      </c>
      <c r="D456" s="1">
        <f>D455</f>
        <v>13.5</v>
      </c>
      <c r="E456" s="1">
        <f>მასალა!D64</f>
        <v>4.4067796610169498</v>
      </c>
      <c r="F456" s="1">
        <f t="shared" si="83"/>
        <v>59.491525423728824</v>
      </c>
      <c r="G456" s="1"/>
      <c r="H456" s="1"/>
      <c r="I456" s="1"/>
      <c r="J456" s="1"/>
      <c r="K456" s="1">
        <f t="shared" si="82"/>
        <v>59.491525423728824</v>
      </c>
    </row>
    <row r="457" spans="1:11" hidden="1" outlineLevel="1" x14ac:dyDescent="0.3">
      <c r="A457" s="51"/>
      <c r="B457" s="3" t="s">
        <v>392</v>
      </c>
      <c r="C457" s="4" t="s">
        <v>40</v>
      </c>
      <c r="D457" s="1">
        <f>D455</f>
        <v>13.5</v>
      </c>
      <c r="E457" s="1">
        <f>SUMIFS(მასალა!D12:D436,მასალა!B12:B436,ბიუჯეტი!B457)</f>
        <v>4.2372881355932206</v>
      </c>
      <c r="F457" s="1">
        <f t="shared" si="83"/>
        <v>57.203389830508478</v>
      </c>
      <c r="G457" s="1"/>
      <c r="H457" s="1"/>
      <c r="I457" s="1"/>
      <c r="J457" s="1"/>
      <c r="K457" s="1">
        <f t="shared" si="82"/>
        <v>57.203389830508478</v>
      </c>
    </row>
    <row r="458" spans="1:11" hidden="1" outlineLevel="1" x14ac:dyDescent="0.3">
      <c r="A458" s="51">
        <v>9</v>
      </c>
      <c r="B458" s="23" t="s">
        <v>423</v>
      </c>
      <c r="C458" s="4" t="s">
        <v>40</v>
      </c>
      <c r="D458" s="1">
        <f>8*3</f>
        <v>24</v>
      </c>
      <c r="E458" s="1"/>
      <c r="F458" s="1">
        <f t="shared" si="83"/>
        <v>0</v>
      </c>
      <c r="G458" s="1">
        <f>ხელფასი!D29</f>
        <v>25.5</v>
      </c>
      <c r="H458" s="1">
        <f>D458*G458</f>
        <v>612</v>
      </c>
      <c r="I458" s="1"/>
      <c r="J458" s="1"/>
      <c r="K458" s="1">
        <f t="shared" si="82"/>
        <v>612</v>
      </c>
    </row>
    <row r="459" spans="1:11" hidden="1" outlineLevel="1" x14ac:dyDescent="0.3">
      <c r="A459" s="51"/>
      <c r="B459" s="3" t="s">
        <v>142</v>
      </c>
      <c r="C459" s="4" t="s">
        <v>40</v>
      </c>
      <c r="D459" s="1">
        <f>D458</f>
        <v>24</v>
      </c>
      <c r="E459" s="1">
        <f>მასალა!D64</f>
        <v>4.4067796610169498</v>
      </c>
      <c r="F459" s="1">
        <f t="shared" si="83"/>
        <v>105.7627118644068</v>
      </c>
      <c r="G459" s="1"/>
      <c r="H459" s="1"/>
      <c r="I459" s="1"/>
      <c r="J459" s="1"/>
      <c r="K459" s="1">
        <f t="shared" si="82"/>
        <v>105.7627118644068</v>
      </c>
    </row>
    <row r="460" spans="1:11" hidden="1" outlineLevel="1" x14ac:dyDescent="0.3">
      <c r="A460" s="51"/>
      <c r="B460" s="3" t="s">
        <v>392</v>
      </c>
      <c r="C460" s="4" t="s">
        <v>40</v>
      </c>
      <c r="D460" s="1">
        <f>D458</f>
        <v>24</v>
      </c>
      <c r="E460" s="1">
        <f>SUMIFS(მასალა!D15:D439,მასალა!B15:B439,ბიუჯეტი!B460)</f>
        <v>4.2372881355932206</v>
      </c>
      <c r="F460" s="1">
        <f t="shared" si="83"/>
        <v>101.69491525423729</v>
      </c>
      <c r="G460" s="1"/>
      <c r="H460" s="1"/>
      <c r="I460" s="1"/>
      <c r="J460" s="1"/>
      <c r="K460" s="1">
        <f t="shared" si="82"/>
        <v>101.69491525423729</v>
      </c>
    </row>
    <row r="461" spans="1:11" collapsed="1" x14ac:dyDescent="0.3">
      <c r="A461" s="65">
        <v>43</v>
      </c>
      <c r="B461" s="66" t="s">
        <v>343</v>
      </c>
      <c r="C461" s="67" t="s">
        <v>40</v>
      </c>
      <c r="D461" s="68">
        <f>D462</f>
        <v>0</v>
      </c>
      <c r="E461" s="68">
        <v>0</v>
      </c>
      <c r="F461" s="68">
        <f>D461*E461</f>
        <v>0</v>
      </c>
      <c r="G461" s="1">
        <f>ხელფასი!D39</f>
        <v>63.749999999999993</v>
      </c>
      <c r="H461" s="68">
        <f>G461*D461</f>
        <v>0</v>
      </c>
      <c r="I461" s="68">
        <v>0</v>
      </c>
      <c r="J461" s="68">
        <v>0</v>
      </c>
      <c r="K461" s="1">
        <f t="shared" si="82"/>
        <v>0</v>
      </c>
    </row>
    <row r="462" spans="1:11" hidden="1" outlineLevel="1" x14ac:dyDescent="0.3">
      <c r="A462" s="51">
        <v>1</v>
      </c>
      <c r="B462" s="66" t="s">
        <v>343</v>
      </c>
      <c r="C462" s="67" t="s">
        <v>40</v>
      </c>
      <c r="D462" s="1">
        <v>0</v>
      </c>
      <c r="E462" s="1"/>
      <c r="F462" s="1">
        <f>D462*E462</f>
        <v>0</v>
      </c>
      <c r="G462" s="1">
        <f>ხელფასი!D39</f>
        <v>63.749999999999993</v>
      </c>
      <c r="H462" s="1">
        <f>D462*G462</f>
        <v>0</v>
      </c>
      <c r="I462" s="1"/>
      <c r="J462" s="1"/>
      <c r="K462" s="1">
        <f t="shared" si="82"/>
        <v>0</v>
      </c>
    </row>
    <row r="463" spans="1:11" hidden="1" outlineLevel="1" x14ac:dyDescent="0.3">
      <c r="A463" s="51"/>
      <c r="B463" s="3" t="s">
        <v>344</v>
      </c>
      <c r="C463" s="4" t="s">
        <v>49</v>
      </c>
      <c r="D463" s="1">
        <f>D462</f>
        <v>0</v>
      </c>
      <c r="E463" s="1">
        <f>მასალა!D90</f>
        <v>50.847457627118644</v>
      </c>
      <c r="F463" s="1">
        <f>D463*E463</f>
        <v>0</v>
      </c>
      <c r="G463" s="1"/>
      <c r="H463" s="1"/>
      <c r="I463" s="1"/>
      <c r="J463" s="1"/>
      <c r="K463" s="1">
        <f t="shared" si="82"/>
        <v>0</v>
      </c>
    </row>
    <row r="464" spans="1:11" hidden="1" outlineLevel="1" x14ac:dyDescent="0.3">
      <c r="A464" s="51"/>
      <c r="B464" s="3" t="s">
        <v>345</v>
      </c>
      <c r="C464" s="4" t="s">
        <v>9</v>
      </c>
      <c r="D464" s="1">
        <f>D462*0.4*0.2</f>
        <v>0</v>
      </c>
      <c r="E464" s="1">
        <f>მასალა!D6</f>
        <v>219.49152542372883</v>
      </c>
      <c r="F464" s="1">
        <f>D464*E464</f>
        <v>0</v>
      </c>
      <c r="G464" s="1"/>
      <c r="H464" s="1"/>
      <c r="I464" s="1"/>
      <c r="J464" s="1"/>
      <c r="K464" s="1">
        <f t="shared" si="82"/>
        <v>0</v>
      </c>
    </row>
    <row r="465" spans="1:11" hidden="1" outlineLevel="1" x14ac:dyDescent="0.3">
      <c r="A465" s="51"/>
      <c r="B465" s="3" t="s">
        <v>14</v>
      </c>
      <c r="C465" s="4" t="s">
        <v>49</v>
      </c>
      <c r="D465" s="1">
        <f>D462</f>
        <v>0</v>
      </c>
      <c r="E465" s="1">
        <f>მასალა!D111</f>
        <v>4.2372881355932206</v>
      </c>
      <c r="F465" s="1">
        <f>D465*E465</f>
        <v>0</v>
      </c>
      <c r="G465" s="1"/>
      <c r="H465" s="1"/>
      <c r="I465" s="1"/>
      <c r="J465" s="1"/>
      <c r="K465" s="1">
        <f t="shared" si="82"/>
        <v>0</v>
      </c>
    </row>
    <row r="466" spans="1:11" collapsed="1" x14ac:dyDescent="0.3">
      <c r="A466" s="51">
        <v>44</v>
      </c>
      <c r="B466" s="23" t="s">
        <v>144</v>
      </c>
      <c r="C466" s="4" t="s">
        <v>121</v>
      </c>
      <c r="D466" s="50">
        <f>D467+D470</f>
        <v>44</v>
      </c>
      <c r="E466" s="1">
        <f>SUM(K471:K472,K468:K469,)/D466</f>
        <v>210.59322033898306</v>
      </c>
      <c r="F466" s="1">
        <f t="shared" si="83"/>
        <v>9266.1016949152545</v>
      </c>
      <c r="G466" s="1">
        <f>45*1.275</f>
        <v>57.374999999999993</v>
      </c>
      <c r="H466" s="1">
        <f>G466*D466</f>
        <v>2524.4999999999995</v>
      </c>
      <c r="I466" s="1">
        <v>0</v>
      </c>
      <c r="J466" s="1">
        <v>0</v>
      </c>
      <c r="K466" s="1">
        <f t="shared" si="82"/>
        <v>11790.601694915254</v>
      </c>
    </row>
    <row r="467" spans="1:11" hidden="1" outlineLevel="1" x14ac:dyDescent="0.3">
      <c r="A467" s="51">
        <v>1</v>
      </c>
      <c r="B467" s="23" t="s">
        <v>145</v>
      </c>
      <c r="C467" s="4" t="s">
        <v>121</v>
      </c>
      <c r="D467" s="1">
        <v>11</v>
      </c>
      <c r="E467" s="1"/>
      <c r="F467" s="1">
        <f t="shared" si="83"/>
        <v>0</v>
      </c>
      <c r="G467" s="1">
        <f>ხელფასი!D30</f>
        <v>191.25</v>
      </c>
      <c r="H467" s="1">
        <f>D467*G467</f>
        <v>2103.75</v>
      </c>
      <c r="I467" s="1"/>
      <c r="J467" s="1"/>
      <c r="K467" s="1">
        <f t="shared" si="82"/>
        <v>2103.75</v>
      </c>
    </row>
    <row r="468" spans="1:11" hidden="1" outlineLevel="1" x14ac:dyDescent="0.3">
      <c r="A468" s="51"/>
      <c r="B468" s="3" t="s">
        <v>142</v>
      </c>
      <c r="C468" s="4" t="s">
        <v>40</v>
      </c>
      <c r="D468" s="1">
        <f>D467*35</f>
        <v>385</v>
      </c>
      <c r="E468" s="1">
        <f>მასალა!D62</f>
        <v>1.7796610169491527</v>
      </c>
      <c r="F468" s="1">
        <f t="shared" si="83"/>
        <v>685.16949152542384</v>
      </c>
      <c r="G468" s="1"/>
      <c r="H468" s="1"/>
      <c r="I468" s="1"/>
      <c r="J468" s="1"/>
      <c r="K468" s="1">
        <f t="shared" si="82"/>
        <v>685.16949152542384</v>
      </c>
    </row>
    <row r="469" spans="1:11" hidden="1" outlineLevel="1" x14ac:dyDescent="0.3">
      <c r="A469" s="51"/>
      <c r="B469" s="3" t="s">
        <v>392</v>
      </c>
      <c r="C469" s="4" t="s">
        <v>40</v>
      </c>
      <c r="D469" s="1">
        <f>D468</f>
        <v>385</v>
      </c>
      <c r="E469" s="1">
        <f>SUMIFS(მასალა!D3:D448,მასალა!B3:B448,ბიუჯეტი!B469)</f>
        <v>4.2372881355932206</v>
      </c>
      <c r="F469" s="1">
        <f t="shared" si="83"/>
        <v>1631.35593220339</v>
      </c>
      <c r="G469" s="1"/>
      <c r="H469" s="1"/>
      <c r="I469" s="1"/>
      <c r="J469" s="1"/>
      <c r="K469" s="1">
        <f t="shared" si="82"/>
        <v>1631.35593220339</v>
      </c>
    </row>
    <row r="470" spans="1:11" hidden="1" outlineLevel="1" x14ac:dyDescent="0.3">
      <c r="A470" s="51">
        <v>1</v>
      </c>
      <c r="B470" s="23" t="s">
        <v>183</v>
      </c>
      <c r="C470" s="4" t="s">
        <v>121</v>
      </c>
      <c r="D470" s="1">
        <v>33</v>
      </c>
      <c r="E470" s="1"/>
      <c r="F470" s="1">
        <f t="shared" si="83"/>
        <v>0</v>
      </c>
      <c r="G470" s="1">
        <f>ხელფასი!D30</f>
        <v>191.25</v>
      </c>
      <c r="H470" s="1">
        <f>D470*G470</f>
        <v>6311.25</v>
      </c>
      <c r="I470" s="1"/>
      <c r="J470" s="1"/>
      <c r="K470" s="1">
        <f t="shared" si="82"/>
        <v>6311.25</v>
      </c>
    </row>
    <row r="471" spans="1:11" hidden="1" outlineLevel="1" x14ac:dyDescent="0.3">
      <c r="A471" s="51"/>
      <c r="B471" s="3" t="s">
        <v>142</v>
      </c>
      <c r="C471" s="4" t="s">
        <v>40</v>
      </c>
      <c r="D471" s="1">
        <f>D470*35</f>
        <v>1155</v>
      </c>
      <c r="E471" s="1">
        <f>მასალა!D62</f>
        <v>1.7796610169491527</v>
      </c>
      <c r="F471" s="1">
        <f t="shared" si="83"/>
        <v>2055.5084745762715</v>
      </c>
      <c r="G471" s="1"/>
      <c r="H471" s="1"/>
      <c r="I471" s="1"/>
      <c r="J471" s="1"/>
      <c r="K471" s="1">
        <f t="shared" si="82"/>
        <v>2055.5084745762715</v>
      </c>
    </row>
    <row r="472" spans="1:11" hidden="1" outlineLevel="1" x14ac:dyDescent="0.3">
      <c r="A472" s="51"/>
      <c r="B472" s="3" t="s">
        <v>392</v>
      </c>
      <c r="C472" s="4" t="s">
        <v>40</v>
      </c>
      <c r="D472" s="1">
        <f>D471</f>
        <v>1155</v>
      </c>
      <c r="E472" s="1">
        <f>SUMIFS(მასალა!D3:D451,მასალა!B3:B451,ბიუჯეტი!B472)</f>
        <v>4.2372881355932206</v>
      </c>
      <c r="F472" s="1">
        <f t="shared" si="83"/>
        <v>4894.0677966101694</v>
      </c>
      <c r="G472" s="1"/>
      <c r="H472" s="1"/>
      <c r="I472" s="1"/>
      <c r="J472" s="1"/>
      <c r="K472" s="1">
        <f t="shared" si="82"/>
        <v>4894.0677966101694</v>
      </c>
    </row>
    <row r="473" spans="1:11" collapsed="1" x14ac:dyDescent="0.3">
      <c r="A473" s="51">
        <v>45</v>
      </c>
      <c r="B473" s="23" t="s">
        <v>146</v>
      </c>
      <c r="C473" s="4" t="s">
        <v>55</v>
      </c>
      <c r="D473" s="1">
        <v>3</v>
      </c>
      <c r="E473" s="1">
        <f>SUM(K475/D473)</f>
        <v>86556.203389830524</v>
      </c>
      <c r="F473" s="1">
        <f>D473*E473</f>
        <v>259668.61016949156</v>
      </c>
      <c r="G473" s="1">
        <v>0</v>
      </c>
      <c r="H473" s="1">
        <v>0</v>
      </c>
      <c r="I473" s="1">
        <v>0</v>
      </c>
      <c r="J473" s="1">
        <f>I473*D473</f>
        <v>0</v>
      </c>
      <c r="K473" s="1">
        <f t="shared" si="82"/>
        <v>259668.61016949156</v>
      </c>
    </row>
    <row r="474" spans="1:11" hidden="1" outlineLevel="1" x14ac:dyDescent="0.3">
      <c r="A474" s="51">
        <v>1</v>
      </c>
      <c r="B474" s="23" t="s">
        <v>253</v>
      </c>
      <c r="C474" s="4" t="s">
        <v>55</v>
      </c>
      <c r="D474" s="1">
        <v>3</v>
      </c>
      <c r="E474" s="1"/>
      <c r="F474" s="1">
        <f t="shared" si="83"/>
        <v>0</v>
      </c>
      <c r="G474" s="1"/>
      <c r="H474" s="1">
        <f>D474*G474</f>
        <v>0</v>
      </c>
      <c r="I474" s="1"/>
      <c r="J474" s="1"/>
      <c r="K474" s="1">
        <f t="shared" ref="K474:K491" si="84">F474+H474+J474</f>
        <v>0</v>
      </c>
    </row>
    <row r="475" spans="1:11" hidden="1" outlineLevel="1" x14ac:dyDescent="0.3">
      <c r="A475" s="51"/>
      <c r="B475" s="3" t="s">
        <v>147</v>
      </c>
      <c r="C475" s="4" t="s">
        <v>55</v>
      </c>
      <c r="D475" s="1">
        <v>3</v>
      </c>
      <c r="E475" s="1">
        <f>37200*ფართები!$E$3/1.18</f>
        <v>86556.203389830524</v>
      </c>
      <c r="F475" s="1">
        <f t="shared" si="83"/>
        <v>259668.61016949156</v>
      </c>
      <c r="G475" s="1"/>
      <c r="H475" s="1">
        <f>D475*G475</f>
        <v>0</v>
      </c>
      <c r="I475" s="1"/>
      <c r="J475" s="1"/>
      <c r="K475" s="1">
        <f t="shared" si="84"/>
        <v>259668.61016949156</v>
      </c>
    </row>
    <row r="476" spans="1:11" collapsed="1" x14ac:dyDescent="0.3">
      <c r="A476" s="51">
        <v>46</v>
      </c>
      <c r="B476" s="23" t="s">
        <v>333</v>
      </c>
      <c r="C476" s="4" t="s">
        <v>55</v>
      </c>
      <c r="D476" s="1">
        <v>3</v>
      </c>
      <c r="E476" s="1">
        <v>0</v>
      </c>
      <c r="F476" s="1">
        <f t="shared" si="83"/>
        <v>0</v>
      </c>
      <c r="G476" s="1"/>
      <c r="H476" s="1">
        <f>G476*D476</f>
        <v>0</v>
      </c>
      <c r="I476" s="1">
        <f>მომსახურება!D18</f>
        <v>1694.9152542372883</v>
      </c>
      <c r="J476" s="1">
        <f>I476*D476</f>
        <v>5084.7457627118647</v>
      </c>
      <c r="K476" s="1">
        <f t="shared" si="84"/>
        <v>5084.7457627118647</v>
      </c>
    </row>
    <row r="477" spans="1:11" collapsed="1" x14ac:dyDescent="0.3">
      <c r="A477" s="51">
        <v>47</v>
      </c>
      <c r="B477" s="23" t="s">
        <v>438</v>
      </c>
      <c r="C477" s="4" t="s">
        <v>55</v>
      </c>
      <c r="D477" s="1">
        <v>3</v>
      </c>
      <c r="E477" s="1">
        <v>0</v>
      </c>
      <c r="F477" s="1">
        <f t="shared" ref="F477" si="85">D477*E477</f>
        <v>0</v>
      </c>
      <c r="G477" s="1"/>
      <c r="H477" s="1">
        <f>G477*D477</f>
        <v>0</v>
      </c>
      <c r="I477" s="1">
        <f>4500/1.18</f>
        <v>3813.5593220338983</v>
      </c>
      <c r="J477" s="1">
        <f>I477*D477</f>
        <v>11440.677966101695</v>
      </c>
      <c r="K477" s="1">
        <f t="shared" si="84"/>
        <v>11440.677966101695</v>
      </c>
    </row>
    <row r="478" spans="1:11" collapsed="1" x14ac:dyDescent="0.3">
      <c r="A478" s="51">
        <v>48</v>
      </c>
      <c r="B478" s="23" t="s">
        <v>336</v>
      </c>
      <c r="C478" s="4" t="s">
        <v>10</v>
      </c>
      <c r="D478" s="1">
        <f>(1.6*2.5)*3</f>
        <v>12</v>
      </c>
      <c r="E478" s="1">
        <v>0</v>
      </c>
      <c r="F478" s="1">
        <f t="shared" ref="F478" si="86">D478*E478</f>
        <v>0</v>
      </c>
      <c r="G478" s="1"/>
      <c r="H478" s="1">
        <f>G478*D478</f>
        <v>0</v>
      </c>
      <c r="I478" s="1">
        <f>მომსახურება!D4</f>
        <v>372.28474576271185</v>
      </c>
      <c r="J478" s="1">
        <f>I478*D478</f>
        <v>4467.4169491525427</v>
      </c>
      <c r="K478" s="1">
        <f t="shared" si="84"/>
        <v>4467.4169491525427</v>
      </c>
    </row>
    <row r="479" spans="1:11" collapsed="1" x14ac:dyDescent="0.3">
      <c r="A479" s="51">
        <v>49</v>
      </c>
      <c r="B479" s="23" t="s">
        <v>418</v>
      </c>
      <c r="C479" s="4" t="s">
        <v>10</v>
      </c>
      <c r="D479" s="1">
        <v>0</v>
      </c>
      <c r="E479" s="1">
        <v>0</v>
      </c>
      <c r="F479" s="1">
        <f t="shared" ref="F479" si="87">D479*E479</f>
        <v>0</v>
      </c>
      <c r="G479" s="1"/>
      <c r="H479" s="1">
        <f>G479*D479</f>
        <v>0</v>
      </c>
      <c r="I479" s="1">
        <f>მომსახურება!D32</f>
        <v>419.49152542372883</v>
      </c>
      <c r="J479" s="1">
        <f>I479*D479</f>
        <v>0</v>
      </c>
      <c r="K479" s="1">
        <f t="shared" si="84"/>
        <v>0</v>
      </c>
    </row>
    <row r="480" spans="1:11" x14ac:dyDescent="0.3">
      <c r="A480" s="51">
        <v>50</v>
      </c>
      <c r="B480" s="23" t="s">
        <v>148</v>
      </c>
      <c r="C480" s="4" t="s">
        <v>49</v>
      </c>
      <c r="D480" s="1">
        <v>3</v>
      </c>
      <c r="E480" s="1">
        <v>0</v>
      </c>
      <c r="F480" s="1">
        <v>0</v>
      </c>
      <c r="G480" s="1">
        <f>50*1.275</f>
        <v>63.749999999999993</v>
      </c>
      <c r="H480" s="1">
        <v>0</v>
      </c>
      <c r="I480" s="1">
        <f>მომსახურება!D20</f>
        <v>186.4406779661017</v>
      </c>
      <c r="J480" s="1">
        <f t="shared" ref="J480:J492" si="88">I480*D480</f>
        <v>559.32203389830511</v>
      </c>
      <c r="K480" s="1">
        <f t="shared" si="84"/>
        <v>559.32203389830511</v>
      </c>
    </row>
    <row r="481" spans="1:12" x14ac:dyDescent="0.3">
      <c r="A481" s="51">
        <v>51</v>
      </c>
      <c r="B481" s="23" t="s">
        <v>149</v>
      </c>
      <c r="C481" s="4" t="s">
        <v>19</v>
      </c>
      <c r="D481" s="1">
        <v>15</v>
      </c>
      <c r="E481" s="1"/>
      <c r="F481" s="1">
        <f t="shared" ref="F481:F492" si="89">D481*E481</f>
        <v>0</v>
      </c>
      <c r="G481" s="1"/>
      <c r="H481" s="1">
        <f t="shared" ref="H481:H492" si="90">G481*D481</f>
        <v>0</v>
      </c>
      <c r="I481" s="1">
        <f>მომსახურება!D29</f>
        <v>4237.2881355932204</v>
      </c>
      <c r="J481" s="1">
        <f t="shared" si="88"/>
        <v>63559.322033898308</v>
      </c>
      <c r="K481" s="1">
        <f t="shared" si="84"/>
        <v>63559.322033898308</v>
      </c>
    </row>
    <row r="482" spans="1:12" x14ac:dyDescent="0.3">
      <c r="A482" s="51">
        <v>52</v>
      </c>
      <c r="B482" s="23" t="s">
        <v>150</v>
      </c>
      <c r="C482" s="4" t="s">
        <v>19</v>
      </c>
      <c r="D482" s="1">
        <v>15</v>
      </c>
      <c r="E482" s="1"/>
      <c r="F482" s="1">
        <f t="shared" si="89"/>
        <v>0</v>
      </c>
      <c r="G482" s="1"/>
      <c r="H482" s="1">
        <f t="shared" si="90"/>
        <v>0</v>
      </c>
      <c r="I482" s="1">
        <f>მომსახურება!D30</f>
        <v>1101.6949152542375</v>
      </c>
      <c r="J482" s="1">
        <f t="shared" si="88"/>
        <v>16525.423728813563</v>
      </c>
      <c r="K482" s="1">
        <f t="shared" si="84"/>
        <v>16525.423728813563</v>
      </c>
      <c r="L482" s="43"/>
    </row>
    <row r="483" spans="1:12" x14ac:dyDescent="0.3">
      <c r="A483" s="51">
        <v>53</v>
      </c>
      <c r="B483" s="23" t="s">
        <v>151</v>
      </c>
      <c r="C483" s="4" t="s">
        <v>152</v>
      </c>
      <c r="D483" s="1">
        <v>3</v>
      </c>
      <c r="E483" s="1"/>
      <c r="F483" s="1">
        <f t="shared" si="89"/>
        <v>0</v>
      </c>
      <c r="G483" s="1"/>
      <c r="H483" s="1">
        <f t="shared" si="90"/>
        <v>0</v>
      </c>
      <c r="I483" s="1">
        <f>მომსახურება!D31</f>
        <v>2881.3559322033898</v>
      </c>
      <c r="J483" s="1">
        <f t="shared" si="88"/>
        <v>8644.0677966101684</v>
      </c>
      <c r="K483" s="1">
        <f t="shared" si="84"/>
        <v>8644.0677966101684</v>
      </c>
      <c r="L483" s="43"/>
    </row>
    <row r="484" spans="1:12" x14ac:dyDescent="0.3">
      <c r="A484" s="51">
        <v>54</v>
      </c>
      <c r="B484" s="23" t="s">
        <v>153</v>
      </c>
      <c r="C484" s="4" t="s">
        <v>121</v>
      </c>
      <c r="D484" s="1">
        <v>44</v>
      </c>
      <c r="E484" s="1">
        <v>0</v>
      </c>
      <c r="F484" s="1">
        <f t="shared" si="89"/>
        <v>0</v>
      </c>
      <c r="G484" s="1"/>
      <c r="H484" s="1">
        <f t="shared" si="90"/>
        <v>0</v>
      </c>
      <c r="I484" s="1">
        <f>156.25*ფართები!$E$3/1.18</f>
        <v>363.5593220338983</v>
      </c>
      <c r="J484" s="1">
        <f t="shared" si="88"/>
        <v>15996.610169491525</v>
      </c>
      <c r="K484" s="1">
        <f t="shared" si="84"/>
        <v>15996.610169491525</v>
      </c>
    </row>
    <row r="485" spans="1:12" x14ac:dyDescent="0.3">
      <c r="A485" s="51">
        <v>55</v>
      </c>
      <c r="B485" s="23" t="s">
        <v>188</v>
      </c>
      <c r="C485" s="4" t="s">
        <v>121</v>
      </c>
      <c r="D485" s="1">
        <v>44</v>
      </c>
      <c r="E485" s="1">
        <v>0</v>
      </c>
      <c r="F485" s="1">
        <f t="shared" si="89"/>
        <v>0</v>
      </c>
      <c r="G485" s="1"/>
      <c r="H485" s="1">
        <f>G485*D485</f>
        <v>0</v>
      </c>
      <c r="I485" s="1">
        <f>მომსახურება!D28</f>
        <v>76.271186440677965</v>
      </c>
      <c r="J485" s="1">
        <f>I485*D485</f>
        <v>3355.9322033898306</v>
      </c>
      <c r="K485" s="1">
        <f t="shared" si="84"/>
        <v>3355.9322033898306</v>
      </c>
    </row>
    <row r="486" spans="1:12" x14ac:dyDescent="0.3">
      <c r="A486" s="51">
        <v>56</v>
      </c>
      <c r="B486" s="23" t="s">
        <v>154</v>
      </c>
      <c r="C486" s="4" t="s">
        <v>10</v>
      </c>
      <c r="D486" s="1">
        <v>690</v>
      </c>
      <c r="E486" s="1">
        <f>0.5/1.18</f>
        <v>0.42372881355932207</v>
      </c>
      <c r="F486" s="1">
        <f t="shared" si="89"/>
        <v>292.37288135593224</v>
      </c>
      <c r="G486" s="1">
        <f>2*1.275</f>
        <v>2.5499999999999998</v>
      </c>
      <c r="H486" s="1">
        <f t="shared" si="90"/>
        <v>1759.4999999999998</v>
      </c>
      <c r="I486" s="1">
        <v>1</v>
      </c>
      <c r="J486" s="1">
        <f t="shared" si="88"/>
        <v>690</v>
      </c>
      <c r="K486" s="1">
        <f t="shared" si="84"/>
        <v>2741.8728813559319</v>
      </c>
    </row>
    <row r="487" spans="1:12" x14ac:dyDescent="0.3">
      <c r="A487" s="51">
        <v>57</v>
      </c>
      <c r="B487" s="23" t="s">
        <v>155</v>
      </c>
      <c r="C487" s="4" t="s">
        <v>49</v>
      </c>
      <c r="D487" s="1">
        <f>69*3</f>
        <v>207</v>
      </c>
      <c r="E487" s="1">
        <v>0</v>
      </c>
      <c r="F487" s="1">
        <f>SUM(F488:F490)</f>
        <v>17144.161016949151</v>
      </c>
      <c r="G487" s="1">
        <f>ხელფასი!D40</f>
        <v>51</v>
      </c>
      <c r="H487" s="1">
        <f>G487*D487</f>
        <v>10557</v>
      </c>
      <c r="I487" s="1">
        <v>0</v>
      </c>
      <c r="J487" s="1">
        <f>I487*D487</f>
        <v>0</v>
      </c>
      <c r="K487" s="1">
        <f t="shared" si="84"/>
        <v>27701.161016949151</v>
      </c>
    </row>
    <row r="488" spans="1:12" hidden="1" outlineLevel="1" x14ac:dyDescent="0.3">
      <c r="A488" s="51"/>
      <c r="B488" s="3" t="s">
        <v>417</v>
      </c>
      <c r="C488" s="4" t="s">
        <v>55</v>
      </c>
      <c r="D488" s="1">
        <f>D487</f>
        <v>207</v>
      </c>
      <c r="E488" s="1">
        <f>SUMIFS(მასალა!D3:D466,მასალა!B3:B466,ბიუჯეტი!B488)</f>
        <v>76.271186440677965</v>
      </c>
      <c r="F488" s="1">
        <f t="shared" si="89"/>
        <v>15788.135593220339</v>
      </c>
      <c r="G488" s="1"/>
      <c r="H488" s="1"/>
      <c r="I488" s="1"/>
      <c r="J488" s="1"/>
      <c r="K488" s="1">
        <f t="shared" si="84"/>
        <v>15788.135593220339</v>
      </c>
    </row>
    <row r="489" spans="1:12" hidden="1" outlineLevel="1" x14ac:dyDescent="0.3">
      <c r="A489" s="51"/>
      <c r="B489" s="3" t="s">
        <v>63</v>
      </c>
      <c r="C489" s="4" t="s">
        <v>192</v>
      </c>
      <c r="D489" s="1">
        <f>(69*3*0.3*1.4)/2</f>
        <v>43.469999999999992</v>
      </c>
      <c r="E489" s="1">
        <f>მასალა!D20</f>
        <v>11.016949152542374</v>
      </c>
      <c r="F489" s="1">
        <f t="shared" ref="F489" si="91">D489*E489</f>
        <v>478.90677966101691</v>
      </c>
      <c r="G489" s="1"/>
      <c r="H489" s="1"/>
      <c r="I489" s="1"/>
      <c r="J489" s="1"/>
      <c r="K489" s="1">
        <f t="shared" si="84"/>
        <v>478.90677966101691</v>
      </c>
    </row>
    <row r="490" spans="1:12" hidden="1" outlineLevel="1" x14ac:dyDescent="0.3">
      <c r="A490" s="51"/>
      <c r="B490" s="3" t="s">
        <v>393</v>
      </c>
      <c r="C490" s="4" t="s">
        <v>40</v>
      </c>
      <c r="D490" s="1">
        <f>D487</f>
        <v>207</v>
      </c>
      <c r="E490" s="1">
        <f>SUMIFS(მასალა!D3:D468,მასალა!B3:B468,ბიუჯეტი!B490)</f>
        <v>4.2372881355932206</v>
      </c>
      <c r="F490" s="1">
        <f t="shared" si="89"/>
        <v>877.11864406779671</v>
      </c>
      <c r="G490" s="1"/>
      <c r="H490" s="1"/>
      <c r="I490" s="1"/>
      <c r="J490" s="1"/>
      <c r="K490" s="1">
        <f t="shared" si="84"/>
        <v>877.11864406779671</v>
      </c>
    </row>
    <row r="491" spans="1:12" collapsed="1" x14ac:dyDescent="0.3">
      <c r="A491" s="51">
        <v>58</v>
      </c>
      <c r="B491" s="23" t="s">
        <v>29</v>
      </c>
      <c r="C491" s="4" t="s">
        <v>30</v>
      </c>
      <c r="D491" s="1">
        <v>120</v>
      </c>
      <c r="E491" s="1"/>
      <c r="F491" s="1">
        <f t="shared" si="89"/>
        <v>0</v>
      </c>
      <c r="G491" s="1">
        <f>6*80*1.275</f>
        <v>612</v>
      </c>
      <c r="H491" s="1">
        <f t="shared" si="90"/>
        <v>73440</v>
      </c>
      <c r="I491" s="1">
        <v>0</v>
      </c>
      <c r="J491" s="1">
        <f t="shared" si="88"/>
        <v>0</v>
      </c>
      <c r="K491" s="1">
        <f t="shared" si="84"/>
        <v>73440</v>
      </c>
    </row>
    <row r="492" spans="1:12" x14ac:dyDescent="0.3">
      <c r="A492" s="51">
        <v>59</v>
      </c>
      <c r="B492" s="23" t="s">
        <v>37</v>
      </c>
      <c r="C492" s="4" t="s">
        <v>39</v>
      </c>
      <c r="D492" s="1">
        <v>4</v>
      </c>
      <c r="E492" s="1">
        <f>9500/1.18</f>
        <v>8050.8474576271192</v>
      </c>
      <c r="F492" s="1">
        <f t="shared" si="89"/>
        <v>32203.389830508477</v>
      </c>
      <c r="G492" s="1">
        <v>0</v>
      </c>
      <c r="H492" s="1">
        <f t="shared" si="90"/>
        <v>0</v>
      </c>
      <c r="I492" s="1">
        <f>9500/1.18</f>
        <v>8050.8474576271192</v>
      </c>
      <c r="J492" s="1">
        <f t="shared" si="88"/>
        <v>32203.389830508477</v>
      </c>
      <c r="K492" s="1">
        <f>F492+H492+J492</f>
        <v>64406.779661016953</v>
      </c>
    </row>
    <row r="493" spans="1:12" x14ac:dyDescent="0.3">
      <c r="A493" s="2"/>
      <c r="B493" s="16" t="s">
        <v>8</v>
      </c>
      <c r="C493" s="4"/>
      <c r="D493" s="1"/>
      <c r="E493" s="1"/>
      <c r="F493" s="25">
        <f>SUM(F62,F90,F94,F107,F130,F141,F162,F167,F168,F185,F195,F199,F206,F216,F229,F242,F259,F275,F284,F297,F307,F322,F347,F370,F374,F377,F379,F381,F385,F388,F392,F395,F399,F404,F406,F407,F420,F425,F432,F448,F461,F466,F473,F476,F480,F481,F482,F483,F484,F486,F491,F487,F492,F485,F123,F405)</f>
        <v>1049068.3189359161</v>
      </c>
      <c r="G493" s="1"/>
      <c r="H493" s="25">
        <f>SUM(H62,H90,H94,H107,H130,H141,H162,H167,H168,H185,H195,H199,H206,H216,H229,H242,H259,H275,H284,H297,H307,H322,H347,H370,H374,H377,H379,H381,H385,H388,H392,H395,H399,H404,H406,H407,H420,H425,H432,H448,H461,H466,H473,H476,H480,H481,H482,H483,H484,H486,H491,H487,H492,H485,H123,H405)</f>
        <v>802813.46941124985</v>
      </c>
      <c r="I493" s="22"/>
      <c r="J493" s="25">
        <f>SUM(J62,J90,J94,J107,J130,J141,J162,J167,J168,J185,J195,J199,J206,J216,J229,J242,J259,J275,J284,J297,J307,J322,J347,J370,J374,J377,J379,J381,J385,J388,J392,J395,J399,J404,J406,J407,J420,J425,J432,J448,J461,J466,J473,J476,J480,J481,J482,J483,J484,J486,J491,J487,J492,J485,J123,J405,J477,J478,J479)</f>
        <v>694611.80776271201</v>
      </c>
      <c r="K493" s="25">
        <f>SUM(K62,K90,K94,K107,K130,K141,K162,K167,K168,K185,K195,K199,K206,K216,K229,K242,K259,K275,K284,K297,K307,K322,K347,K370,K374,K377,K379,K381,K385,K388,K392,K395,K399,K404,K406,K407,K420,K425,K432,K448,K461,K479,K466,K473,K476,K480,K481,K482,K483,K484,K486,K491,K487,K492,K485,K477,K478,K405,K123)</f>
        <v>2546493.5961098783</v>
      </c>
    </row>
    <row r="494" spans="1:12" x14ac:dyDescent="0.3">
      <c r="A494" s="2"/>
      <c r="B494" s="16" t="s">
        <v>15</v>
      </c>
      <c r="C494" s="17">
        <v>7.3999999999999996E-2</v>
      </c>
      <c r="D494" s="18"/>
      <c r="E494" s="19"/>
      <c r="F494" s="20"/>
      <c r="G494" s="18"/>
      <c r="H494" s="20"/>
      <c r="I494" s="20"/>
      <c r="J494" s="20"/>
      <c r="K494" s="34">
        <f>K493*C494</f>
        <v>188440.52611213099</v>
      </c>
    </row>
    <row r="495" spans="1:12" x14ac:dyDescent="0.3">
      <c r="A495" s="2"/>
      <c r="B495" s="16" t="s">
        <v>8</v>
      </c>
      <c r="C495" s="21"/>
      <c r="D495" s="18"/>
      <c r="E495" s="19"/>
      <c r="F495" s="20"/>
      <c r="G495" s="18"/>
      <c r="H495" s="22"/>
      <c r="I495" s="20"/>
      <c r="J495" s="20"/>
      <c r="K495" s="20">
        <f>SUM(K493:K494)</f>
        <v>2734934.1222220091</v>
      </c>
    </row>
    <row r="496" spans="1:12" x14ac:dyDescent="0.3">
      <c r="A496" s="2"/>
      <c r="B496" s="16" t="s">
        <v>42</v>
      </c>
      <c r="C496" s="17">
        <v>3.5000000000000003E-2</v>
      </c>
      <c r="D496" s="18"/>
      <c r="E496" s="19"/>
      <c r="F496" s="22"/>
      <c r="G496" s="18"/>
      <c r="H496" s="22"/>
      <c r="I496" s="22"/>
      <c r="J496" s="22"/>
      <c r="K496" s="20">
        <f>K495*C496</f>
        <v>95722.694277770323</v>
      </c>
    </row>
    <row r="497" spans="1:11" x14ac:dyDescent="0.3">
      <c r="A497" s="2"/>
      <c r="B497" s="16" t="s">
        <v>8</v>
      </c>
      <c r="C497" s="4"/>
      <c r="D497" s="18"/>
      <c r="E497" s="18"/>
      <c r="F497" s="22"/>
      <c r="G497" s="18"/>
      <c r="H497" s="22"/>
      <c r="I497" s="22"/>
      <c r="J497" s="22"/>
      <c r="K497" s="20">
        <f>SUM(K495:K496)</f>
        <v>2830656.8164997795</v>
      </c>
    </row>
    <row r="498" spans="1:11" x14ac:dyDescent="0.3">
      <c r="A498" s="2"/>
      <c r="B498" s="16" t="s">
        <v>16</v>
      </c>
      <c r="C498" s="17">
        <v>0.16500000000000001</v>
      </c>
      <c r="D498" s="18"/>
      <c r="E498" s="19"/>
      <c r="F498" s="22"/>
      <c r="G498" s="18"/>
      <c r="H498" s="22"/>
      <c r="I498" s="22"/>
      <c r="J498" s="22"/>
      <c r="K498" s="20">
        <f>K497*C498</f>
        <v>467058.37472246366</v>
      </c>
    </row>
    <row r="499" spans="1:11" x14ac:dyDescent="0.3">
      <c r="A499" s="2"/>
      <c r="B499" s="16" t="s">
        <v>8</v>
      </c>
      <c r="C499" s="4"/>
      <c r="D499" s="18"/>
      <c r="E499" s="18"/>
      <c r="F499" s="22"/>
      <c r="G499" s="18"/>
      <c r="H499" s="22"/>
      <c r="I499" s="22"/>
      <c r="J499" s="22"/>
      <c r="K499" s="20">
        <f>SUM(K497:K498)</f>
        <v>3297715.191222243</v>
      </c>
    </row>
    <row r="500" spans="1:11" x14ac:dyDescent="0.3">
      <c r="A500" s="2"/>
      <c r="B500" s="16" t="s">
        <v>17</v>
      </c>
      <c r="C500" s="17">
        <v>0.18</v>
      </c>
      <c r="D500" s="18"/>
      <c r="E500" s="18"/>
      <c r="F500" s="22"/>
      <c r="G500" s="18"/>
      <c r="H500" s="22"/>
      <c r="I500" s="22"/>
      <c r="J500" s="22"/>
      <c r="K500" s="20">
        <f>K499*C500</f>
        <v>593588.73442000372</v>
      </c>
    </row>
    <row r="501" spans="1:11" x14ac:dyDescent="0.3">
      <c r="A501" s="2"/>
      <c r="B501" s="16" t="s">
        <v>18</v>
      </c>
      <c r="C501" s="4"/>
      <c r="D501" s="18"/>
      <c r="E501" s="18"/>
      <c r="F501" s="22"/>
      <c r="G501" s="18"/>
      <c r="H501" s="22"/>
      <c r="I501" s="22"/>
      <c r="J501" s="22"/>
      <c r="K501" s="20">
        <f>SUM(K499:K500)</f>
        <v>3891303.9256422468</v>
      </c>
    </row>
  </sheetData>
  <autoFilter ref="A61:K501" xr:uid="{00000000-0009-0000-0000-000001000000}"/>
  <mergeCells count="5">
    <mergeCell ref="A1:K1"/>
    <mergeCell ref="A2:K2"/>
    <mergeCell ref="A3:K3"/>
    <mergeCell ref="A4:K4"/>
    <mergeCell ref="I5:K5"/>
  </mergeCells>
  <pageMargins left="0.7" right="0.7" top="0.75" bottom="0.75" header="0.3" footer="0.3"/>
  <pageSetup orientation="portrait" r:id="rId1"/>
  <ignoredErrors>
    <ignoredError sqref="K47:K48 K51:K58 H94 H90 E323:F323 H474:J475 J473 E391:H398 F239:J241 F201:J201 F199:F200 H200:J200 F203:J203 F202 H202:J202 F205:J205 F204 H204:J204 F208:J209 F206:F207 H206:J207 F216:F217 F221 F220:G220 I220:J220 F225 F224:G224 I224:J224 F228:G228 I228:J228 F236 H236:J236 F233:J235 F229:F230 F231:J231 F237:J237 H229:J230 F255:J258 F254 H254:J254 F252:J253 F248 H248:J248 F244:J247 F242:F243 H242:J243 H259 F277:J279 I275:J275 F275:F276 H276:J276 F281:J283 F280 H280:J280 F288:J288 I284:J284 F299:J300 F311:J311 F307:H308 J307:J308 F315:J315 F312:H312 J312 F321:J321 F318:H318 J318 F322 H322:J322 E324:H324 D336:H336 E335:F335 H323 H335 D358 E349:H349 D369 E360:H360 F259:F260 J259 F403:H403 E402:F402 H402 F401:H401 E399:F400 H399:H400 E407:F408 E423:F423 F422:H422 E426:F426 F424:H424 F425 H491:J491 D465 E458:F458 D449:F449 E452:F452 H452 E455:F455 H455 H458 E448:F448 H448:H449 E470:F470 E466:F467 E473:H473 D334 D347:H347 E414:F414 E420:H420 D469 D472 H492 J492:K492 E432:F433 F431:H431 E430:F430 F429:H429 E428:F428 F427:H427 E443:F443 H443 F434:H437 F444:H447 H466:H467 H470 H426 H432:H433 E438:F438 H438 H430 H428 E348:F348 H348 E359:F359 H359 H199 F211:J212 F210 H210:J210 F214:J215 F213 H213:J213 I218:J218 F218:G218 I222:J222 F222:G222 I226:J226 F226:G226 H216:J217 H221:J221 H225:J225 H260:J260 F286:J286 F284:F285 H285:J285 F290:J292 F289 H289:J289 F294:J296 F293 H293:J293 F298 H297:J298 F302:J303 F301 H301:J301 F305:J306 F304 H304:J304 F309:J309 F313:J313 F319:J319 D325:D332 F325:H332 F334:H334 D346 F346:H346 D337:D344 F337:H344 D351:D355 F350:H356 F358:H358 D362:D366 F361:H367 F369:H369 E370:H389 H476 J476 H404 F404 F406 D463 E461:F462 F465:H465 F463:H463 F409:H413 F415:H419 H406:H408 H414 E421:F421 H421 H423 D442 F439:H442 F471:H472 F468:H469 D450:D451 D453:D454 D456:D457 D459:D460 F453:H454 F456:H457 F459:H460 H484:J484 H487:J487 H461:H462 H480:H483 J480:J483 F450:H451 H485:H486 J485:J486 F249:J250" formula="1"/>
    <ignoredError sqref="D370 D381 D385 D388 D396 D399:D402 D407 D419:D420 D422 D424 D413 D392" formula="1" formulaRange="1"/>
    <ignoredError sqref="C370:C373 C406:C432 C377:C389 C391:C40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1CEE-D6FA-4478-808E-9DA83CAF5103}">
  <dimension ref="A1:M111"/>
  <sheetViews>
    <sheetView topLeftCell="A19" workbookViewId="0">
      <selection activeCell="E26" sqref="E26"/>
    </sheetView>
  </sheetViews>
  <sheetFormatPr defaultRowHeight="14.4" x14ac:dyDescent="0.3"/>
  <cols>
    <col min="1" max="1" width="4.88671875" customWidth="1"/>
    <col min="2" max="2" width="11.44140625" customWidth="1"/>
    <col min="3" max="3" width="19.44140625" customWidth="1"/>
    <col min="4" max="4" width="17.109375" customWidth="1"/>
    <col min="5" max="5" width="26.21875" bestFit="1" customWidth="1"/>
    <col min="6" max="6" width="24.44140625" customWidth="1"/>
    <col min="7" max="7" width="27.109375" bestFit="1" customWidth="1"/>
    <col min="8" max="8" width="17.5546875" bestFit="1" customWidth="1"/>
    <col min="9" max="9" width="8.5546875" bestFit="1" customWidth="1"/>
    <col min="10" max="10" width="7.5546875" customWidth="1"/>
  </cols>
  <sheetData>
    <row r="1" spans="1:10" s="58" customFormat="1" ht="16.2" x14ac:dyDescent="0.3">
      <c r="A1" s="77" t="s">
        <v>197</v>
      </c>
      <c r="B1" s="78"/>
      <c r="C1" s="78"/>
      <c r="D1" s="78"/>
      <c r="E1" s="78"/>
      <c r="F1" s="78"/>
      <c r="G1" s="78"/>
      <c r="H1" s="78"/>
      <c r="I1" s="78"/>
      <c r="J1" s="79"/>
    </row>
    <row r="2" spans="1:10" s="58" customFormat="1" ht="16.2" x14ac:dyDescent="0.3">
      <c r="A2" s="59" t="s">
        <v>0</v>
      </c>
      <c r="B2" s="59" t="s">
        <v>198</v>
      </c>
      <c r="C2" s="59" t="s">
        <v>19</v>
      </c>
      <c r="D2" s="59" t="s">
        <v>199</v>
      </c>
      <c r="E2" s="59" t="s">
        <v>152</v>
      </c>
      <c r="F2" s="59" t="s">
        <v>200</v>
      </c>
      <c r="G2" s="59" t="s">
        <v>288</v>
      </c>
      <c r="H2" s="59" t="s">
        <v>249</v>
      </c>
      <c r="I2" s="59" t="s">
        <v>8</v>
      </c>
      <c r="J2" s="59" t="s">
        <v>201</v>
      </c>
    </row>
    <row r="3" spans="1:10" s="58" customFormat="1" x14ac:dyDescent="0.3">
      <c r="A3" s="60">
        <v>1</v>
      </c>
      <c r="B3" s="60">
        <v>2</v>
      </c>
      <c r="C3" s="60">
        <v>3</v>
      </c>
      <c r="D3" s="60">
        <v>4</v>
      </c>
      <c r="E3" s="60">
        <v>5</v>
      </c>
      <c r="F3" s="60">
        <v>6</v>
      </c>
      <c r="G3" s="60">
        <v>7</v>
      </c>
      <c r="H3" s="60">
        <v>8</v>
      </c>
      <c r="I3" s="60">
        <v>9</v>
      </c>
      <c r="J3" s="60">
        <v>10</v>
      </c>
    </row>
    <row r="4" spans="1:10" s="58" customFormat="1" x14ac:dyDescent="0.3">
      <c r="A4" s="54">
        <v>1</v>
      </c>
      <c r="B4" s="55">
        <v>-2.2999999999999998</v>
      </c>
      <c r="C4" s="54">
        <v>1</v>
      </c>
      <c r="D4" s="56">
        <v>0</v>
      </c>
      <c r="E4" s="56">
        <v>0</v>
      </c>
      <c r="F4" s="57">
        <f>((19.8+2+5.05+2.4+1.55+2.7+5.1+2.9+5.1+2.9+2.2+4.8+7.4+7+7+7.4+8.25)*2.32)*3</f>
        <v>651.10799999999995</v>
      </c>
      <c r="G4" s="56">
        <v>4</v>
      </c>
      <c r="H4" s="56">
        <v>3</v>
      </c>
      <c r="I4" s="56">
        <f>SUM(D4:H4)</f>
        <v>658.10799999999995</v>
      </c>
      <c r="J4" s="56"/>
    </row>
    <row r="5" spans="1:10" s="58" customFormat="1" x14ac:dyDescent="0.3">
      <c r="A5" s="54">
        <v>2</v>
      </c>
      <c r="B5" s="55">
        <v>0</v>
      </c>
      <c r="C5" s="54">
        <v>2</v>
      </c>
      <c r="D5" s="56">
        <f>(((7+7+7+7+6.5+6.5+2.3+3.4+3.3)*2.6)+((4.4+3.5+1.1+1.6+3.5)*2.97))*2+(7+7+7+7+3.4+3.4+3.4+3.15+2.5)*2.6+(1.1+3.5+1.1+3.5+3.5+2+3.7+1+2+4.2)*2.97</f>
        <v>533.79600000000005</v>
      </c>
      <c r="E5" s="56">
        <f>((6.7+7+3.2+6.5+2.65+1.2)*2.97)*2+(7+7+6.9+2.9+2.6+1.2)*2.97</f>
        <v>243.83699999999999</v>
      </c>
      <c r="F5" s="56">
        <f>((6.7+0.8+7.9+2.7+7.4)*2.97)*2+((7+2.5+7.6)*2.97)</f>
        <v>202.25700000000001</v>
      </c>
      <c r="G5" s="56">
        <f>11*1.5</f>
        <v>16.5</v>
      </c>
      <c r="H5" s="56">
        <f>3.5+3.5+4.4+3.4+3.4+4.4+3.5+3.5+3.5+3.7+4.2</f>
        <v>41.000000000000007</v>
      </c>
      <c r="I5" s="56">
        <f>SUM(D5:H5)-I15-D56+E56+F56*2.2</f>
        <v>917.83000000000015</v>
      </c>
      <c r="J5" s="56"/>
    </row>
    <row r="6" spans="1:10" s="58" customFormat="1" x14ac:dyDescent="0.3">
      <c r="A6" s="54">
        <v>3</v>
      </c>
      <c r="B6" s="55">
        <v>3.2</v>
      </c>
      <c r="C6" s="54">
        <v>3</v>
      </c>
      <c r="D6" s="56">
        <f>(((7+7+7+7+6.5+6.5+6.5+2.3+3.4)*2.6)+((4+1.1+2.8)*2.97))*2+(7+7+7+7+2.5+3.4+3.4+3.4+3.1)*2.6+(2.9+2.9+0.9+0.9+3.7+3.5+0.7+2.9)*2.97</f>
        <v>492.09399999999994</v>
      </c>
      <c r="E6" s="56">
        <f>((6.7+7+7+2.9+1.5+1.2)*2.97)*3</f>
        <v>234.33299999999997</v>
      </c>
      <c r="F6" s="56">
        <f>((3.2+2.2+3.8+7.7+2.7+7.4)*2.97)*2+((7+2.5+7.5)*2.97)</f>
        <v>210.87000000000003</v>
      </c>
      <c r="G6" s="56">
        <f>11*1.5</f>
        <v>16.5</v>
      </c>
      <c r="H6" s="56">
        <f>3.5+3.5+4.4+4.4+3.5+3.5+3.5+2.4+3.7+4.2</f>
        <v>36.6</v>
      </c>
      <c r="I6" s="56">
        <f>SUM(D6:H6)-I17-D57+G57*2.2+25</f>
        <v>858.67699999999991</v>
      </c>
      <c r="J6" s="56"/>
    </row>
    <row r="7" spans="1:10" s="58" customFormat="1" x14ac:dyDescent="0.3">
      <c r="A7" s="54">
        <v>3</v>
      </c>
      <c r="B7" s="55">
        <v>6.4</v>
      </c>
      <c r="C7" s="54">
        <v>3</v>
      </c>
      <c r="D7" s="56">
        <f>(((7+7+7+7+6.5+6.5+6.5+2.3+3.4)*2.6)+((4+1.1+2.8)*2.97))*2+(7+7+7+7+2.5+3.4+3.4+3.4+3.1)*2.6+(2.9+2.9+0.9+0.9+3.7+3.5+0.7+2.9)*2.97</f>
        <v>492.09399999999994</v>
      </c>
      <c r="E7" s="56">
        <f>((6.7+7+7+2.9+1.5+1.2)*2.97)*3</f>
        <v>234.33299999999997</v>
      </c>
      <c r="F7" s="56">
        <f>((3.2+2.2+3.8+7.7+2.7+7.4)*2.97)*2+((7+2.5+7.5)*2.97)</f>
        <v>210.87000000000003</v>
      </c>
      <c r="G7" s="56">
        <f>11*1.5</f>
        <v>16.5</v>
      </c>
      <c r="H7" s="56">
        <f>3.5+3.5+4.4+4.4+3.5+3.5+3.5+2.4+3.7+4.2</f>
        <v>36.6</v>
      </c>
      <c r="I7" s="56">
        <f>SUM(D7:H7)-I18-D58+G58*2.2+25</f>
        <v>858.67699999999991</v>
      </c>
      <c r="J7" s="56"/>
    </row>
    <row r="8" spans="1:10" s="58" customFormat="1" x14ac:dyDescent="0.3">
      <c r="A8" s="54">
        <v>4</v>
      </c>
      <c r="B8" s="55">
        <v>9.6</v>
      </c>
      <c r="C8" s="54">
        <v>4</v>
      </c>
      <c r="D8" s="56">
        <f>(((7+7+7+7+6.5+6.5+6.5+2.3+3.4)*2.6)+((4+1.1+2.8)*2.97))*2+(7+7+7+7+2.5+3.4+3.4+3.4+3.1)*2.6+(2.9+2.9+0.9+0.9+3.7+3.5+0.7+2.9)*2.97</f>
        <v>492.09399999999994</v>
      </c>
      <c r="E8" s="56">
        <f>((6.7+7+7+2.9+1.5+1.2)*2.97)*3</f>
        <v>234.33299999999997</v>
      </c>
      <c r="F8" s="56">
        <f>((3.2+2.2+3.8+7.7+2.7+7.4)*2.97)*2+((7+2.5+7.5)*2.97)</f>
        <v>210.87000000000003</v>
      </c>
      <c r="G8" s="56">
        <f>11*1.5</f>
        <v>16.5</v>
      </c>
      <c r="H8" s="56">
        <f>3.5+3.5+4.4+4.4+3.5+3.5+3.5+2.4+3.7+4.2</f>
        <v>36.6</v>
      </c>
      <c r="I8" s="56">
        <f>SUM(D8:H8)-I18-D59+G59*2.2+25</f>
        <v>858.67699999999991</v>
      </c>
      <c r="J8" s="56"/>
    </row>
    <row r="9" spans="1:10" s="58" customFormat="1" x14ac:dyDescent="0.3">
      <c r="A9" s="54"/>
      <c r="B9" s="55"/>
      <c r="C9" s="54"/>
      <c r="D9" s="56"/>
      <c r="E9" s="56"/>
      <c r="F9" s="56"/>
      <c r="G9" s="56"/>
      <c r="H9" s="56"/>
      <c r="I9" s="55">
        <f>SUM(I4:I8)</f>
        <v>4151.9689999999991</v>
      </c>
      <c r="J9" s="55">
        <f>SUM(J4:J8)</f>
        <v>0</v>
      </c>
    </row>
    <row r="11" spans="1:10" s="58" customFormat="1" ht="16.2" x14ac:dyDescent="0.3">
      <c r="A11" s="77" t="s">
        <v>202</v>
      </c>
      <c r="B11" s="78"/>
      <c r="C11" s="78"/>
      <c r="D11" s="78"/>
      <c r="E11" s="78"/>
      <c r="F11" s="78"/>
      <c r="G11" s="78"/>
      <c r="H11" s="78"/>
      <c r="I11" s="78"/>
      <c r="J11" s="79"/>
    </row>
    <row r="12" spans="1:10" s="58" customFormat="1" ht="16.2" x14ac:dyDescent="0.3">
      <c r="A12" s="59" t="s">
        <v>0</v>
      </c>
      <c r="B12" s="59" t="s">
        <v>198</v>
      </c>
      <c r="C12" s="59" t="s">
        <v>19</v>
      </c>
      <c r="D12" s="59"/>
      <c r="E12" s="59"/>
      <c r="F12" s="59"/>
      <c r="G12" s="59"/>
      <c r="H12" s="59"/>
      <c r="I12" s="59" t="s">
        <v>8</v>
      </c>
      <c r="J12" s="59" t="s">
        <v>201</v>
      </c>
    </row>
    <row r="13" spans="1:10" s="58" customFormat="1" x14ac:dyDescent="0.3">
      <c r="A13" s="60">
        <v>1</v>
      </c>
      <c r="B13" s="60">
        <v>2</v>
      </c>
      <c r="C13" s="60">
        <v>3</v>
      </c>
      <c r="D13" s="60">
        <v>4</v>
      </c>
      <c r="E13" s="60">
        <v>5</v>
      </c>
      <c r="F13" s="60">
        <v>6</v>
      </c>
      <c r="G13" s="60">
        <v>7</v>
      </c>
      <c r="H13" s="60">
        <v>8</v>
      </c>
      <c r="I13" s="60">
        <v>9</v>
      </c>
      <c r="J13" s="60">
        <v>10</v>
      </c>
    </row>
    <row r="14" spans="1:10" s="58" customFormat="1" x14ac:dyDescent="0.3">
      <c r="A14" s="54">
        <v>1</v>
      </c>
      <c r="B14" s="55">
        <v>-2.2999999999999998</v>
      </c>
      <c r="C14" s="54">
        <v>1</v>
      </c>
      <c r="D14" s="56">
        <f>1.6*0.6*18</f>
        <v>17.28</v>
      </c>
      <c r="E14" s="56"/>
      <c r="F14" s="56"/>
      <c r="G14" s="56"/>
      <c r="H14" s="56"/>
      <c r="I14" s="56">
        <f>SUM(D14:H14)</f>
        <v>17.28</v>
      </c>
      <c r="J14" s="56"/>
    </row>
    <row r="15" spans="1:10" s="58" customFormat="1" x14ac:dyDescent="0.3">
      <c r="A15" s="54">
        <v>2</v>
      </c>
      <c r="B15" s="55">
        <v>0</v>
      </c>
      <c r="C15" s="54">
        <v>2</v>
      </c>
      <c r="D15" s="56">
        <f>(1.6*1.6)*12+(1*1.6)*2+(1.6*2.6)*12+(1*2.6)*3+(1.7*2.6)*6</f>
        <v>118.16</v>
      </c>
      <c r="F15" s="56"/>
      <c r="G15" s="56"/>
      <c r="H15" s="56"/>
      <c r="I15" s="56">
        <f>SUM(D15:H15)</f>
        <v>118.16</v>
      </c>
      <c r="J15" s="56"/>
    </row>
    <row r="16" spans="1:10" s="58" customFormat="1" x14ac:dyDescent="0.3">
      <c r="A16" s="54">
        <v>2</v>
      </c>
      <c r="B16" s="55">
        <v>3.2</v>
      </c>
      <c r="C16" s="54">
        <v>2</v>
      </c>
      <c r="D16" s="56">
        <f>(1.6*1.6)*6+(1*1.6)*2+(1.6*2.6)*16+(1*2.6)*7+(1.7*2.6)*10+(1.2*2)*2</f>
        <v>152.32000000000002</v>
      </c>
      <c r="E16" s="56"/>
      <c r="F16" s="56"/>
      <c r="G16" s="56"/>
      <c r="H16" s="56"/>
      <c r="I16" s="56">
        <f>SUM(D16:H16)</f>
        <v>152.32000000000002</v>
      </c>
      <c r="J16" s="56"/>
    </row>
    <row r="17" spans="1:10" s="58" customFormat="1" x14ac:dyDescent="0.3">
      <c r="A17" s="54">
        <v>3</v>
      </c>
      <c r="B17" s="55">
        <v>6.4</v>
      </c>
      <c r="C17" s="54">
        <v>3</v>
      </c>
      <c r="D17" s="56">
        <f>(1.6*1.6)*6+(1*1.6)*2+(1.6*2.6)*16+(1*2.6)*7+(1.7*2.6)*10+(1.2*2)*2</f>
        <v>152.32000000000002</v>
      </c>
      <c r="E17" s="56"/>
      <c r="F17" s="56"/>
      <c r="G17" s="56"/>
      <c r="H17" s="56"/>
      <c r="I17" s="56">
        <f>SUM(D17:H17)</f>
        <v>152.32000000000002</v>
      </c>
      <c r="J17" s="56"/>
    </row>
    <row r="18" spans="1:10" s="58" customFormat="1" x14ac:dyDescent="0.3">
      <c r="A18" s="54">
        <v>4</v>
      </c>
      <c r="B18" s="55">
        <v>9.6</v>
      </c>
      <c r="C18" s="54">
        <v>4</v>
      </c>
      <c r="D18" s="56">
        <f>(1.6*1.6)*6+(1*1.6)*2+(1.6*2.6)*16+(1*2.6)*7+(1.7*2.6)*10+(1.2*2)*2</f>
        <v>152.32000000000002</v>
      </c>
      <c r="E18" s="56"/>
      <c r="F18" s="56"/>
      <c r="G18" s="56"/>
      <c r="H18" s="56"/>
      <c r="I18" s="56">
        <f>SUM(D18:H18)</f>
        <v>152.32000000000002</v>
      </c>
      <c r="J18" s="56"/>
    </row>
    <row r="19" spans="1:10" s="58" customFormat="1" x14ac:dyDescent="0.3">
      <c r="A19" s="54"/>
      <c r="B19" s="55"/>
      <c r="C19" s="54"/>
      <c r="D19" s="56"/>
      <c r="E19" s="56"/>
      <c r="F19" s="56"/>
      <c r="G19" s="56"/>
      <c r="H19" s="56"/>
      <c r="I19" s="55">
        <f>SUM(I14:I18)</f>
        <v>592.40000000000009</v>
      </c>
      <c r="J19" s="55">
        <f>SUM(J14:J18)</f>
        <v>0</v>
      </c>
    </row>
    <row r="21" spans="1:10" s="58" customFormat="1" ht="16.2" x14ac:dyDescent="0.3">
      <c r="A21" s="77" t="s">
        <v>199</v>
      </c>
      <c r="B21" s="78"/>
      <c r="C21" s="78"/>
      <c r="D21" s="78"/>
      <c r="E21" s="78"/>
      <c r="F21" s="78"/>
      <c r="G21" s="78"/>
      <c r="H21" s="78"/>
      <c r="I21" s="78"/>
      <c r="J21" s="79"/>
    </row>
    <row r="22" spans="1:10" s="58" customFormat="1" ht="16.2" x14ac:dyDescent="0.3">
      <c r="A22" s="59" t="s">
        <v>0</v>
      </c>
      <c r="B22" s="59" t="s">
        <v>198</v>
      </c>
      <c r="C22" s="59" t="s">
        <v>19</v>
      </c>
      <c r="D22" s="59" t="s">
        <v>203</v>
      </c>
      <c r="E22" s="59" t="s">
        <v>204</v>
      </c>
      <c r="F22" s="59" t="s">
        <v>205</v>
      </c>
      <c r="G22" s="59" t="s">
        <v>242</v>
      </c>
      <c r="H22" s="59" t="s">
        <v>206</v>
      </c>
      <c r="I22" s="59" t="s">
        <v>8</v>
      </c>
      <c r="J22" s="59" t="s">
        <v>201</v>
      </c>
    </row>
    <row r="23" spans="1:10" s="58" customFormat="1" x14ac:dyDescent="0.3">
      <c r="A23" s="60">
        <v>1</v>
      </c>
      <c r="B23" s="60">
        <v>2</v>
      </c>
      <c r="C23" s="60">
        <v>3</v>
      </c>
      <c r="D23" s="60">
        <v>4</v>
      </c>
      <c r="E23" s="60">
        <v>5</v>
      </c>
      <c r="F23" s="60">
        <v>6</v>
      </c>
      <c r="G23" s="60">
        <v>7</v>
      </c>
      <c r="H23" s="60">
        <v>8</v>
      </c>
      <c r="I23" s="60">
        <v>9</v>
      </c>
      <c r="J23" s="60">
        <v>10</v>
      </c>
    </row>
    <row r="24" spans="1:10" s="58" customFormat="1" x14ac:dyDescent="0.3">
      <c r="A24" s="54">
        <v>1</v>
      </c>
      <c r="B24" s="55">
        <v>-2.2999999999999998</v>
      </c>
      <c r="C24" s="54">
        <v>1</v>
      </c>
      <c r="D24" s="56">
        <v>0</v>
      </c>
      <c r="E24" s="56"/>
      <c r="F24" s="56">
        <v>0</v>
      </c>
      <c r="G24" s="56"/>
      <c r="H24" s="56">
        <f>1.6*18</f>
        <v>28.8</v>
      </c>
      <c r="I24" s="56">
        <f t="shared" ref="I24:I29" si="0">SUM(D24:H24)</f>
        <v>28.8</v>
      </c>
      <c r="J24" s="56"/>
    </row>
    <row r="25" spans="1:10" s="58" customFormat="1" x14ac:dyDescent="0.3">
      <c r="A25" s="54">
        <v>2</v>
      </c>
      <c r="B25" s="55">
        <v>0</v>
      </c>
      <c r="C25" s="54">
        <v>2</v>
      </c>
      <c r="D25" s="80">
        <v>1072.18</v>
      </c>
      <c r="E25" s="56">
        <f>(2.2+2.2+2.5+1.3+3.8+1.3+4+2+1.8+3.4+1.6+1.1+2.9+2.2+2.2+2.5+1.3+3.8+1.3+4+2+1.8+3.4+1.6+1.1+2.9+2.6+1.1+2.6+1.1+3.5+3.8+1.25+1.15+2+2+2.9+2.4+2.2)*2.97</f>
        <v>263.73600000000005</v>
      </c>
      <c r="F25" s="61">
        <f>(15.4+15.4+2.65+5+1+2.7+2.7+5+2.7)+2.6*16+1.6*46+4*1+3.2*2+1.4*12+3*8</f>
        <v>218.95</v>
      </c>
      <c r="G25" s="80">
        <v>0</v>
      </c>
      <c r="H25" s="61">
        <f>1.7*14+1*2+3.1*3+3.2*3</f>
        <v>44.7</v>
      </c>
      <c r="I25" s="56">
        <f t="shared" si="0"/>
        <v>1599.5660000000003</v>
      </c>
      <c r="J25" s="56"/>
    </row>
    <row r="26" spans="1:10" s="58" customFormat="1" x14ac:dyDescent="0.3">
      <c r="A26" s="54">
        <v>3</v>
      </c>
      <c r="B26" s="55">
        <v>3.2</v>
      </c>
      <c r="C26" s="54">
        <v>3</v>
      </c>
      <c r="D26" s="81"/>
      <c r="E26" s="56">
        <f>(4+2+2+2.9+0.9+0.4+4+2+2+2.9+0.9+0.4+2.9+2.2+2.1+2.9+0.9+0.4+0.8+3.5+0.9+3.1+3.7+2+1.8+2.9+0.9+0.4)*2.97</f>
        <v>165.72599999999997</v>
      </c>
      <c r="F26" s="86">
        <f>(2.3*2+1*6+2.6*32+1.6*32+3*8)*3</f>
        <v>507</v>
      </c>
      <c r="G26" s="81"/>
      <c r="H26" s="61">
        <f>14*1.6+1*4+1.4*2</f>
        <v>29.200000000000003</v>
      </c>
      <c r="I26" s="56">
        <f t="shared" si="0"/>
        <v>701.92600000000004</v>
      </c>
      <c r="J26" s="56"/>
    </row>
    <row r="27" spans="1:10" s="58" customFormat="1" x14ac:dyDescent="0.3">
      <c r="A27" s="54">
        <v>4</v>
      </c>
      <c r="B27" s="55">
        <v>6.4</v>
      </c>
      <c r="C27" s="54">
        <v>4</v>
      </c>
      <c r="D27" s="81"/>
      <c r="E27" s="56">
        <f>(4+2+2+2.9+0.9+0.4+4+2+2+2.9+0.9+0.4+2.9+2.2+2.1+2.9+0.9+0.4+0.8+3.5+0.9+3.1+3.7+2+1.8+2.9+0.9+0.4)*2.97</f>
        <v>165.72599999999997</v>
      </c>
      <c r="F27" s="87"/>
      <c r="G27" s="81"/>
      <c r="H27" s="61">
        <f>14*1.6+1*4+1.4*2</f>
        <v>29.200000000000003</v>
      </c>
      <c r="I27" s="56">
        <f t="shared" si="0"/>
        <v>194.92599999999999</v>
      </c>
      <c r="J27" s="56"/>
    </row>
    <row r="28" spans="1:10" s="58" customFormat="1" x14ac:dyDescent="0.3">
      <c r="A28" s="54">
        <v>5</v>
      </c>
      <c r="B28" s="55">
        <v>9.6</v>
      </c>
      <c r="C28" s="54">
        <v>5</v>
      </c>
      <c r="D28" s="81"/>
      <c r="E28" s="56">
        <f>(4+2+2+2.9+0.9+0.4+4+2+2+2.9+0.9+0.4+2.9+2.2+2.1+2.9+0.9+0.4+0.8+3.5+0.9+3.1+3.7+2+1.8+2.9+0.9+0.4)*2.97</f>
        <v>165.72599999999997</v>
      </c>
      <c r="F28" s="88"/>
      <c r="G28" s="81"/>
      <c r="H28" s="61">
        <f>14*1.6+1*4+1.4*2</f>
        <v>29.200000000000003</v>
      </c>
      <c r="I28" s="56">
        <f t="shared" si="0"/>
        <v>194.92599999999999</v>
      </c>
      <c r="J28" s="56"/>
    </row>
    <row r="29" spans="1:10" s="58" customFormat="1" x14ac:dyDescent="0.3">
      <c r="A29" s="54"/>
      <c r="B29" s="55"/>
      <c r="C29" s="54">
        <v>6</v>
      </c>
      <c r="D29" s="82"/>
      <c r="E29" s="56"/>
      <c r="F29" s="61">
        <v>4</v>
      </c>
      <c r="G29" s="82"/>
      <c r="H29" s="56"/>
      <c r="I29" s="56">
        <f t="shared" si="0"/>
        <v>4</v>
      </c>
      <c r="J29" s="56"/>
    </row>
    <row r="30" spans="1:10" s="58" customFormat="1" x14ac:dyDescent="0.3">
      <c r="A30" s="54"/>
      <c r="B30" s="55"/>
      <c r="C30" s="54"/>
      <c r="D30" s="56"/>
      <c r="E30" s="56"/>
      <c r="F30" s="56"/>
      <c r="G30" s="56"/>
      <c r="H30" s="56"/>
      <c r="I30" s="55">
        <f>SUM(I24:I29)</f>
        <v>2724.1440000000002</v>
      </c>
      <c r="J30" s="55">
        <f>SUM(J25:J28)</f>
        <v>0</v>
      </c>
    </row>
    <row r="32" spans="1:10" s="58" customFormat="1" ht="16.2" x14ac:dyDescent="0.3">
      <c r="A32" s="77" t="s">
        <v>207</v>
      </c>
      <c r="B32" s="78"/>
      <c r="C32" s="78"/>
      <c r="D32" s="78"/>
      <c r="E32" s="78"/>
      <c r="F32" s="78"/>
      <c r="G32" s="78"/>
      <c r="H32" s="78"/>
      <c r="I32" s="78"/>
      <c r="J32" s="79"/>
    </row>
    <row r="33" spans="1:13" s="58" customFormat="1" ht="16.2" x14ac:dyDescent="0.3">
      <c r="A33" s="59" t="s">
        <v>0</v>
      </c>
      <c r="B33" s="59" t="s">
        <v>198</v>
      </c>
      <c r="C33" s="59" t="s">
        <v>19</v>
      </c>
      <c r="D33" s="59" t="s">
        <v>208</v>
      </c>
      <c r="E33" s="59" t="s">
        <v>209</v>
      </c>
      <c r="F33" s="59" t="s">
        <v>210</v>
      </c>
      <c r="G33" s="59" t="s">
        <v>211</v>
      </c>
      <c r="H33" s="59" t="s">
        <v>212</v>
      </c>
      <c r="I33" s="59" t="s">
        <v>8</v>
      </c>
      <c r="J33" s="59" t="s">
        <v>201</v>
      </c>
    </row>
    <row r="34" spans="1:13" s="58" customFormat="1" x14ac:dyDescent="0.3">
      <c r="A34" s="60">
        <v>1</v>
      </c>
      <c r="B34" s="60">
        <v>2</v>
      </c>
      <c r="C34" s="60">
        <v>3</v>
      </c>
      <c r="D34" s="60">
        <v>4</v>
      </c>
      <c r="E34" s="60">
        <v>5</v>
      </c>
      <c r="F34" s="60">
        <v>6</v>
      </c>
      <c r="G34" s="60">
        <v>7</v>
      </c>
      <c r="H34" s="60">
        <v>8</v>
      </c>
      <c r="I34" s="60">
        <v>9</v>
      </c>
      <c r="J34" s="60">
        <v>10</v>
      </c>
    </row>
    <row r="35" spans="1:13" s="58" customFormat="1" x14ac:dyDescent="0.3">
      <c r="A35" s="54">
        <v>1</v>
      </c>
      <c r="B35" s="55">
        <v>-2.2999999999999998</v>
      </c>
      <c r="C35" s="54">
        <v>1</v>
      </c>
      <c r="D35" s="56">
        <f>5.8*2.32</f>
        <v>13.456</v>
      </c>
      <c r="E35" s="56"/>
      <c r="F35" s="56">
        <f>5.2*2.32</f>
        <v>12.064</v>
      </c>
      <c r="G35" s="56">
        <v>0</v>
      </c>
      <c r="H35" s="56">
        <v>0</v>
      </c>
      <c r="I35" s="56">
        <f>SUM(D35:H35)</f>
        <v>25.52</v>
      </c>
      <c r="J35" s="56"/>
    </row>
    <row r="36" spans="1:13" s="58" customFormat="1" x14ac:dyDescent="0.3">
      <c r="A36" s="54">
        <v>2</v>
      </c>
      <c r="B36" s="55">
        <v>0</v>
      </c>
      <c r="C36" s="54">
        <v>2</v>
      </c>
      <c r="D36" s="56">
        <v>0</v>
      </c>
      <c r="E36" s="56">
        <f>(1.4+1.63+1.1+1.1+1.4+1.63)*2.97</f>
        <v>24.532200000000007</v>
      </c>
      <c r="F36" s="56">
        <f>18.4*2.97</f>
        <v>54.647999999999996</v>
      </c>
      <c r="G36" s="56">
        <f>12.9*2.97</f>
        <v>38.313000000000002</v>
      </c>
      <c r="H36" s="56">
        <v>63.9</v>
      </c>
      <c r="I36" s="56">
        <f>SUM(D36:H36)</f>
        <v>181.39320000000001</v>
      </c>
      <c r="J36" s="56"/>
    </row>
    <row r="37" spans="1:13" s="58" customFormat="1" x14ac:dyDescent="0.3">
      <c r="A37" s="54">
        <v>2</v>
      </c>
      <c r="B37" s="55">
        <v>3.2</v>
      </c>
      <c r="C37" s="54">
        <v>3</v>
      </c>
      <c r="D37" s="56">
        <v>0</v>
      </c>
      <c r="E37" s="56">
        <f>(1.4+1.63+1.1+1.1+1.4+1.63)*2.97</f>
        <v>24.532200000000007</v>
      </c>
      <c r="F37" s="56">
        <f>30.2*2.98</f>
        <v>89.995999999999995</v>
      </c>
      <c r="G37" s="56">
        <f>12.9*2.97</f>
        <v>38.313000000000002</v>
      </c>
      <c r="H37" s="56">
        <v>63.9</v>
      </c>
      <c r="I37" s="56">
        <f>SUM(D37:H37)</f>
        <v>216.74120000000002</v>
      </c>
      <c r="J37" s="56"/>
    </row>
    <row r="38" spans="1:13" s="58" customFormat="1" x14ac:dyDescent="0.3">
      <c r="A38" s="54">
        <v>3</v>
      </c>
      <c r="B38" s="55">
        <v>6.4</v>
      </c>
      <c r="C38" s="54">
        <v>4</v>
      </c>
      <c r="D38" s="56">
        <v>0</v>
      </c>
      <c r="E38" s="56">
        <f>(1.4+1.63+1.1+1.1+1.4+1.63)*2.97</f>
        <v>24.532200000000007</v>
      </c>
      <c r="F38" s="56">
        <f>30.2*2.98</f>
        <v>89.995999999999995</v>
      </c>
      <c r="G38" s="56">
        <f>12.9*2.97</f>
        <v>38.313000000000002</v>
      </c>
      <c r="H38" s="56">
        <v>63.9</v>
      </c>
      <c r="I38" s="56">
        <f>SUM(D38:H38)</f>
        <v>216.74120000000002</v>
      </c>
      <c r="J38" s="56"/>
    </row>
    <row r="39" spans="1:13" s="58" customFormat="1" x14ac:dyDescent="0.3">
      <c r="A39" s="54">
        <v>4</v>
      </c>
      <c r="B39" s="55">
        <v>9.6</v>
      </c>
      <c r="C39" s="54">
        <v>5</v>
      </c>
      <c r="D39" s="56">
        <v>0</v>
      </c>
      <c r="E39" s="56">
        <f>(1.4+1.63+1.1+1.1+1.4+1.63)*2.97</f>
        <v>24.532200000000007</v>
      </c>
      <c r="F39" s="56">
        <f>30.2*2.98</f>
        <v>89.995999999999995</v>
      </c>
      <c r="G39" s="56">
        <f>12.9*2.97</f>
        <v>38.313000000000002</v>
      </c>
      <c r="H39" s="56">
        <v>63.9</v>
      </c>
      <c r="I39" s="56">
        <f>SUM(D39:H39)</f>
        <v>216.74120000000002</v>
      </c>
      <c r="J39" s="56"/>
      <c r="M39" s="62"/>
    </row>
    <row r="40" spans="1:13" x14ac:dyDescent="0.3">
      <c r="A40" s="8"/>
      <c r="B40" s="12"/>
      <c r="C40" s="8"/>
      <c r="D40" s="10"/>
      <c r="E40" s="10"/>
      <c r="F40" s="10"/>
      <c r="G40" s="10"/>
      <c r="H40" s="10"/>
      <c r="I40" s="12">
        <f>SUM(I35:I39)</f>
        <v>857.13680000000011</v>
      </c>
      <c r="J40" s="12">
        <f>SUM(J35:J39)</f>
        <v>0</v>
      </c>
    </row>
    <row r="42" spans="1:13" ht="16.2" x14ac:dyDescent="0.3">
      <c r="A42" s="83" t="s">
        <v>152</v>
      </c>
      <c r="B42" s="84"/>
      <c r="C42" s="84"/>
      <c r="D42" s="84"/>
      <c r="E42" s="84"/>
      <c r="F42" s="84"/>
      <c r="G42" s="84"/>
      <c r="H42" s="84"/>
      <c r="I42" s="84"/>
      <c r="J42" s="85"/>
    </row>
    <row r="43" spans="1:13" ht="16.2" x14ac:dyDescent="0.3">
      <c r="A43" s="6" t="s">
        <v>0</v>
      </c>
      <c r="B43" s="6" t="s">
        <v>198</v>
      </c>
      <c r="C43" s="6" t="s">
        <v>19</v>
      </c>
      <c r="D43" s="6" t="s">
        <v>213</v>
      </c>
      <c r="E43" s="6" t="s">
        <v>214</v>
      </c>
      <c r="F43" s="6" t="s">
        <v>215</v>
      </c>
      <c r="G43" s="6" t="s">
        <v>241</v>
      </c>
      <c r="H43" s="6" t="s">
        <v>243</v>
      </c>
      <c r="I43" s="6" t="s">
        <v>8</v>
      </c>
      <c r="J43" s="6" t="s">
        <v>201</v>
      </c>
    </row>
    <row r="44" spans="1:13" x14ac:dyDescent="0.3">
      <c r="A44" s="7">
        <v>1</v>
      </c>
      <c r="B44" s="7">
        <v>2</v>
      </c>
      <c r="C44" s="7">
        <v>3</v>
      </c>
      <c r="D44" s="7">
        <v>4</v>
      </c>
      <c r="E44" s="7">
        <v>5</v>
      </c>
      <c r="F44" s="7">
        <v>6</v>
      </c>
      <c r="G44" s="7">
        <v>7</v>
      </c>
      <c r="H44" s="7">
        <v>8</v>
      </c>
      <c r="I44" s="7">
        <v>9</v>
      </c>
      <c r="J44" s="7">
        <v>10</v>
      </c>
    </row>
    <row r="45" spans="1:13" s="58" customFormat="1" x14ac:dyDescent="0.3">
      <c r="A45" s="54">
        <v>1</v>
      </c>
      <c r="B45" s="55">
        <v>-2.2999999999999998</v>
      </c>
      <c r="C45" s="54">
        <v>1</v>
      </c>
      <c r="D45" s="56">
        <f>167.7*2.32</f>
        <v>389.06399999999996</v>
      </c>
      <c r="E45" s="56">
        <f t="shared" ref="E45:F49" si="1">D45</f>
        <v>389.06399999999996</v>
      </c>
      <c r="F45" s="56">
        <f t="shared" si="1"/>
        <v>389.06399999999996</v>
      </c>
      <c r="G45" s="56">
        <f>(0.75*2.32)*3</f>
        <v>5.2199999999999989</v>
      </c>
      <c r="H45" s="56">
        <f>1.94*3</f>
        <v>5.82</v>
      </c>
      <c r="I45" s="56">
        <f>SUM(D45:H45)</f>
        <v>1178.232</v>
      </c>
      <c r="J45" s="56"/>
    </row>
    <row r="46" spans="1:13" s="58" customFormat="1" x14ac:dyDescent="0.3">
      <c r="A46" s="54">
        <v>2</v>
      </c>
      <c r="B46" s="55">
        <v>0</v>
      </c>
      <c r="C46" s="54">
        <v>2</v>
      </c>
      <c r="D46" s="56">
        <f>105.1*2.98</f>
        <v>313.19799999999998</v>
      </c>
      <c r="E46" s="56">
        <f t="shared" si="1"/>
        <v>313.19799999999998</v>
      </c>
      <c r="F46" s="56">
        <f t="shared" si="1"/>
        <v>313.19799999999998</v>
      </c>
      <c r="G46" s="56">
        <f>(3.6*2.97)*3</f>
        <v>32.076000000000001</v>
      </c>
      <c r="H46" s="56">
        <f>8.45*3</f>
        <v>25.349999999999998</v>
      </c>
      <c r="I46" s="56">
        <f>SUM(D46:H46)</f>
        <v>997.02</v>
      </c>
      <c r="J46" s="56"/>
    </row>
    <row r="47" spans="1:13" s="58" customFormat="1" x14ac:dyDescent="0.3">
      <c r="A47" s="54">
        <v>2</v>
      </c>
      <c r="B47" s="55">
        <v>3.2</v>
      </c>
      <c r="C47" s="54">
        <v>3</v>
      </c>
      <c r="D47" s="56">
        <f>105.1*2.98</f>
        <v>313.19799999999998</v>
      </c>
      <c r="E47" s="56">
        <f t="shared" si="1"/>
        <v>313.19799999999998</v>
      </c>
      <c r="F47" s="56">
        <f t="shared" si="1"/>
        <v>313.19799999999998</v>
      </c>
      <c r="G47" s="56">
        <f>(3.6*2.97)*3</f>
        <v>32.076000000000001</v>
      </c>
      <c r="H47" s="56">
        <f>8.45*3</f>
        <v>25.349999999999998</v>
      </c>
      <c r="I47" s="56">
        <f>SUM(D47:H47)</f>
        <v>997.02</v>
      </c>
      <c r="J47" s="56"/>
    </row>
    <row r="48" spans="1:13" s="58" customFormat="1" x14ac:dyDescent="0.3">
      <c r="A48" s="54">
        <v>3</v>
      </c>
      <c r="B48" s="55">
        <v>6.4</v>
      </c>
      <c r="C48" s="54">
        <v>4</v>
      </c>
      <c r="D48" s="56">
        <f>105.1*2.98</f>
        <v>313.19799999999998</v>
      </c>
      <c r="E48" s="56">
        <f t="shared" si="1"/>
        <v>313.19799999999998</v>
      </c>
      <c r="F48" s="56">
        <f t="shared" si="1"/>
        <v>313.19799999999998</v>
      </c>
      <c r="G48" s="56">
        <f>(3.6*2.97)*3</f>
        <v>32.076000000000001</v>
      </c>
      <c r="H48" s="56">
        <f>8.45*3</f>
        <v>25.349999999999998</v>
      </c>
      <c r="I48" s="56">
        <f>SUM(D48:H48)</f>
        <v>997.02</v>
      </c>
      <c r="J48" s="56"/>
    </row>
    <row r="49" spans="1:10" s="58" customFormat="1" x14ac:dyDescent="0.3">
      <c r="A49" s="54">
        <v>4</v>
      </c>
      <c r="B49" s="55">
        <v>9.6</v>
      </c>
      <c r="C49" s="54">
        <v>5</v>
      </c>
      <c r="D49" s="56">
        <f>105.1*2.98</f>
        <v>313.19799999999998</v>
      </c>
      <c r="E49" s="56">
        <f t="shared" si="1"/>
        <v>313.19799999999998</v>
      </c>
      <c r="F49" s="56">
        <f t="shared" si="1"/>
        <v>313.19799999999998</v>
      </c>
      <c r="G49" s="56">
        <f>(3.6*2.97)*3</f>
        <v>32.076000000000001</v>
      </c>
      <c r="H49" s="56">
        <f>8.45*3</f>
        <v>25.349999999999998</v>
      </c>
      <c r="I49" s="56">
        <f>SUM(D49:H49)</f>
        <v>997.02</v>
      </c>
      <c r="J49" s="56"/>
    </row>
    <row r="50" spans="1:10" x14ac:dyDescent="0.3">
      <c r="A50" s="8"/>
      <c r="B50" s="12"/>
      <c r="C50" s="8"/>
      <c r="D50" s="10"/>
      <c r="E50" s="10"/>
      <c r="F50" s="10"/>
      <c r="G50" s="10"/>
      <c r="H50" s="10"/>
      <c r="I50" s="12">
        <f>SUM(I45:I49)</f>
        <v>5166.3119999999999</v>
      </c>
      <c r="J50" s="12">
        <f>SUM(J45:J49)</f>
        <v>0</v>
      </c>
    </row>
    <row r="52" spans="1:10" s="58" customFormat="1" ht="16.2" x14ac:dyDescent="0.3">
      <c r="A52" s="77" t="s">
        <v>216</v>
      </c>
      <c r="B52" s="78"/>
      <c r="C52" s="78"/>
      <c r="D52" s="78"/>
      <c r="E52" s="78"/>
      <c r="F52" s="78"/>
      <c r="G52" s="78"/>
      <c r="H52" s="78"/>
      <c r="I52" s="78"/>
      <c r="J52" s="79"/>
    </row>
    <row r="53" spans="1:10" s="58" customFormat="1" ht="16.2" x14ac:dyDescent="0.3">
      <c r="A53" s="59" t="s">
        <v>0</v>
      </c>
      <c r="B53" s="59" t="s">
        <v>198</v>
      </c>
      <c r="C53" s="59" t="s">
        <v>19</v>
      </c>
      <c r="D53" s="59" t="s">
        <v>217</v>
      </c>
      <c r="E53" s="59" t="s">
        <v>218</v>
      </c>
      <c r="F53" s="59" t="s">
        <v>219</v>
      </c>
      <c r="G53" s="59" t="s">
        <v>220</v>
      </c>
      <c r="H53" s="59" t="s">
        <v>331</v>
      </c>
      <c r="I53" s="59" t="s">
        <v>8</v>
      </c>
      <c r="J53" s="59" t="s">
        <v>201</v>
      </c>
    </row>
    <row r="54" spans="1:10" s="58" customFormat="1" x14ac:dyDescent="0.3">
      <c r="A54" s="60">
        <v>1</v>
      </c>
      <c r="B54" s="60">
        <v>2</v>
      </c>
      <c r="C54" s="60">
        <v>3</v>
      </c>
      <c r="D54" s="60">
        <v>4</v>
      </c>
      <c r="E54" s="60">
        <v>5</v>
      </c>
      <c r="F54" s="60">
        <v>6</v>
      </c>
      <c r="G54" s="60">
        <v>7</v>
      </c>
      <c r="H54" s="60">
        <v>8</v>
      </c>
      <c r="I54" s="60">
        <v>9</v>
      </c>
      <c r="J54" s="60">
        <v>10</v>
      </c>
    </row>
    <row r="55" spans="1:10" s="58" customFormat="1" x14ac:dyDescent="0.3">
      <c r="A55" s="54">
        <v>1</v>
      </c>
      <c r="B55" s="55">
        <v>-2.2999999999999998</v>
      </c>
      <c r="C55" s="54">
        <v>1</v>
      </c>
      <c r="D55" s="56">
        <v>30</v>
      </c>
      <c r="E55" s="56">
        <v>0</v>
      </c>
      <c r="F55" s="56">
        <v>0</v>
      </c>
      <c r="G55" s="56">
        <v>3</v>
      </c>
      <c r="H55" s="56">
        <v>0</v>
      </c>
      <c r="I55" s="56">
        <f>SUM(D55:H55)</f>
        <v>33</v>
      </c>
      <c r="J55" s="56"/>
    </row>
    <row r="56" spans="1:10" s="58" customFormat="1" x14ac:dyDescent="0.3">
      <c r="A56" s="54">
        <v>2</v>
      </c>
      <c r="B56" s="55">
        <v>0</v>
      </c>
      <c r="C56" s="54">
        <v>2</v>
      </c>
      <c r="D56" s="56">
        <v>11</v>
      </c>
      <c r="E56" s="56">
        <v>3</v>
      </c>
      <c r="F56" s="56">
        <v>3</v>
      </c>
      <c r="G56" s="56">
        <v>0</v>
      </c>
      <c r="H56" s="56">
        <v>11</v>
      </c>
      <c r="I56" s="56">
        <f>SUM(D56:H56)</f>
        <v>28</v>
      </c>
      <c r="J56" s="56"/>
    </row>
    <row r="57" spans="1:10" s="58" customFormat="1" x14ac:dyDescent="0.3">
      <c r="A57" s="54">
        <v>3</v>
      </c>
      <c r="B57" s="55">
        <v>3.2</v>
      </c>
      <c r="C57" s="54">
        <v>2</v>
      </c>
      <c r="D57" s="56">
        <v>11</v>
      </c>
      <c r="E57" s="56">
        <v>0</v>
      </c>
      <c r="F57" s="56">
        <v>0</v>
      </c>
      <c r="G57" s="56">
        <v>3</v>
      </c>
      <c r="H57" s="56">
        <v>11</v>
      </c>
      <c r="I57" s="56">
        <f>SUM(D57:H57)</f>
        <v>25</v>
      </c>
      <c r="J57" s="56"/>
    </row>
    <row r="58" spans="1:10" s="58" customFormat="1" x14ac:dyDescent="0.3">
      <c r="A58" s="54">
        <v>4</v>
      </c>
      <c r="B58" s="55">
        <v>6.4</v>
      </c>
      <c r="C58" s="54">
        <v>3</v>
      </c>
      <c r="D58" s="56">
        <v>11</v>
      </c>
      <c r="E58" s="56">
        <v>0</v>
      </c>
      <c r="F58" s="56">
        <v>0</v>
      </c>
      <c r="G58" s="56">
        <v>3</v>
      </c>
      <c r="H58" s="56">
        <v>11</v>
      </c>
      <c r="I58" s="56">
        <f>SUM(D58:H58)</f>
        <v>25</v>
      </c>
      <c r="J58" s="56"/>
    </row>
    <row r="59" spans="1:10" s="58" customFormat="1" x14ac:dyDescent="0.3">
      <c r="A59" s="54">
        <v>5</v>
      </c>
      <c r="B59" s="55">
        <v>9.6</v>
      </c>
      <c r="C59" s="54">
        <v>4</v>
      </c>
      <c r="D59" s="56">
        <v>11</v>
      </c>
      <c r="E59" s="56">
        <v>0</v>
      </c>
      <c r="F59" s="56">
        <v>0</v>
      </c>
      <c r="G59" s="56">
        <v>3</v>
      </c>
      <c r="H59" s="56">
        <v>11</v>
      </c>
      <c r="I59" s="56">
        <f>SUM(D59:H59)</f>
        <v>25</v>
      </c>
      <c r="J59" s="56"/>
    </row>
    <row r="60" spans="1:10" s="58" customFormat="1" x14ac:dyDescent="0.3">
      <c r="A60" s="54"/>
      <c r="B60" s="55"/>
      <c r="C60" s="54"/>
      <c r="D60" s="56"/>
      <c r="E60" s="56"/>
      <c r="F60" s="56"/>
      <c r="G60" s="56"/>
      <c r="H60" s="56"/>
      <c r="I60" s="55">
        <f>SUM(I55:I59)</f>
        <v>136</v>
      </c>
      <c r="J60" s="55">
        <f>SUM(J55:J59)</f>
        <v>0</v>
      </c>
    </row>
    <row r="62" spans="1:10" s="58" customFormat="1" ht="16.2" x14ac:dyDescent="0.3">
      <c r="A62" s="77" t="s">
        <v>221</v>
      </c>
      <c r="B62" s="78"/>
      <c r="C62" s="78"/>
      <c r="D62" s="78"/>
      <c r="E62" s="78"/>
      <c r="F62" s="78"/>
      <c r="G62" s="78"/>
      <c r="H62" s="78"/>
      <c r="I62" s="78"/>
      <c r="J62" s="79"/>
    </row>
    <row r="63" spans="1:10" s="58" customFormat="1" ht="16.2" x14ac:dyDescent="0.3">
      <c r="A63" s="59" t="s">
        <v>0</v>
      </c>
      <c r="B63" s="59" t="s">
        <v>198</v>
      </c>
      <c r="C63" s="59" t="s">
        <v>19</v>
      </c>
      <c r="D63" s="59" t="s">
        <v>222</v>
      </c>
      <c r="E63" s="59" t="s">
        <v>223</v>
      </c>
      <c r="F63" s="63" t="s">
        <v>327</v>
      </c>
      <c r="G63" s="63" t="s">
        <v>328</v>
      </c>
      <c r="H63" s="59"/>
      <c r="I63" s="59" t="s">
        <v>8</v>
      </c>
      <c r="J63" s="59" t="s">
        <v>201</v>
      </c>
    </row>
    <row r="64" spans="1:10" s="58" customFormat="1" x14ac:dyDescent="0.3">
      <c r="A64" s="60">
        <v>1</v>
      </c>
      <c r="B64" s="60">
        <v>2</v>
      </c>
      <c r="C64" s="60">
        <v>3</v>
      </c>
      <c r="D64" s="60">
        <v>4</v>
      </c>
      <c r="E64" s="60">
        <v>5</v>
      </c>
      <c r="F64" s="60">
        <v>6</v>
      </c>
      <c r="G64" s="60">
        <v>7</v>
      </c>
      <c r="H64" s="60">
        <v>8</v>
      </c>
      <c r="I64" s="60">
        <v>9</v>
      </c>
      <c r="J64" s="60">
        <v>10</v>
      </c>
    </row>
    <row r="65" spans="1:10" s="58" customFormat="1" x14ac:dyDescent="0.3">
      <c r="A65" s="54">
        <v>1</v>
      </c>
      <c r="B65" s="55">
        <v>-2.2999999999999998</v>
      </c>
      <c r="C65" s="54">
        <v>1</v>
      </c>
      <c r="D65" s="56">
        <v>0</v>
      </c>
      <c r="E65" s="56">
        <v>0</v>
      </c>
      <c r="F65" s="56">
        <f>(2.1+3.2+0.3)*3</f>
        <v>16.8</v>
      </c>
      <c r="G65" s="56">
        <f>(2.1+3.2)*3</f>
        <v>15.900000000000002</v>
      </c>
      <c r="H65" s="56"/>
      <c r="I65" s="56">
        <f>SUM(D65:H65)</f>
        <v>32.700000000000003</v>
      </c>
      <c r="J65" s="56"/>
    </row>
    <row r="66" spans="1:10" s="58" customFormat="1" x14ac:dyDescent="0.3">
      <c r="A66" s="54">
        <v>2</v>
      </c>
      <c r="B66" s="55">
        <v>0</v>
      </c>
      <c r="C66" s="54">
        <v>2</v>
      </c>
      <c r="D66" s="56">
        <f>4.25+1.75+1.75+3.15+3.6+1.2+3.15+4.85+3.4+3.6+3.15+4.25+1.75+1.75+1.7+1.7</f>
        <v>45</v>
      </c>
      <c r="E66" s="56">
        <f>(0.6+0.6+0.6)*2.6+(0.7+1.2)*3+(0.6*1.4)*2.6</f>
        <v>12.564</v>
      </c>
      <c r="F66" s="56">
        <f>(3.2+3.2+0.3)*3</f>
        <v>20.100000000000001</v>
      </c>
      <c r="G66" s="56">
        <f>(3.2+3.2)*3</f>
        <v>19.200000000000003</v>
      </c>
      <c r="H66" s="56"/>
      <c r="I66" s="56">
        <f>SUM(D66:H66)</f>
        <v>96.864000000000004</v>
      </c>
      <c r="J66" s="56"/>
    </row>
    <row r="67" spans="1:10" s="58" customFormat="1" x14ac:dyDescent="0.3">
      <c r="A67" s="54">
        <v>3</v>
      </c>
      <c r="B67" s="55">
        <v>3.2</v>
      </c>
      <c r="C67" s="54">
        <v>2</v>
      </c>
      <c r="D67" s="56">
        <f>(3.8+1.75+1.75+1.75+4.25+3.15+3.6+1.8+0.6+1.8+0.6+1.7+1)*2+1.15+3.2+4.85+3.4+2.5+2.5</f>
        <v>72.700000000000017</v>
      </c>
      <c r="E67" s="56">
        <f>(0.6+0.6+0.6+0.6+0.6+0.6+0.6)*2.6+(1.73+1.73+0.82+0.82+0.7+1.15)*3</f>
        <v>31.770000000000003</v>
      </c>
      <c r="F67" s="56">
        <f>(3.2+3.2+0.3)*3</f>
        <v>20.100000000000001</v>
      </c>
      <c r="G67" s="56">
        <f>(3.2+3.2)*3</f>
        <v>19.200000000000003</v>
      </c>
      <c r="H67" s="56"/>
      <c r="I67" s="56">
        <f>SUM(D67:H67)</f>
        <v>143.77000000000004</v>
      </c>
      <c r="J67" s="56"/>
    </row>
    <row r="68" spans="1:10" s="58" customFormat="1" x14ac:dyDescent="0.3">
      <c r="A68" s="54">
        <v>4</v>
      </c>
      <c r="B68" s="55">
        <v>6.4</v>
      </c>
      <c r="C68" s="54">
        <v>3</v>
      </c>
      <c r="D68" s="56">
        <f>(3.8+1.75+1.75+1.75+4.25+3.15+3.6+1.8+0.6+1.8+0.6+1.7+1)*2+1.15+3.2+4.85+3.4+2.5+2.5</f>
        <v>72.700000000000017</v>
      </c>
      <c r="E68" s="56">
        <f>(0.6+0.6+0.6+0.6+0.6+0.6+0.6)*2.6+(1.73+1.73+0.82+0.82+0.7+1.15)*3</f>
        <v>31.770000000000003</v>
      </c>
      <c r="F68" s="56">
        <f>(3.2+3.2+0.3)*3</f>
        <v>20.100000000000001</v>
      </c>
      <c r="G68" s="56">
        <f>(3.2+3.2)*3</f>
        <v>19.200000000000003</v>
      </c>
      <c r="H68" s="56"/>
      <c r="I68" s="56">
        <f>SUM(D68:H68)</f>
        <v>143.77000000000004</v>
      </c>
      <c r="J68" s="56"/>
    </row>
    <row r="69" spans="1:10" s="58" customFormat="1" x14ac:dyDescent="0.3">
      <c r="A69" s="54">
        <v>5</v>
      </c>
      <c r="B69" s="55">
        <v>9.6</v>
      </c>
      <c r="C69" s="54">
        <v>4</v>
      </c>
      <c r="D69" s="56">
        <f>(3.8+1.75+1.75+1.75+4.25+3.15+3.6+1.8+0.6+1.8+0.6+1.7+1)*2+1.15+3.2+4.85+3.4+2.5+2.5</f>
        <v>72.700000000000017</v>
      </c>
      <c r="E69" s="56">
        <f>(0.6+0.6+0.6+0.6+0.6+0.6+0.6)*2.6+(1.73+1.73+0.82+0.82+0.7+1.15)*3</f>
        <v>31.770000000000003</v>
      </c>
      <c r="F69" s="56">
        <f>(3.2+3.2+0.3+1.6)*3</f>
        <v>24.900000000000002</v>
      </c>
      <c r="G69" s="56">
        <f>(3.2+3.2)*3</f>
        <v>19.200000000000003</v>
      </c>
      <c r="H69" s="56"/>
      <c r="I69" s="56">
        <f>SUM(D69:H69)</f>
        <v>148.57000000000005</v>
      </c>
      <c r="J69" s="56"/>
    </row>
    <row r="70" spans="1:10" s="58" customFormat="1" x14ac:dyDescent="0.3">
      <c r="A70" s="54"/>
      <c r="B70" s="55"/>
      <c r="C70" s="54"/>
      <c r="D70" s="56"/>
      <c r="E70" s="56"/>
      <c r="F70" s="56"/>
      <c r="G70" s="56"/>
      <c r="H70" s="56"/>
      <c r="I70" s="55">
        <f>SUM(I65:I69)</f>
        <v>565.67400000000021</v>
      </c>
      <c r="J70" s="55">
        <f>SUM(J65:J69)</f>
        <v>0</v>
      </c>
    </row>
    <row r="72" spans="1:10" s="58" customFormat="1" ht="16.2" x14ac:dyDescent="0.3">
      <c r="A72" s="77" t="s">
        <v>224</v>
      </c>
      <c r="B72" s="78"/>
      <c r="C72" s="78"/>
      <c r="D72" s="78"/>
      <c r="E72" s="78"/>
      <c r="F72" s="78"/>
      <c r="G72" s="78"/>
      <c r="H72" s="78"/>
      <c r="I72" s="78"/>
      <c r="J72" s="79"/>
    </row>
    <row r="73" spans="1:10" s="58" customFormat="1" ht="16.2" x14ac:dyDescent="0.3">
      <c r="A73" s="59" t="s">
        <v>0</v>
      </c>
      <c r="B73" s="59" t="s">
        <v>198</v>
      </c>
      <c r="C73" s="59" t="s">
        <v>19</v>
      </c>
      <c r="D73" s="59" t="s">
        <v>152</v>
      </c>
      <c r="E73" s="59" t="s">
        <v>209</v>
      </c>
      <c r="F73" s="59" t="s">
        <v>225</v>
      </c>
      <c r="G73" s="59"/>
      <c r="H73" s="59"/>
      <c r="I73" s="59" t="s">
        <v>8</v>
      </c>
      <c r="J73" s="59" t="s">
        <v>201</v>
      </c>
    </row>
    <row r="74" spans="1:10" s="58" customFormat="1" x14ac:dyDescent="0.3">
      <c r="A74" s="60">
        <v>1</v>
      </c>
      <c r="B74" s="60">
        <v>2</v>
      </c>
      <c r="C74" s="60">
        <v>3</v>
      </c>
      <c r="D74" s="60">
        <v>4</v>
      </c>
      <c r="E74" s="60">
        <v>5</v>
      </c>
      <c r="F74" s="60">
        <v>6</v>
      </c>
      <c r="G74" s="60">
        <v>7</v>
      </c>
      <c r="H74" s="60">
        <v>8</v>
      </c>
      <c r="I74" s="60">
        <v>9</v>
      </c>
      <c r="J74" s="60">
        <v>10</v>
      </c>
    </row>
    <row r="75" spans="1:10" s="58" customFormat="1" x14ac:dyDescent="0.3">
      <c r="A75" s="54">
        <v>1</v>
      </c>
      <c r="B75" s="55">
        <v>-2.2999999999999998</v>
      </c>
      <c r="C75" s="54">
        <v>1</v>
      </c>
      <c r="D75" s="56">
        <v>179.8</v>
      </c>
      <c r="E75" s="56">
        <v>0</v>
      </c>
      <c r="F75" s="56">
        <v>97.2</v>
      </c>
      <c r="G75" s="56"/>
      <c r="H75" s="56"/>
      <c r="I75" s="56">
        <f>SUM(D75:H75)</f>
        <v>277</v>
      </c>
      <c r="J75" s="56"/>
    </row>
    <row r="76" spans="1:10" s="58" customFormat="1" x14ac:dyDescent="0.3">
      <c r="A76" s="54">
        <v>1</v>
      </c>
      <c r="B76" s="55">
        <v>0</v>
      </c>
      <c r="C76" s="54">
        <v>2</v>
      </c>
      <c r="D76" s="56">
        <v>94.9</v>
      </c>
      <c r="E76" s="56">
        <f>5.5+4.7+7.9+4.7+2.6+5.5+4.7+7.9+4.7+2.6+2.6+2.6+6.9+4.5+7.5</f>
        <v>74.900000000000006</v>
      </c>
      <c r="F76" s="56">
        <v>110.25</v>
      </c>
      <c r="G76" s="56"/>
      <c r="H76" s="56"/>
      <c r="I76" s="56">
        <f>SUM(D76:H76)</f>
        <v>280.05</v>
      </c>
      <c r="J76" s="56"/>
    </row>
    <row r="77" spans="1:10" s="58" customFormat="1" x14ac:dyDescent="0.3">
      <c r="A77" s="54">
        <v>2</v>
      </c>
      <c r="B77" s="55">
        <v>3.2</v>
      </c>
      <c r="C77" s="54">
        <v>3</v>
      </c>
      <c r="D77" s="56">
        <v>101.1</v>
      </c>
      <c r="E77" s="56">
        <f>0.6+0.6+3.1+8+8.6+6.7+7.9+0.6+0.6+3.1+8+8.6+6.7+7.9+3.1+3.1+11+10.9+7.5</f>
        <v>106.60000000000001</v>
      </c>
      <c r="F77" s="56">
        <v>101.42</v>
      </c>
      <c r="G77" s="56"/>
      <c r="H77" s="56"/>
      <c r="I77" s="56">
        <f>SUM(D77:H77)</f>
        <v>309.12</v>
      </c>
      <c r="J77" s="56"/>
    </row>
    <row r="78" spans="1:10" s="58" customFormat="1" x14ac:dyDescent="0.3">
      <c r="A78" s="54">
        <v>3</v>
      </c>
      <c r="B78" s="55">
        <v>6.4</v>
      </c>
      <c r="C78" s="54">
        <v>4</v>
      </c>
      <c r="D78" s="56">
        <v>101.1</v>
      </c>
      <c r="E78" s="56">
        <f>0.6+0.6+3.1+8+8.6+6.7+7.9+0.6+0.6+3.1+8+8.6+6.7+7.9+3.1+3.1+11+10.9+7.5</f>
        <v>106.60000000000001</v>
      </c>
      <c r="F78" s="56">
        <v>101.42</v>
      </c>
      <c r="G78" s="56"/>
      <c r="H78" s="56"/>
      <c r="I78" s="56">
        <f>SUM(D78:H78)</f>
        <v>309.12</v>
      </c>
      <c r="J78" s="56"/>
    </row>
    <row r="79" spans="1:10" s="58" customFormat="1" x14ac:dyDescent="0.3">
      <c r="A79" s="54">
        <v>4</v>
      </c>
      <c r="B79" s="55">
        <v>9.6</v>
      </c>
      <c r="C79" s="54">
        <v>5</v>
      </c>
      <c r="D79" s="56">
        <v>101.1</v>
      </c>
      <c r="E79" s="56">
        <f>0.6+0.6+3.1+8+8.6+6.7+7.9+0.6+0.6+3.1+8+8.6+6.7+7.9+3.1+3.1+11+10.9+7.5</f>
        <v>106.60000000000001</v>
      </c>
      <c r="F79" s="56">
        <v>101.42</v>
      </c>
      <c r="G79" s="56"/>
      <c r="H79" s="56"/>
      <c r="I79" s="56">
        <f>SUM(D79:H79)</f>
        <v>309.12</v>
      </c>
      <c r="J79" s="56"/>
    </row>
    <row r="80" spans="1:10" s="58" customFormat="1" x14ac:dyDescent="0.3">
      <c r="A80" s="54"/>
      <c r="B80" s="55"/>
      <c r="C80" s="54"/>
      <c r="D80" s="56"/>
      <c r="E80" s="56"/>
      <c r="F80" s="56"/>
      <c r="G80" s="56"/>
      <c r="H80" s="56"/>
      <c r="I80" s="55">
        <f>SUM(I75:I79)</f>
        <v>1484.4099999999999</v>
      </c>
      <c r="J80" s="55">
        <f>SUM(J75:J79)</f>
        <v>0</v>
      </c>
    </row>
    <row r="82" spans="1:13" s="58" customFormat="1" ht="16.2" x14ac:dyDescent="0.3">
      <c r="A82" s="77" t="s">
        <v>226</v>
      </c>
      <c r="B82" s="78"/>
      <c r="C82" s="78"/>
      <c r="D82" s="78"/>
      <c r="E82" s="78"/>
      <c r="F82" s="78"/>
      <c r="G82" s="78"/>
      <c r="H82" s="78"/>
      <c r="I82" s="78"/>
      <c r="J82" s="79"/>
    </row>
    <row r="83" spans="1:13" s="58" customFormat="1" ht="16.2" x14ac:dyDescent="0.3">
      <c r="A83" s="59" t="s">
        <v>0</v>
      </c>
      <c r="B83" s="59" t="s">
        <v>198</v>
      </c>
      <c r="C83" s="59" t="s">
        <v>19</v>
      </c>
      <c r="D83" s="59" t="s">
        <v>227</v>
      </c>
      <c r="E83" s="59" t="s">
        <v>209</v>
      </c>
      <c r="F83" s="59" t="s">
        <v>251</v>
      </c>
      <c r="G83" s="59"/>
      <c r="H83" s="59"/>
      <c r="I83" s="59" t="s">
        <v>8</v>
      </c>
      <c r="J83" s="59" t="s">
        <v>201</v>
      </c>
    </row>
    <row r="84" spans="1:13" s="58" customFormat="1" x14ac:dyDescent="0.3">
      <c r="A84" s="60">
        <v>1</v>
      </c>
      <c r="B84" s="60">
        <v>2</v>
      </c>
      <c r="C84" s="60">
        <v>3</v>
      </c>
      <c r="D84" s="60">
        <v>4</v>
      </c>
      <c r="E84" s="60">
        <v>5</v>
      </c>
      <c r="F84" s="60">
        <v>6</v>
      </c>
      <c r="G84" s="60">
        <v>7</v>
      </c>
      <c r="H84" s="60">
        <v>8</v>
      </c>
      <c r="I84" s="60">
        <v>9</v>
      </c>
      <c r="J84" s="60">
        <v>10</v>
      </c>
    </row>
    <row r="85" spans="1:13" s="58" customFormat="1" x14ac:dyDescent="0.3">
      <c r="A85" s="54">
        <v>1</v>
      </c>
      <c r="B85" s="55">
        <v>-2.2999999999999998</v>
      </c>
      <c r="C85" s="54">
        <v>1</v>
      </c>
      <c r="D85" s="56">
        <v>0</v>
      </c>
      <c r="E85" s="56">
        <f>E75</f>
        <v>0</v>
      </c>
      <c r="F85" s="56">
        <f>D75</f>
        <v>179.8</v>
      </c>
      <c r="G85" s="56"/>
      <c r="H85" s="56"/>
      <c r="I85" s="56">
        <f>SUM(D85:H85)</f>
        <v>179.8</v>
      </c>
      <c r="J85" s="56"/>
      <c r="M85" s="62"/>
    </row>
    <row r="86" spans="1:13" s="58" customFormat="1" x14ac:dyDescent="0.3">
      <c r="A86" s="54">
        <v>2</v>
      </c>
      <c r="B86" s="55">
        <v>0</v>
      </c>
      <c r="C86" s="54">
        <v>2</v>
      </c>
      <c r="D86" s="56">
        <v>567</v>
      </c>
      <c r="E86" s="56">
        <f>E76</f>
        <v>74.900000000000006</v>
      </c>
      <c r="F86" s="56">
        <f>D76</f>
        <v>94.9</v>
      </c>
      <c r="G86" s="56"/>
      <c r="H86" s="56"/>
      <c r="I86" s="56">
        <f>SUM(D86:H86)</f>
        <v>736.8</v>
      </c>
      <c r="J86" s="56"/>
      <c r="M86" s="62"/>
    </row>
    <row r="87" spans="1:13" s="58" customFormat="1" x14ac:dyDescent="0.3">
      <c r="A87" s="54">
        <v>2</v>
      </c>
      <c r="B87" s="55">
        <v>3.2</v>
      </c>
      <c r="C87" s="54">
        <v>3</v>
      </c>
      <c r="D87" s="56">
        <v>592</v>
      </c>
      <c r="E87" s="56">
        <f>E77</f>
        <v>106.60000000000001</v>
      </c>
      <c r="F87" s="56">
        <f>D77</f>
        <v>101.1</v>
      </c>
      <c r="G87" s="56"/>
      <c r="H87" s="56"/>
      <c r="I87" s="56">
        <f>SUM(D87:H87)</f>
        <v>799.7</v>
      </c>
      <c r="J87" s="56"/>
      <c r="M87" s="62"/>
    </row>
    <row r="88" spans="1:13" s="58" customFormat="1" x14ac:dyDescent="0.3">
      <c r="A88" s="54">
        <v>3</v>
      </c>
      <c r="B88" s="55">
        <v>6.4</v>
      </c>
      <c r="C88" s="54">
        <v>4</v>
      </c>
      <c r="D88" s="56">
        <v>592</v>
      </c>
      <c r="E88" s="56">
        <f>E78</f>
        <v>106.60000000000001</v>
      </c>
      <c r="F88" s="56">
        <f>D78</f>
        <v>101.1</v>
      </c>
      <c r="G88" s="56"/>
      <c r="H88" s="56"/>
      <c r="I88" s="56">
        <f>SUM(D88:H88)</f>
        <v>799.7</v>
      </c>
      <c r="J88" s="56"/>
    </row>
    <row r="89" spans="1:13" s="58" customFormat="1" x14ac:dyDescent="0.3">
      <c r="A89" s="54">
        <v>4</v>
      </c>
      <c r="B89" s="55">
        <v>9.6</v>
      </c>
      <c r="C89" s="54">
        <v>5</v>
      </c>
      <c r="D89" s="56">
        <v>592</v>
      </c>
      <c r="E89" s="56">
        <f>E79</f>
        <v>106.60000000000001</v>
      </c>
      <c r="F89" s="56">
        <f>D79</f>
        <v>101.1</v>
      </c>
      <c r="G89" s="56"/>
      <c r="H89" s="56"/>
      <c r="I89" s="56">
        <f>SUM(D89:H89)</f>
        <v>799.7</v>
      </c>
      <c r="J89" s="56"/>
    </row>
    <row r="90" spans="1:13" s="58" customFormat="1" x14ac:dyDescent="0.3">
      <c r="A90" s="54"/>
      <c r="B90" s="55"/>
      <c r="C90" s="54"/>
      <c r="D90" s="56"/>
      <c r="E90" s="56"/>
      <c r="F90" s="56"/>
      <c r="G90" s="56"/>
      <c r="H90" s="56"/>
      <c r="I90" s="55">
        <f>SUM(I85:I89)</f>
        <v>3315.7</v>
      </c>
      <c r="J90" s="55">
        <f>SUM(J85:J89)</f>
        <v>0</v>
      </c>
    </row>
    <row r="92" spans="1:13" s="58" customFormat="1" ht="16.2" x14ac:dyDescent="0.3">
      <c r="A92" s="77" t="s">
        <v>228</v>
      </c>
      <c r="B92" s="78"/>
      <c r="C92" s="78"/>
      <c r="D92" s="78"/>
      <c r="E92" s="78"/>
      <c r="F92" s="78"/>
      <c r="G92" s="78"/>
      <c r="H92" s="78"/>
      <c r="I92" s="78"/>
      <c r="J92" s="79"/>
    </row>
    <row r="93" spans="1:13" s="58" customFormat="1" ht="16.2" x14ac:dyDescent="0.3">
      <c r="A93" s="59" t="s">
        <v>0</v>
      </c>
      <c r="B93" s="59" t="s">
        <v>198</v>
      </c>
      <c r="C93" s="59" t="s">
        <v>19</v>
      </c>
      <c r="D93" s="59" t="s">
        <v>229</v>
      </c>
      <c r="E93" s="59" t="s">
        <v>230</v>
      </c>
      <c r="F93" s="59" t="s">
        <v>231</v>
      </c>
      <c r="G93" s="59"/>
      <c r="H93" s="59"/>
      <c r="I93" s="59" t="s">
        <v>8</v>
      </c>
      <c r="J93" s="59" t="s">
        <v>201</v>
      </c>
    </row>
    <row r="94" spans="1:13" s="58" customFormat="1" x14ac:dyDescent="0.3">
      <c r="A94" s="60">
        <v>1</v>
      </c>
      <c r="B94" s="60">
        <v>2</v>
      </c>
      <c r="C94" s="60">
        <v>3</v>
      </c>
      <c r="D94" s="60">
        <v>4</v>
      </c>
      <c r="E94" s="60">
        <v>5</v>
      </c>
      <c r="F94" s="60">
        <v>6</v>
      </c>
      <c r="G94" s="60">
        <v>7</v>
      </c>
      <c r="H94" s="60">
        <v>8</v>
      </c>
      <c r="I94" s="60">
        <v>9</v>
      </c>
      <c r="J94" s="60">
        <v>10</v>
      </c>
    </row>
    <row r="95" spans="1:13" s="58" customFormat="1" x14ac:dyDescent="0.3">
      <c r="A95" s="54">
        <v>1</v>
      </c>
      <c r="B95" s="55">
        <v>-2.2999999999999998</v>
      </c>
      <c r="C95" s="54">
        <v>1</v>
      </c>
      <c r="D95" s="56">
        <v>0</v>
      </c>
      <c r="E95" s="56">
        <v>0</v>
      </c>
      <c r="F95" s="56"/>
      <c r="G95" s="56"/>
      <c r="H95" s="56"/>
      <c r="I95" s="56">
        <f>SUM(D95:H95)</f>
        <v>0</v>
      </c>
      <c r="J95" s="56"/>
    </row>
    <row r="96" spans="1:13" s="58" customFormat="1" x14ac:dyDescent="0.3">
      <c r="A96" s="54">
        <v>2</v>
      </c>
      <c r="B96" s="55">
        <v>0</v>
      </c>
      <c r="C96" s="54">
        <v>2</v>
      </c>
      <c r="D96" s="56">
        <f>367.12*2.97</f>
        <v>1090.3464000000001</v>
      </c>
      <c r="E96" s="56">
        <f>108.7*2.97</f>
        <v>322.83900000000006</v>
      </c>
      <c r="F96" s="56"/>
      <c r="G96" s="56"/>
      <c r="H96" s="56"/>
      <c r="I96" s="56">
        <f>SUM(D96:H96)</f>
        <v>1413.1854000000003</v>
      </c>
      <c r="J96" s="56"/>
    </row>
    <row r="97" spans="1:10" s="58" customFormat="1" x14ac:dyDescent="0.3">
      <c r="A97" s="54">
        <v>2</v>
      </c>
      <c r="B97" s="55">
        <v>3.2</v>
      </c>
      <c r="C97" s="54">
        <v>3</v>
      </c>
      <c r="D97" s="56">
        <f>367.12*2.97</f>
        <v>1090.3464000000001</v>
      </c>
      <c r="E97" s="56">
        <f>114.4*2.97</f>
        <v>339.76800000000003</v>
      </c>
      <c r="F97" s="56"/>
      <c r="G97" s="56"/>
      <c r="H97" s="56"/>
      <c r="I97" s="56">
        <f>SUM(D97:H97)</f>
        <v>1430.1144000000002</v>
      </c>
      <c r="J97" s="56"/>
    </row>
    <row r="98" spans="1:10" s="58" customFormat="1" x14ac:dyDescent="0.3">
      <c r="A98" s="54">
        <v>3</v>
      </c>
      <c r="B98" s="55">
        <v>6.4</v>
      </c>
      <c r="C98" s="54">
        <v>4</v>
      </c>
      <c r="D98" s="56">
        <f>367.12*2.97</f>
        <v>1090.3464000000001</v>
      </c>
      <c r="E98" s="56">
        <f>114.4*2.97</f>
        <v>339.76800000000003</v>
      </c>
      <c r="F98" s="56"/>
      <c r="G98" s="56"/>
      <c r="H98" s="56"/>
      <c r="I98" s="56">
        <f>SUM(D98:H98)</f>
        <v>1430.1144000000002</v>
      </c>
      <c r="J98" s="56"/>
    </row>
    <row r="99" spans="1:10" s="58" customFormat="1" x14ac:dyDescent="0.3">
      <c r="A99" s="54">
        <v>4</v>
      </c>
      <c r="B99" s="55">
        <v>9.6</v>
      </c>
      <c r="C99" s="54">
        <v>5</v>
      </c>
      <c r="D99" s="56">
        <f>367.12*2.97</f>
        <v>1090.3464000000001</v>
      </c>
      <c r="E99" s="56">
        <f>114.4*2.97</f>
        <v>339.76800000000003</v>
      </c>
      <c r="F99" s="56"/>
      <c r="G99" s="56"/>
      <c r="H99" s="56"/>
      <c r="I99" s="56">
        <f>SUM(D99:H99)</f>
        <v>1430.1144000000002</v>
      </c>
      <c r="J99" s="56"/>
    </row>
    <row r="100" spans="1:10" s="58" customFormat="1" x14ac:dyDescent="0.3">
      <c r="A100" s="54"/>
      <c r="B100" s="55"/>
      <c r="C100" s="54"/>
      <c r="D100" s="56"/>
      <c r="E100" s="56"/>
      <c r="F100" s="56"/>
      <c r="G100" s="56"/>
      <c r="H100" s="56"/>
      <c r="I100" s="55">
        <f>SUM(I95:I99)</f>
        <v>5703.5286000000015</v>
      </c>
      <c r="J100" s="55">
        <f>SUM(J95:J99)</f>
        <v>0</v>
      </c>
    </row>
    <row r="101" spans="1:10" ht="15" thickBot="1" x14ac:dyDescent="0.35"/>
    <row r="102" spans="1:10" ht="16.2" thickBot="1" x14ac:dyDescent="0.35">
      <c r="B102" s="74" t="s">
        <v>409</v>
      </c>
      <c r="C102" s="75"/>
      <c r="D102" s="75"/>
      <c r="E102" s="75"/>
      <c r="F102" s="75"/>
      <c r="G102" s="75"/>
      <c r="H102" s="76"/>
    </row>
    <row r="103" spans="1:10" ht="16.2" x14ac:dyDescent="0.3">
      <c r="A103" s="6" t="s">
        <v>0</v>
      </c>
      <c r="B103" s="52" t="s">
        <v>198</v>
      </c>
      <c r="C103" s="52" t="s">
        <v>19</v>
      </c>
      <c r="D103" s="52" t="s">
        <v>410</v>
      </c>
      <c r="E103" s="52" t="s">
        <v>411</v>
      </c>
      <c r="F103" s="52" t="s">
        <v>412</v>
      </c>
      <c r="G103" s="52" t="s">
        <v>413</v>
      </c>
      <c r="H103" s="52"/>
      <c r="I103" s="6" t="s">
        <v>8</v>
      </c>
      <c r="J103" s="6" t="s">
        <v>201</v>
      </c>
    </row>
    <row r="104" spans="1:10" x14ac:dyDescent="0.3">
      <c r="A104" s="7">
        <v>1</v>
      </c>
      <c r="B104" s="7">
        <v>2</v>
      </c>
      <c r="C104" s="7">
        <v>3</v>
      </c>
      <c r="D104" s="7">
        <v>4</v>
      </c>
      <c r="E104" s="7">
        <v>5</v>
      </c>
      <c r="F104" s="7">
        <v>6</v>
      </c>
      <c r="G104" s="7">
        <v>7</v>
      </c>
      <c r="H104" s="7">
        <v>8</v>
      </c>
      <c r="I104" s="7">
        <v>9</v>
      </c>
      <c r="J104" s="7">
        <v>10</v>
      </c>
    </row>
    <row r="105" spans="1:10" x14ac:dyDescent="0.3">
      <c r="A105" s="8">
        <v>1</v>
      </c>
      <c r="B105" s="12">
        <v>-2.2999999999999998</v>
      </c>
      <c r="C105" s="8">
        <v>1</v>
      </c>
      <c r="D105" s="56">
        <f>ფართები!C7</f>
        <v>943.92</v>
      </c>
      <c r="E105" s="56">
        <f>(3.8*3.5)*3+((2.3+2.6+2.3+2.6)*4.85*3)</f>
        <v>182.49</v>
      </c>
      <c r="F105" s="57">
        <f>((20.7+15.2)*2)*1.95+((20.3+15.2)*2)*1.95+((20.7+15.2)*2)*1.95+(7+7+7+7+6.5+6.5+6.5+6.5+6.1+6.1+6.1+6.5+6.1+6.1+6.5+7+7+7+7)</f>
        <v>543.96999999999991</v>
      </c>
      <c r="G105" s="10">
        <v>0</v>
      </c>
      <c r="H105" s="10"/>
      <c r="I105" s="10">
        <f>SUM(D105:H105)</f>
        <v>1670.3799999999997</v>
      </c>
      <c r="J105" s="10"/>
    </row>
    <row r="106" spans="1:10" x14ac:dyDescent="0.3">
      <c r="A106" s="8">
        <v>2</v>
      </c>
      <c r="B106" s="12">
        <v>0</v>
      </c>
      <c r="C106" s="8">
        <v>2</v>
      </c>
      <c r="D106" s="56">
        <f>ფართები!C8</f>
        <v>1007.4599999999998</v>
      </c>
      <c r="E106" s="56">
        <f>((2.3+2.6+2.3+2.6)*2.97)*3</f>
        <v>87.318000000000012</v>
      </c>
      <c r="F106" s="56">
        <f>(6.5*2.6)*3</f>
        <v>50.7</v>
      </c>
      <c r="G106" s="10"/>
      <c r="H106" s="10"/>
      <c r="I106" s="10">
        <f>SUM(D106:H106)-I117-I158*2.2</f>
        <v>1145.4779999999998</v>
      </c>
      <c r="J106" s="10"/>
    </row>
    <row r="107" spans="1:10" x14ac:dyDescent="0.3">
      <c r="A107" s="8">
        <v>3</v>
      </c>
      <c r="B107" s="12">
        <v>3.2</v>
      </c>
      <c r="C107" s="8">
        <v>3</v>
      </c>
      <c r="D107" s="56">
        <f>ფართები!C9</f>
        <v>1007.4599999999998</v>
      </c>
      <c r="E107" s="56">
        <f>((2.3+2.6+2.3+2.6)*2.97)*3</f>
        <v>87.318000000000012</v>
      </c>
      <c r="F107" s="56">
        <f>(6.5*2.6)*3</f>
        <v>50.7</v>
      </c>
      <c r="G107" s="10"/>
      <c r="H107" s="10"/>
      <c r="I107" s="10">
        <f>SUM(D107:H107)-I119-I160*2.2</f>
        <v>1145.4779999999998</v>
      </c>
      <c r="J107" s="10"/>
    </row>
    <row r="108" spans="1:10" x14ac:dyDescent="0.3">
      <c r="A108" s="8">
        <v>3</v>
      </c>
      <c r="B108" s="12">
        <v>6.4</v>
      </c>
      <c r="C108" s="8">
        <v>3</v>
      </c>
      <c r="D108" s="56">
        <f>ფართები!C10</f>
        <v>1007.4599999999998</v>
      </c>
      <c r="E108" s="56">
        <f>((2.3+2.6+2.3+2.6)*2.97)*3</f>
        <v>87.318000000000012</v>
      </c>
      <c r="F108" s="56">
        <f>(6.5*2.6)*3</f>
        <v>50.7</v>
      </c>
      <c r="G108" s="10"/>
      <c r="H108" s="10"/>
      <c r="I108" s="10">
        <f>SUM(D108:H108)-I120-I161*2.2</f>
        <v>1145.4779999999998</v>
      </c>
      <c r="J108" s="10"/>
    </row>
    <row r="109" spans="1:10" x14ac:dyDescent="0.3">
      <c r="A109" s="8">
        <v>3</v>
      </c>
      <c r="B109" s="12">
        <v>9.6</v>
      </c>
      <c r="C109" s="8">
        <v>3</v>
      </c>
      <c r="D109" s="56">
        <f>ფართები!C11</f>
        <v>1007.4599999999998</v>
      </c>
      <c r="E109" s="56">
        <f>((2.3+2.6+2.3+2.6)*2.97)*3</f>
        <v>87.318000000000012</v>
      </c>
      <c r="F109" s="56">
        <f>(6.5*2.6)*3</f>
        <v>50.7</v>
      </c>
      <c r="G109" s="10"/>
      <c r="H109" s="10"/>
      <c r="I109" s="10">
        <f>SUM(D109:H109)-I121-I162*2.2</f>
        <v>1145.4779999999998</v>
      </c>
      <c r="J109" s="10"/>
    </row>
    <row r="110" spans="1:10" x14ac:dyDescent="0.3">
      <c r="A110" s="8">
        <v>4</v>
      </c>
      <c r="B110" s="53" t="s">
        <v>414</v>
      </c>
      <c r="C110" s="8">
        <v>4</v>
      </c>
      <c r="D110" s="56">
        <f>ფართები!C12</f>
        <v>1004.9399999999998</v>
      </c>
      <c r="E110" s="56">
        <f>(2.3*2.6+((2.3+2.3+2.3+2.6)*0.95))*3</f>
        <v>45.015000000000001</v>
      </c>
      <c r="F110" s="56">
        <f>((21.7+15.2)*2)*3</f>
        <v>221.39999999999998</v>
      </c>
      <c r="G110" s="56">
        <v>48</v>
      </c>
      <c r="H110" s="10"/>
      <c r="I110" s="10">
        <f>SUM(D110:H110)-I120-I161*2.2</f>
        <v>1319.355</v>
      </c>
      <c r="J110" s="10"/>
    </row>
    <row r="111" spans="1:10" x14ac:dyDescent="0.3">
      <c r="A111" s="8"/>
      <c r="B111" s="12"/>
      <c r="C111" s="8"/>
      <c r="D111" s="10"/>
      <c r="E111" s="10"/>
      <c r="F111" s="10"/>
      <c r="G111" s="10"/>
      <c r="H111" s="10"/>
      <c r="I111" s="12">
        <f>SUM(I105:I110)</f>
        <v>7571.646999999999</v>
      </c>
      <c r="J111" s="12">
        <f>SUM(J105:J110)</f>
        <v>0</v>
      </c>
    </row>
  </sheetData>
  <mergeCells count="14">
    <mergeCell ref="G25:G29"/>
    <mergeCell ref="A52:J52"/>
    <mergeCell ref="A1:J1"/>
    <mergeCell ref="A11:J11"/>
    <mergeCell ref="A21:J21"/>
    <mergeCell ref="A32:J32"/>
    <mergeCell ref="A42:J42"/>
    <mergeCell ref="F26:F28"/>
    <mergeCell ref="D25:D29"/>
    <mergeCell ref="B102:H102"/>
    <mergeCell ref="A62:J62"/>
    <mergeCell ref="A72:J72"/>
    <mergeCell ref="A82:J82"/>
    <mergeCell ref="A92:J92"/>
  </mergeCells>
  <pageMargins left="0.7" right="0.7" top="0.75" bottom="0.75" header="0.3" footer="0.3"/>
  <pageSetup orientation="portrait" r:id="rId1"/>
  <ignoredErrors>
    <ignoredError sqref="J9 J19 J30 J40 J50 J6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71BB-2E89-4A2E-9A29-6EF59A4915FE}">
  <dimension ref="A1:E114"/>
  <sheetViews>
    <sheetView workbookViewId="0">
      <selection activeCell="E25" sqref="E25"/>
    </sheetView>
  </sheetViews>
  <sheetFormatPr defaultRowHeight="14.4" x14ac:dyDescent="0.3"/>
  <cols>
    <col min="2" max="2" width="33.44140625" bestFit="1" customWidth="1"/>
    <col min="3" max="3" width="7.77734375" bestFit="1" customWidth="1"/>
    <col min="4" max="4" width="11.44140625" customWidth="1"/>
    <col min="5" max="5" width="47.44140625" bestFit="1" customWidth="1"/>
  </cols>
  <sheetData>
    <row r="1" spans="1:5" ht="32.4" x14ac:dyDescent="0.3">
      <c r="A1" s="39" t="s">
        <v>0</v>
      </c>
      <c r="B1" s="39" t="s">
        <v>1</v>
      </c>
      <c r="C1" s="39" t="s">
        <v>2</v>
      </c>
      <c r="D1" s="39" t="s">
        <v>4</v>
      </c>
    </row>
    <row r="2" spans="1:5" x14ac:dyDescent="0.3">
      <c r="A2" s="40">
        <v>1</v>
      </c>
      <c r="B2" s="40">
        <v>2</v>
      </c>
      <c r="C2" s="40">
        <v>3</v>
      </c>
      <c r="D2" s="40">
        <v>5</v>
      </c>
    </row>
    <row r="3" spans="1:5" x14ac:dyDescent="0.3">
      <c r="A3" s="42"/>
      <c r="B3" s="3" t="s">
        <v>196</v>
      </c>
      <c r="C3" s="4" t="s">
        <v>9</v>
      </c>
      <c r="D3" s="1">
        <f>40/1.18</f>
        <v>33.898305084745765</v>
      </c>
    </row>
    <row r="4" spans="1:5" x14ac:dyDescent="0.3">
      <c r="A4" s="42"/>
      <c r="B4" s="3" t="s">
        <v>256</v>
      </c>
      <c r="C4" s="4" t="s">
        <v>9</v>
      </c>
      <c r="D4" s="1">
        <f>45/1.18</f>
        <v>38.135593220338983</v>
      </c>
    </row>
    <row r="5" spans="1:5" x14ac:dyDescent="0.3">
      <c r="A5" s="2"/>
      <c r="B5" s="3" t="s">
        <v>195</v>
      </c>
      <c r="C5" s="4" t="s">
        <v>9</v>
      </c>
      <c r="D5" s="50">
        <f>205/1.18</f>
        <v>173.72881355932205</v>
      </c>
      <c r="E5" s="50" t="s">
        <v>433</v>
      </c>
    </row>
    <row r="6" spans="1:5" x14ac:dyDescent="0.3">
      <c r="A6" s="2"/>
      <c r="B6" s="3" t="s">
        <v>38</v>
      </c>
      <c r="C6" s="4" t="s">
        <v>9</v>
      </c>
      <c r="D6" s="1">
        <f>259/1.18</f>
        <v>219.49152542372883</v>
      </c>
    </row>
    <row r="7" spans="1:5" x14ac:dyDescent="0.3">
      <c r="A7" s="2"/>
      <c r="B7" s="3" t="s">
        <v>432</v>
      </c>
      <c r="C7" s="4" t="s">
        <v>12</v>
      </c>
      <c r="D7" s="46">
        <f>830*ფართები!E3/1.18</f>
        <v>1931.2271186440678</v>
      </c>
    </row>
    <row r="8" spans="1:5" x14ac:dyDescent="0.3">
      <c r="A8" s="2"/>
      <c r="B8" s="3" t="s">
        <v>48</v>
      </c>
      <c r="C8" s="4" t="s">
        <v>49</v>
      </c>
      <c r="D8" s="1">
        <f>1.97/1.18</f>
        <v>1.6694915254237288</v>
      </c>
    </row>
    <row r="9" spans="1:5" x14ac:dyDescent="0.3">
      <c r="A9" s="2"/>
      <c r="B9" s="3" t="s">
        <v>405</v>
      </c>
      <c r="C9" s="4" t="s">
        <v>190</v>
      </c>
      <c r="D9" s="1">
        <f>116/1.18</f>
        <v>98.305084745762713</v>
      </c>
    </row>
    <row r="10" spans="1:5" x14ac:dyDescent="0.3">
      <c r="A10" s="2"/>
      <c r="B10" s="3" t="s">
        <v>50</v>
      </c>
      <c r="C10" s="4" t="s">
        <v>9</v>
      </c>
      <c r="D10" s="1">
        <f>70/1.18</f>
        <v>59.322033898305087</v>
      </c>
    </row>
    <row r="11" spans="1:5" x14ac:dyDescent="0.3">
      <c r="A11" s="2"/>
      <c r="B11" s="3" t="s">
        <v>51</v>
      </c>
      <c r="C11" s="4" t="s">
        <v>12</v>
      </c>
      <c r="D11" s="1">
        <f>313.26/1.18</f>
        <v>265.47457627118644</v>
      </c>
    </row>
    <row r="12" spans="1:5" x14ac:dyDescent="0.3">
      <c r="A12" s="2"/>
      <c r="B12" s="3" t="s">
        <v>54</v>
      </c>
      <c r="C12" s="4" t="s">
        <v>55</v>
      </c>
      <c r="D12" s="1">
        <f>0.95/1.18</f>
        <v>0.80508474576271183</v>
      </c>
    </row>
    <row r="13" spans="1:5" x14ac:dyDescent="0.3">
      <c r="A13" s="2"/>
      <c r="B13" s="3" t="s">
        <v>206</v>
      </c>
      <c r="C13" s="4" t="s">
        <v>10</v>
      </c>
      <c r="D13" s="1">
        <f>78/1.18</f>
        <v>66.101694915254242</v>
      </c>
    </row>
    <row r="14" spans="1:5" x14ac:dyDescent="0.3">
      <c r="A14" s="2"/>
      <c r="B14" s="3" t="s">
        <v>90</v>
      </c>
      <c r="C14" s="4" t="s">
        <v>9</v>
      </c>
      <c r="D14" s="1">
        <f>70/1.18</f>
        <v>59.322033898305087</v>
      </c>
    </row>
    <row r="15" spans="1:5" x14ac:dyDescent="0.3">
      <c r="A15" s="2"/>
      <c r="B15" s="3" t="s">
        <v>257</v>
      </c>
      <c r="C15" s="4" t="s">
        <v>10</v>
      </c>
      <c r="D15" s="1">
        <f>70/1.18</f>
        <v>59.322033898305087</v>
      </c>
    </row>
    <row r="16" spans="1:5" x14ac:dyDescent="0.3">
      <c r="A16" s="2"/>
      <c r="B16" s="3" t="s">
        <v>258</v>
      </c>
      <c r="C16" s="4" t="s">
        <v>10</v>
      </c>
      <c r="D16" s="1">
        <f>40/1.18</f>
        <v>33.898305084745765</v>
      </c>
    </row>
    <row r="17" spans="1:5" x14ac:dyDescent="0.3">
      <c r="A17" s="2"/>
      <c r="B17" s="3" t="s">
        <v>62</v>
      </c>
      <c r="C17" s="4" t="s">
        <v>10</v>
      </c>
      <c r="D17" s="1">
        <f>140/1.18</f>
        <v>118.64406779661017</v>
      </c>
    </row>
    <row r="18" spans="1:5" x14ac:dyDescent="0.3">
      <c r="A18" s="2"/>
      <c r="B18" s="3" t="s">
        <v>74</v>
      </c>
      <c r="C18" s="4" t="s">
        <v>75</v>
      </c>
      <c r="D18" s="1">
        <f>14.4/1.18</f>
        <v>12.203389830508476</v>
      </c>
    </row>
    <row r="19" spans="1:5" x14ac:dyDescent="0.3">
      <c r="A19" s="2"/>
      <c r="B19" s="3" t="s">
        <v>404</v>
      </c>
      <c r="C19" s="4" t="s">
        <v>192</v>
      </c>
      <c r="D19" s="1">
        <f>140/1.18</f>
        <v>118.64406779661017</v>
      </c>
    </row>
    <row r="20" spans="1:5" x14ac:dyDescent="0.3">
      <c r="A20" s="2"/>
      <c r="B20" s="3" t="s">
        <v>63</v>
      </c>
      <c r="C20" s="4" t="s">
        <v>49</v>
      </c>
      <c r="D20" s="1">
        <f>13/1.18</f>
        <v>11.016949152542374</v>
      </c>
    </row>
    <row r="21" spans="1:5" x14ac:dyDescent="0.3">
      <c r="A21" s="2"/>
      <c r="B21" s="3" t="s">
        <v>416</v>
      </c>
      <c r="C21" s="4" t="s">
        <v>193</v>
      </c>
      <c r="D21" s="50">
        <f>45/1.18</f>
        <v>38.135593220338983</v>
      </c>
      <c r="E21" s="50" t="s">
        <v>434</v>
      </c>
    </row>
    <row r="22" spans="1:5" x14ac:dyDescent="0.3">
      <c r="A22" s="2"/>
      <c r="B22" s="3" t="s">
        <v>70</v>
      </c>
      <c r="C22" s="4" t="s">
        <v>49</v>
      </c>
      <c r="D22" s="1">
        <f>16.5/1.18</f>
        <v>13.983050847457628</v>
      </c>
    </row>
    <row r="23" spans="1:5" x14ac:dyDescent="0.3">
      <c r="A23" s="2"/>
      <c r="B23" s="3" t="s">
        <v>80</v>
      </c>
      <c r="C23" s="4" t="s">
        <v>49</v>
      </c>
      <c r="D23" s="1">
        <f>1.25/1.18</f>
        <v>1.0593220338983051</v>
      </c>
    </row>
    <row r="24" spans="1:5" x14ac:dyDescent="0.3">
      <c r="A24" s="2"/>
      <c r="B24" s="3" t="s">
        <v>82</v>
      </c>
      <c r="C24" s="4" t="s">
        <v>10</v>
      </c>
      <c r="D24" s="1">
        <f>23/1.18</f>
        <v>19.491525423728813</v>
      </c>
    </row>
    <row r="25" spans="1:5" x14ac:dyDescent="0.3">
      <c r="A25" s="2"/>
      <c r="B25" s="3" t="s">
        <v>83</v>
      </c>
      <c r="C25" s="4" t="s">
        <v>10</v>
      </c>
      <c r="D25" s="1">
        <f>4/1.18</f>
        <v>3.3898305084745766</v>
      </c>
    </row>
    <row r="26" spans="1:5" x14ac:dyDescent="0.3">
      <c r="A26" s="2"/>
      <c r="B26" s="3" t="s">
        <v>384</v>
      </c>
      <c r="C26" s="4" t="s">
        <v>9</v>
      </c>
      <c r="D26" s="1">
        <f t="shared" ref="D26" si="0">770/1.18</f>
        <v>652.54237288135596</v>
      </c>
    </row>
    <row r="27" spans="1:5" x14ac:dyDescent="0.3">
      <c r="A27" s="2"/>
      <c r="B27" s="3" t="s">
        <v>259</v>
      </c>
      <c r="C27" s="4" t="s">
        <v>260</v>
      </c>
      <c r="D27" s="1">
        <f>3.8/1.18</f>
        <v>3.2203389830508473</v>
      </c>
    </row>
    <row r="28" spans="1:5" x14ac:dyDescent="0.3">
      <c r="A28" s="2"/>
      <c r="B28" s="3" t="s">
        <v>261</v>
      </c>
      <c r="C28" s="4" t="s">
        <v>40</v>
      </c>
      <c r="D28" s="1">
        <f>14.6/1.18</f>
        <v>12.372881355932204</v>
      </c>
    </row>
    <row r="29" spans="1:5" x14ac:dyDescent="0.3">
      <c r="A29" s="2"/>
      <c r="B29" s="3" t="s">
        <v>419</v>
      </c>
      <c r="C29" s="4" t="s">
        <v>420</v>
      </c>
      <c r="D29" s="1">
        <f>8/1.18</f>
        <v>6.7796610169491531</v>
      </c>
    </row>
    <row r="30" spans="1:5" x14ac:dyDescent="0.3">
      <c r="A30" s="2"/>
      <c r="B30" s="3" t="s">
        <v>262</v>
      </c>
      <c r="C30" s="4" t="s">
        <v>40</v>
      </c>
      <c r="D30" s="1">
        <f>21/1.18</f>
        <v>17.796610169491526</v>
      </c>
    </row>
    <row r="31" spans="1:5" x14ac:dyDescent="0.3">
      <c r="A31" s="2"/>
      <c r="B31" s="3" t="s">
        <v>91</v>
      </c>
      <c r="C31" s="4" t="s">
        <v>12</v>
      </c>
      <c r="D31" s="1">
        <f>358.7/1.18</f>
        <v>303.98305084745766</v>
      </c>
    </row>
    <row r="32" spans="1:5" x14ac:dyDescent="0.3">
      <c r="A32" s="2"/>
      <c r="B32" s="3" t="s">
        <v>95</v>
      </c>
      <c r="C32" s="4" t="s">
        <v>49</v>
      </c>
      <c r="D32" s="1">
        <f>14.9/1.18</f>
        <v>12.627118644067798</v>
      </c>
    </row>
    <row r="33" spans="1:4" x14ac:dyDescent="0.3">
      <c r="A33" s="2"/>
      <c r="B33" s="3" t="s">
        <v>96</v>
      </c>
      <c r="C33" s="4" t="s">
        <v>49</v>
      </c>
      <c r="D33" s="1">
        <f>11.1/1.18</f>
        <v>9.4067796610169498</v>
      </c>
    </row>
    <row r="34" spans="1:4" x14ac:dyDescent="0.3">
      <c r="A34" s="2"/>
      <c r="B34" s="3" t="s">
        <v>97</v>
      </c>
      <c r="C34" s="4" t="s">
        <v>49</v>
      </c>
      <c r="D34" s="1">
        <f>8.2/1.18</f>
        <v>6.9491525423728815</v>
      </c>
    </row>
    <row r="35" spans="1:4" x14ac:dyDescent="0.3">
      <c r="A35" s="2"/>
      <c r="B35" s="3" t="s">
        <v>98</v>
      </c>
      <c r="C35" s="4" t="s">
        <v>10</v>
      </c>
      <c r="D35" s="1">
        <f>2.9/1.18</f>
        <v>2.4576271186440679</v>
      </c>
    </row>
    <row r="36" spans="1:4" x14ac:dyDescent="0.3">
      <c r="A36" s="2"/>
      <c r="B36" s="3" t="s">
        <v>99</v>
      </c>
      <c r="C36" s="4" t="s">
        <v>49</v>
      </c>
      <c r="D36" s="1">
        <f>0.96/1.18</f>
        <v>0.81355932203389836</v>
      </c>
    </row>
    <row r="37" spans="1:4" x14ac:dyDescent="0.3">
      <c r="A37" s="2"/>
      <c r="B37" s="3" t="s">
        <v>100</v>
      </c>
      <c r="C37" s="4" t="s">
        <v>49</v>
      </c>
      <c r="D37" s="1">
        <f>0.035/1.18</f>
        <v>2.9661016949152547E-2</v>
      </c>
    </row>
    <row r="38" spans="1:4" x14ac:dyDescent="0.3">
      <c r="A38" s="2"/>
      <c r="B38" s="3" t="s">
        <v>101</v>
      </c>
      <c r="C38" s="4" t="s">
        <v>49</v>
      </c>
      <c r="D38" s="1">
        <f>0.045/1.18</f>
        <v>3.8135593220338986E-2</v>
      </c>
    </row>
    <row r="39" spans="1:4" x14ac:dyDescent="0.3">
      <c r="A39" s="2"/>
      <c r="B39" s="3" t="s">
        <v>263</v>
      </c>
      <c r="C39" s="4" t="s">
        <v>49</v>
      </c>
      <c r="D39" s="1">
        <f>0.095/1.18</f>
        <v>8.0508474576271194E-2</v>
      </c>
    </row>
    <row r="40" spans="1:4" x14ac:dyDescent="0.3">
      <c r="A40" s="2"/>
      <c r="B40" s="3" t="s">
        <v>321</v>
      </c>
      <c r="C40" s="4" t="s">
        <v>49</v>
      </c>
      <c r="D40" s="1">
        <f>0.038/1.18</f>
        <v>3.2203389830508473E-2</v>
      </c>
    </row>
    <row r="41" spans="1:4" x14ac:dyDescent="0.3">
      <c r="A41" s="2"/>
      <c r="B41" s="3" t="s">
        <v>264</v>
      </c>
      <c r="C41" s="4" t="s">
        <v>10</v>
      </c>
      <c r="D41" s="1">
        <f>2.5/1.18</f>
        <v>2.1186440677966103</v>
      </c>
    </row>
    <row r="42" spans="1:4" x14ac:dyDescent="0.3">
      <c r="A42" s="2"/>
      <c r="B42" s="3" t="s">
        <v>103</v>
      </c>
      <c r="C42" s="4" t="s">
        <v>49</v>
      </c>
      <c r="D42" s="1">
        <f>14.5/1.18</f>
        <v>12.288135593220339</v>
      </c>
    </row>
    <row r="43" spans="1:4" x14ac:dyDescent="0.3">
      <c r="A43" s="2"/>
      <c r="B43" s="3" t="s">
        <v>104</v>
      </c>
      <c r="C43" s="4" t="s">
        <v>49</v>
      </c>
      <c r="D43" s="1">
        <f>16.8/1.18</f>
        <v>14.237288135593221</v>
      </c>
    </row>
    <row r="44" spans="1:4" x14ac:dyDescent="0.3">
      <c r="A44" s="2"/>
      <c r="B44" s="3" t="s">
        <v>123</v>
      </c>
      <c r="C44" s="4" t="s">
        <v>40</v>
      </c>
      <c r="D44" s="1">
        <f>3.5/1.18</f>
        <v>2.9661016949152543</v>
      </c>
    </row>
    <row r="45" spans="1:4" x14ac:dyDescent="0.3">
      <c r="A45" s="2"/>
      <c r="B45" s="3" t="s">
        <v>265</v>
      </c>
      <c r="C45" s="4" t="s">
        <v>49</v>
      </c>
      <c r="D45" s="1">
        <f>35/1.18</f>
        <v>29.661016949152543</v>
      </c>
    </row>
    <row r="46" spans="1:4" x14ac:dyDescent="0.3">
      <c r="A46" s="2"/>
      <c r="B46" s="3" t="s">
        <v>266</v>
      </c>
      <c r="C46" s="4" t="s">
        <v>49</v>
      </c>
      <c r="D46" s="1">
        <f>85/1.18</f>
        <v>72.033898305084747</v>
      </c>
    </row>
    <row r="47" spans="1:4" x14ac:dyDescent="0.3">
      <c r="A47" s="2"/>
      <c r="B47" s="3" t="s">
        <v>267</v>
      </c>
      <c r="C47" s="4" t="s">
        <v>49</v>
      </c>
      <c r="D47" s="1">
        <f>35/1.18</f>
        <v>29.661016949152543</v>
      </c>
    </row>
    <row r="48" spans="1:4" x14ac:dyDescent="0.3">
      <c r="A48" s="2"/>
      <c r="B48" s="3" t="s">
        <v>268</v>
      </c>
      <c r="C48" s="4" t="s">
        <v>49</v>
      </c>
      <c r="D48" s="1">
        <f>6.5/1.18</f>
        <v>5.5084745762711869</v>
      </c>
    </row>
    <row r="49" spans="1:4" x14ac:dyDescent="0.3">
      <c r="A49" s="2"/>
      <c r="B49" s="3" t="s">
        <v>269</v>
      </c>
      <c r="C49" s="4" t="s">
        <v>49</v>
      </c>
      <c r="D49" s="1">
        <f>20/1.18</f>
        <v>16.949152542372882</v>
      </c>
    </row>
    <row r="50" spans="1:4" x14ac:dyDescent="0.3">
      <c r="A50" s="2"/>
      <c r="B50" s="3" t="s">
        <v>129</v>
      </c>
      <c r="C50" s="4" t="s">
        <v>40</v>
      </c>
      <c r="D50" s="1">
        <f>3/1.18</f>
        <v>2.5423728813559325</v>
      </c>
    </row>
    <row r="51" spans="1:4" x14ac:dyDescent="0.3">
      <c r="A51" s="2"/>
      <c r="B51" s="3" t="s">
        <v>130</v>
      </c>
      <c r="C51" s="4" t="s">
        <v>40</v>
      </c>
      <c r="D51" s="1">
        <f>1.9/1.18</f>
        <v>1.6101694915254237</v>
      </c>
    </row>
    <row r="52" spans="1:4" x14ac:dyDescent="0.3">
      <c r="A52" s="2"/>
      <c r="B52" s="3" t="s">
        <v>131</v>
      </c>
      <c r="C52" s="4" t="s">
        <v>40</v>
      </c>
      <c r="D52" s="1">
        <f>1.3/1.18</f>
        <v>1.1016949152542375</v>
      </c>
    </row>
    <row r="53" spans="1:4" x14ac:dyDescent="0.3">
      <c r="A53" s="2"/>
      <c r="B53" s="3" t="s">
        <v>132</v>
      </c>
      <c r="C53" s="4" t="s">
        <v>40</v>
      </c>
      <c r="D53" s="1">
        <f>1.3/1.18</f>
        <v>1.1016949152542375</v>
      </c>
    </row>
    <row r="54" spans="1:4" x14ac:dyDescent="0.3">
      <c r="A54" s="2"/>
      <c r="B54" s="3" t="s">
        <v>270</v>
      </c>
      <c r="C54" s="4" t="s">
        <v>55</v>
      </c>
      <c r="D54" s="1">
        <f>10/1.18</f>
        <v>8.4745762711864412</v>
      </c>
    </row>
    <row r="55" spans="1:4" x14ac:dyDescent="0.3">
      <c r="A55" s="2"/>
      <c r="B55" s="3" t="s">
        <v>271</v>
      </c>
      <c r="C55" s="4" t="s">
        <v>55</v>
      </c>
      <c r="D55" s="1">
        <f>55/1.18</f>
        <v>46.610169491525426</v>
      </c>
    </row>
    <row r="56" spans="1:4" x14ac:dyDescent="0.3">
      <c r="A56" s="2"/>
      <c r="B56" s="3" t="s">
        <v>140</v>
      </c>
      <c r="C56" s="4" t="s">
        <v>40</v>
      </c>
      <c r="D56" s="1">
        <f>2.1/1.18</f>
        <v>1.7796610169491527</v>
      </c>
    </row>
    <row r="57" spans="1:4" x14ac:dyDescent="0.3">
      <c r="A57" s="2"/>
      <c r="B57" s="3" t="s">
        <v>139</v>
      </c>
      <c r="C57" s="4" t="s">
        <v>40</v>
      </c>
      <c r="D57" s="1">
        <f>9.5/1.18</f>
        <v>8.0508474576271194</v>
      </c>
    </row>
    <row r="58" spans="1:4" x14ac:dyDescent="0.3">
      <c r="A58" s="2"/>
      <c r="B58" s="3" t="s">
        <v>352</v>
      </c>
      <c r="C58" s="4" t="s">
        <v>40</v>
      </c>
      <c r="D58" s="1">
        <f>5.8/1.18</f>
        <v>4.9152542372881358</v>
      </c>
    </row>
    <row r="59" spans="1:4" x14ac:dyDescent="0.3">
      <c r="A59" s="2"/>
      <c r="B59" s="3" t="s">
        <v>353</v>
      </c>
      <c r="C59" s="4" t="s">
        <v>40</v>
      </c>
      <c r="D59" s="1">
        <f>7.5/1.18</f>
        <v>6.3559322033898304</v>
      </c>
    </row>
    <row r="60" spans="1:4" x14ac:dyDescent="0.3">
      <c r="A60" s="2"/>
      <c r="B60" s="3" t="s">
        <v>354</v>
      </c>
      <c r="C60" s="4" t="s">
        <v>40</v>
      </c>
      <c r="D60" s="1">
        <f>2/1.18</f>
        <v>1.6949152542372883</v>
      </c>
    </row>
    <row r="61" spans="1:4" x14ac:dyDescent="0.3">
      <c r="A61" s="2"/>
      <c r="B61" s="3" t="s">
        <v>272</v>
      </c>
      <c r="C61" s="4" t="s">
        <v>40</v>
      </c>
      <c r="D61" s="1">
        <f>5/1.18</f>
        <v>4.2372881355932206</v>
      </c>
    </row>
    <row r="62" spans="1:4" x14ac:dyDescent="0.3">
      <c r="A62" s="2"/>
      <c r="B62" s="3" t="s">
        <v>142</v>
      </c>
      <c r="C62" s="4" t="s">
        <v>40</v>
      </c>
      <c r="D62" s="1">
        <f>2.1/1.18</f>
        <v>1.7796610169491527</v>
      </c>
    </row>
    <row r="63" spans="1:4" x14ac:dyDescent="0.3">
      <c r="A63" s="2"/>
      <c r="B63" s="3" t="s">
        <v>273</v>
      </c>
      <c r="C63" s="4" t="s">
        <v>40</v>
      </c>
      <c r="D63" s="1">
        <f>2.7/1.18</f>
        <v>2.2881355932203391</v>
      </c>
    </row>
    <row r="64" spans="1:4" x14ac:dyDescent="0.3">
      <c r="A64" s="2"/>
      <c r="B64" s="3" t="s">
        <v>356</v>
      </c>
      <c r="C64" s="4" t="s">
        <v>40</v>
      </c>
      <c r="D64" s="1">
        <f>5.2/1.18</f>
        <v>4.4067796610169498</v>
      </c>
    </row>
    <row r="65" spans="1:4" x14ac:dyDescent="0.3">
      <c r="A65" s="2"/>
      <c r="B65" s="3" t="s">
        <v>274</v>
      </c>
      <c r="C65" s="4" t="s">
        <v>55</v>
      </c>
      <c r="D65" s="1">
        <f>0.7/1.18</f>
        <v>0.59322033898305082</v>
      </c>
    </row>
    <row r="66" spans="1:4" x14ac:dyDescent="0.3">
      <c r="A66" s="2"/>
      <c r="B66" s="3" t="s">
        <v>275</v>
      </c>
      <c r="C66" s="4" t="s">
        <v>55</v>
      </c>
      <c r="D66" s="1">
        <f>0.8/1.18</f>
        <v>0.67796610169491534</v>
      </c>
    </row>
    <row r="67" spans="1:4" x14ac:dyDescent="0.3">
      <c r="A67" s="2"/>
      <c r="B67" s="3" t="s">
        <v>276</v>
      </c>
      <c r="C67" s="4" t="s">
        <v>55</v>
      </c>
      <c r="D67" s="1">
        <f>1.7/1.18</f>
        <v>1.4406779661016949</v>
      </c>
    </row>
    <row r="68" spans="1:4" x14ac:dyDescent="0.3">
      <c r="A68" s="2"/>
      <c r="B68" s="3" t="s">
        <v>185</v>
      </c>
      <c r="C68" s="4" t="s">
        <v>40</v>
      </c>
      <c r="D68" s="1">
        <f>14.8/1.18</f>
        <v>12.542372881355934</v>
      </c>
    </row>
    <row r="69" spans="1:4" x14ac:dyDescent="0.3">
      <c r="A69" s="2"/>
      <c r="B69" s="3" t="s">
        <v>403</v>
      </c>
      <c r="C69" s="4" t="s">
        <v>192</v>
      </c>
      <c r="D69" s="1">
        <f>0.5/1.18</f>
        <v>0.42372881355932207</v>
      </c>
    </row>
    <row r="70" spans="1:4" x14ac:dyDescent="0.3">
      <c r="A70" s="2"/>
      <c r="B70" s="3" t="s">
        <v>372</v>
      </c>
      <c r="C70" s="4" t="s">
        <v>193</v>
      </c>
      <c r="D70" s="1">
        <f>1.5/1.18</f>
        <v>1.2711864406779663</v>
      </c>
    </row>
    <row r="71" spans="1:4" x14ac:dyDescent="0.3">
      <c r="A71" s="2"/>
      <c r="B71" s="3" t="s">
        <v>373</v>
      </c>
      <c r="C71" s="4" t="s">
        <v>192</v>
      </c>
      <c r="D71" s="1">
        <f>23.5/1.18</f>
        <v>19.915254237288135</v>
      </c>
    </row>
    <row r="72" spans="1:4" x14ac:dyDescent="0.3">
      <c r="A72" s="2"/>
      <c r="B72" s="3" t="s">
        <v>375</v>
      </c>
      <c r="C72" s="4" t="s">
        <v>192</v>
      </c>
      <c r="D72" s="1">
        <f>17/1.18</f>
        <v>14.40677966101695</v>
      </c>
    </row>
    <row r="73" spans="1:4" x14ac:dyDescent="0.3">
      <c r="A73" s="2"/>
      <c r="B73" s="3" t="s">
        <v>376</v>
      </c>
      <c r="C73" s="4" t="s">
        <v>192</v>
      </c>
      <c r="D73" s="1">
        <f>9/1.18</f>
        <v>7.6271186440677967</v>
      </c>
    </row>
    <row r="74" spans="1:4" x14ac:dyDescent="0.3">
      <c r="A74" s="2"/>
      <c r="B74" s="3" t="s">
        <v>277</v>
      </c>
      <c r="C74" s="4" t="s">
        <v>192</v>
      </c>
      <c r="D74" s="1">
        <f>420/1.18</f>
        <v>355.93220338983053</v>
      </c>
    </row>
    <row r="75" spans="1:4" x14ac:dyDescent="0.3">
      <c r="A75" s="47"/>
      <c r="B75" s="3" t="s">
        <v>401</v>
      </c>
      <c r="C75" s="4" t="s">
        <v>192</v>
      </c>
      <c r="D75" s="1">
        <f>18.5/1.18</f>
        <v>15.677966101694915</v>
      </c>
    </row>
    <row r="76" spans="1:4" x14ac:dyDescent="0.3">
      <c r="A76" s="47"/>
      <c r="B76" s="3" t="s">
        <v>402</v>
      </c>
      <c r="C76" s="4" t="s">
        <v>192</v>
      </c>
      <c r="D76" s="1">
        <f>23.5/1.18</f>
        <v>19.915254237288135</v>
      </c>
    </row>
    <row r="77" spans="1:4" x14ac:dyDescent="0.3">
      <c r="A77" s="47"/>
      <c r="B77" s="3" t="s">
        <v>374</v>
      </c>
      <c r="C77" s="4" t="s">
        <v>246</v>
      </c>
      <c r="D77" s="48">
        <f>11.2/1.18</f>
        <v>9.4915254237288131</v>
      </c>
    </row>
    <row r="78" spans="1:4" x14ac:dyDescent="0.3">
      <c r="A78" s="47"/>
      <c r="B78" s="3" t="s">
        <v>400</v>
      </c>
      <c r="C78" s="4" t="s">
        <v>246</v>
      </c>
      <c r="D78" s="48">
        <f>40/1.18</f>
        <v>33.898305084745765</v>
      </c>
    </row>
    <row r="79" spans="1:4" x14ac:dyDescent="0.3">
      <c r="A79" s="47"/>
      <c r="B79" s="3" t="s">
        <v>399</v>
      </c>
      <c r="C79" s="4" t="s">
        <v>246</v>
      </c>
      <c r="D79" s="48">
        <f>24.9/1.18</f>
        <v>21.101694915254239</v>
      </c>
    </row>
    <row r="80" spans="1:4" x14ac:dyDescent="0.3">
      <c r="A80" s="47"/>
      <c r="B80" s="3" t="s">
        <v>398</v>
      </c>
      <c r="C80" s="47" t="s">
        <v>193</v>
      </c>
      <c r="D80" s="1">
        <f>2.9/1.18</f>
        <v>2.4576271186440679</v>
      </c>
    </row>
    <row r="81" spans="1:4" x14ac:dyDescent="0.3">
      <c r="A81" s="47"/>
      <c r="B81" s="3" t="s">
        <v>383</v>
      </c>
      <c r="C81" s="47" t="s">
        <v>193</v>
      </c>
      <c r="D81" s="1">
        <f>3.25/1.18</f>
        <v>2.7542372881355934</v>
      </c>
    </row>
    <row r="82" spans="1:4" x14ac:dyDescent="0.3">
      <c r="A82" s="47"/>
      <c r="B82" s="3" t="s">
        <v>397</v>
      </c>
      <c r="C82" s="47" t="s">
        <v>193</v>
      </c>
      <c r="D82" s="1">
        <f>43/1.18</f>
        <v>36.440677966101696</v>
      </c>
    </row>
    <row r="83" spans="1:4" x14ac:dyDescent="0.3">
      <c r="A83" s="47"/>
      <c r="B83" s="3" t="s">
        <v>320</v>
      </c>
      <c r="C83" s="47" t="s">
        <v>244</v>
      </c>
      <c r="D83" s="1">
        <f>65/1.18</f>
        <v>55.084745762711869</v>
      </c>
    </row>
    <row r="84" spans="1:4" x14ac:dyDescent="0.3">
      <c r="A84" s="47"/>
      <c r="B84" s="3" t="s">
        <v>395</v>
      </c>
      <c r="C84" s="47" t="s">
        <v>193</v>
      </c>
      <c r="D84" s="1">
        <f>9.2/1.18</f>
        <v>7.7966101694915251</v>
      </c>
    </row>
    <row r="85" spans="1:4" x14ac:dyDescent="0.3">
      <c r="A85" s="47"/>
      <c r="B85" s="3" t="s">
        <v>396</v>
      </c>
      <c r="C85" s="47" t="s">
        <v>193</v>
      </c>
      <c r="D85" s="1">
        <f>17.2/1.18</f>
        <v>14.576271186440678</v>
      </c>
    </row>
    <row r="86" spans="1:4" x14ac:dyDescent="0.3">
      <c r="A86" s="47"/>
      <c r="B86" s="3" t="s">
        <v>385</v>
      </c>
      <c r="C86" s="47" t="s">
        <v>192</v>
      </c>
      <c r="D86" s="1">
        <f>45/1.18</f>
        <v>38.135593220338983</v>
      </c>
    </row>
    <row r="87" spans="1:4" x14ac:dyDescent="0.3">
      <c r="A87" s="47"/>
      <c r="B87" s="3" t="s">
        <v>340</v>
      </c>
      <c r="C87" s="47" t="s">
        <v>192</v>
      </c>
      <c r="D87" s="1">
        <f>130/1.18</f>
        <v>110.16949152542374</v>
      </c>
    </row>
    <row r="88" spans="1:4" x14ac:dyDescent="0.3">
      <c r="A88" s="47"/>
      <c r="B88" s="3" t="s">
        <v>341</v>
      </c>
      <c r="C88" s="47" t="s">
        <v>192</v>
      </c>
      <c r="D88" s="1">
        <f>50/1.18</f>
        <v>42.372881355932208</v>
      </c>
    </row>
    <row r="89" spans="1:4" x14ac:dyDescent="0.3">
      <c r="A89" s="47"/>
      <c r="B89" s="3" t="s">
        <v>342</v>
      </c>
      <c r="C89" s="47" t="s">
        <v>192</v>
      </c>
      <c r="D89" s="1">
        <f>30/1.18</f>
        <v>25.423728813559322</v>
      </c>
    </row>
    <row r="90" spans="1:4" x14ac:dyDescent="0.3">
      <c r="A90" s="47"/>
      <c r="B90" s="3" t="s">
        <v>344</v>
      </c>
      <c r="C90" s="47" t="s">
        <v>190</v>
      </c>
      <c r="D90" s="1">
        <f>60/1.18</f>
        <v>50.847457627118644</v>
      </c>
    </row>
    <row r="91" spans="1:4" x14ac:dyDescent="0.3">
      <c r="A91" s="47"/>
      <c r="B91" s="3" t="s">
        <v>406</v>
      </c>
      <c r="C91" s="47" t="s">
        <v>193</v>
      </c>
      <c r="D91" s="1">
        <f>2/1.18</f>
        <v>1.6949152542372883</v>
      </c>
    </row>
    <row r="92" spans="1:4" x14ac:dyDescent="0.3">
      <c r="A92" s="47"/>
      <c r="B92" s="3" t="s">
        <v>407</v>
      </c>
      <c r="C92" s="47" t="s">
        <v>192</v>
      </c>
      <c r="D92" s="1">
        <f>97/1.18</f>
        <v>82.203389830508485</v>
      </c>
    </row>
    <row r="93" spans="1:4" x14ac:dyDescent="0.3">
      <c r="A93" s="47"/>
      <c r="B93" s="3" t="s">
        <v>366</v>
      </c>
      <c r="C93" s="47" t="s">
        <v>193</v>
      </c>
      <c r="D93" s="1">
        <f>15/1.18</f>
        <v>12.711864406779661</v>
      </c>
    </row>
    <row r="94" spans="1:4" x14ac:dyDescent="0.3">
      <c r="A94" s="47"/>
      <c r="B94" s="3" t="s">
        <v>408</v>
      </c>
      <c r="C94" s="47" t="s">
        <v>192</v>
      </c>
      <c r="D94" s="1">
        <f>12/1.18</f>
        <v>10.16949152542373</v>
      </c>
    </row>
    <row r="95" spans="1:4" x14ac:dyDescent="0.3">
      <c r="A95" s="47"/>
      <c r="B95" s="3" t="s">
        <v>367</v>
      </c>
      <c r="C95" s="47" t="s">
        <v>192</v>
      </c>
      <c r="D95" s="1">
        <f>1/1.18</f>
        <v>0.84745762711864414</v>
      </c>
    </row>
    <row r="96" spans="1:4" x14ac:dyDescent="0.3">
      <c r="A96" s="47"/>
      <c r="B96" s="3" t="s">
        <v>369</v>
      </c>
      <c r="C96" s="47" t="s">
        <v>192</v>
      </c>
      <c r="D96" s="1">
        <f>1/1.18</f>
        <v>0.84745762711864414</v>
      </c>
    </row>
    <row r="97" spans="1:4" x14ac:dyDescent="0.3">
      <c r="A97" s="47"/>
      <c r="B97" s="3" t="s">
        <v>370</v>
      </c>
      <c r="C97" s="47" t="s">
        <v>192</v>
      </c>
      <c r="D97" s="1">
        <f>5/1.18</f>
        <v>4.2372881355932206</v>
      </c>
    </row>
    <row r="98" spans="1:4" x14ac:dyDescent="0.3">
      <c r="A98" s="47"/>
      <c r="B98" s="3" t="s">
        <v>371</v>
      </c>
      <c r="C98" s="47" t="s">
        <v>192</v>
      </c>
      <c r="D98" s="1">
        <f>50/1.18</f>
        <v>42.372881355932208</v>
      </c>
    </row>
    <row r="99" spans="1:4" x14ac:dyDescent="0.3">
      <c r="A99" s="47"/>
      <c r="B99" s="3" t="s">
        <v>377</v>
      </c>
      <c r="C99" s="47" t="s">
        <v>192</v>
      </c>
      <c r="D99" s="1">
        <f>8/1.18</f>
        <v>6.7796610169491531</v>
      </c>
    </row>
    <row r="100" spans="1:4" x14ac:dyDescent="0.3">
      <c r="A100" s="47"/>
      <c r="B100" s="3" t="s">
        <v>378</v>
      </c>
      <c r="C100" s="47" t="s">
        <v>192</v>
      </c>
      <c r="D100" s="1">
        <f>0.5/1.18</f>
        <v>0.42372881355932207</v>
      </c>
    </row>
    <row r="101" spans="1:4" x14ac:dyDescent="0.3">
      <c r="A101" s="47"/>
      <c r="B101" s="3" t="s">
        <v>379</v>
      </c>
      <c r="C101" s="47" t="s">
        <v>192</v>
      </c>
      <c r="D101" s="1">
        <f>2/1.18</f>
        <v>1.6949152542372883</v>
      </c>
    </row>
    <row r="102" spans="1:4" x14ac:dyDescent="0.3">
      <c r="A102" s="47"/>
      <c r="B102" s="3" t="s">
        <v>380</v>
      </c>
      <c r="C102" s="47" t="s">
        <v>192</v>
      </c>
      <c r="D102" s="1">
        <f>1/1.18</f>
        <v>0.84745762711864414</v>
      </c>
    </row>
    <row r="103" spans="1:4" x14ac:dyDescent="0.3">
      <c r="A103" s="47"/>
      <c r="B103" s="3" t="s">
        <v>381</v>
      </c>
      <c r="C103" s="47" t="s">
        <v>192</v>
      </c>
      <c r="D103" s="1">
        <f>1/1.18</f>
        <v>0.84745762711864414</v>
      </c>
    </row>
    <row r="104" spans="1:4" x14ac:dyDescent="0.3">
      <c r="A104" s="47"/>
      <c r="B104" s="3" t="s">
        <v>382</v>
      </c>
      <c r="C104" s="47" t="s">
        <v>192</v>
      </c>
      <c r="D104" s="1">
        <f>1/1.18</f>
        <v>0.84745762711864414</v>
      </c>
    </row>
    <row r="105" spans="1:4" x14ac:dyDescent="0.3">
      <c r="A105" s="47"/>
      <c r="B105" s="3" t="s">
        <v>386</v>
      </c>
      <c r="C105" s="47" t="s">
        <v>192</v>
      </c>
      <c r="D105" s="1">
        <f>15/1.18</f>
        <v>12.711864406779661</v>
      </c>
    </row>
    <row r="106" spans="1:4" x14ac:dyDescent="0.3">
      <c r="A106" s="47"/>
      <c r="B106" s="3" t="s">
        <v>387</v>
      </c>
      <c r="C106" s="47" t="s">
        <v>192</v>
      </c>
      <c r="D106" s="1">
        <f>2/1.18</f>
        <v>1.6949152542372883</v>
      </c>
    </row>
    <row r="107" spans="1:4" x14ac:dyDescent="0.3">
      <c r="A107" s="47"/>
      <c r="B107" s="3" t="s">
        <v>388</v>
      </c>
      <c r="C107" s="47" t="s">
        <v>192</v>
      </c>
      <c r="D107" s="1">
        <f>2/1.18</f>
        <v>1.6949152542372883</v>
      </c>
    </row>
    <row r="108" spans="1:4" x14ac:dyDescent="0.3">
      <c r="A108" s="47"/>
      <c r="B108" s="3" t="s">
        <v>389</v>
      </c>
      <c r="C108" s="47" t="s">
        <v>192</v>
      </c>
      <c r="D108" s="1">
        <f>1/1.18</f>
        <v>0.84745762711864414</v>
      </c>
    </row>
    <row r="109" spans="1:4" x14ac:dyDescent="0.3">
      <c r="A109" s="47"/>
      <c r="B109" s="3" t="s">
        <v>390</v>
      </c>
      <c r="C109" s="47" t="s">
        <v>192</v>
      </c>
      <c r="D109" s="1">
        <f>1/1.18</f>
        <v>0.84745762711864414</v>
      </c>
    </row>
    <row r="110" spans="1:4" x14ac:dyDescent="0.3">
      <c r="A110" s="47"/>
      <c r="B110" s="3" t="s">
        <v>391</v>
      </c>
      <c r="C110" s="47" t="s">
        <v>192</v>
      </c>
      <c r="D110" s="1">
        <f>8/1.18</f>
        <v>6.7796610169491531</v>
      </c>
    </row>
    <row r="111" spans="1:4" x14ac:dyDescent="0.3">
      <c r="A111" s="47"/>
      <c r="B111" s="3" t="s">
        <v>392</v>
      </c>
      <c r="C111" s="47" t="s">
        <v>192</v>
      </c>
      <c r="D111" s="1">
        <f>5/1.18</f>
        <v>4.2372881355932206</v>
      </c>
    </row>
    <row r="112" spans="1:4" x14ac:dyDescent="0.3">
      <c r="A112" s="47"/>
      <c r="B112" s="3" t="s">
        <v>393</v>
      </c>
      <c r="C112" s="47" t="s">
        <v>192</v>
      </c>
      <c r="D112" s="1">
        <f>5/1.18</f>
        <v>4.2372881355932206</v>
      </c>
    </row>
    <row r="113" spans="1:4" x14ac:dyDescent="0.3">
      <c r="A113" s="47"/>
      <c r="B113" s="3" t="s">
        <v>415</v>
      </c>
      <c r="C113" s="49" t="s">
        <v>193</v>
      </c>
      <c r="D113" s="1">
        <f>55/1.18</f>
        <v>46.610169491525426</v>
      </c>
    </row>
    <row r="114" spans="1:4" x14ac:dyDescent="0.3">
      <c r="A114" s="47"/>
      <c r="B114" s="3" t="s">
        <v>417</v>
      </c>
      <c r="C114" s="47" t="s">
        <v>192</v>
      </c>
      <c r="D114" s="1">
        <f>90/1.18</f>
        <v>76.271186440677965</v>
      </c>
    </row>
  </sheetData>
  <autoFilter ref="A1:D114" xr:uid="{051671BB-2E89-4A2E-9A29-6EF59A4915FE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772B-A202-4E77-9B70-3F168D36FB00}">
  <dimension ref="A1:D33"/>
  <sheetViews>
    <sheetView workbookViewId="0">
      <selection activeCell="D8" sqref="D8"/>
    </sheetView>
  </sheetViews>
  <sheetFormatPr defaultRowHeight="14.4" x14ac:dyDescent="0.3"/>
  <cols>
    <col min="2" max="2" width="43.6640625" customWidth="1"/>
    <col min="3" max="3" width="9.33203125" bestFit="1" customWidth="1"/>
    <col min="4" max="4" width="18.77734375" customWidth="1"/>
  </cols>
  <sheetData>
    <row r="1" spans="1:4" ht="32.4" x14ac:dyDescent="0.3">
      <c r="A1" s="39" t="s">
        <v>0</v>
      </c>
      <c r="B1" s="39" t="s">
        <v>1</v>
      </c>
      <c r="C1" s="39" t="s">
        <v>2</v>
      </c>
      <c r="D1" s="39" t="s">
        <v>278</v>
      </c>
    </row>
    <row r="2" spans="1:4" x14ac:dyDescent="0.3">
      <c r="A2" s="40">
        <v>1</v>
      </c>
      <c r="B2" s="40">
        <v>2</v>
      </c>
      <c r="C2" s="40">
        <v>3</v>
      </c>
      <c r="D2" s="40">
        <v>5</v>
      </c>
    </row>
    <row r="3" spans="1:4" x14ac:dyDescent="0.3">
      <c r="A3" s="42"/>
      <c r="B3" s="3" t="s">
        <v>279</v>
      </c>
      <c r="C3" s="4" t="s">
        <v>10</v>
      </c>
      <c r="D3" s="1">
        <f>130*[1]ფართები!E2/1.18</f>
        <v>301.86440677966107</v>
      </c>
    </row>
    <row r="4" spans="1:4" x14ac:dyDescent="0.3">
      <c r="A4" s="42"/>
      <c r="B4" s="3" t="s">
        <v>337</v>
      </c>
      <c r="C4" s="4" t="s">
        <v>10</v>
      </c>
      <c r="D4" s="1">
        <f>160*ფართები!E3/1.18</f>
        <v>372.28474576271185</v>
      </c>
    </row>
    <row r="5" spans="1:4" x14ac:dyDescent="0.3">
      <c r="A5" s="42"/>
      <c r="B5" s="3" t="s">
        <v>280</v>
      </c>
      <c r="C5" s="4" t="s">
        <v>10</v>
      </c>
      <c r="D5" s="1">
        <f>230*1.27</f>
        <v>292.10000000000002</v>
      </c>
    </row>
    <row r="6" spans="1:4" x14ac:dyDescent="0.3">
      <c r="A6" s="2"/>
      <c r="B6" s="3" t="s">
        <v>67</v>
      </c>
      <c r="C6" s="4" t="s">
        <v>40</v>
      </c>
      <c r="D6" s="1">
        <f>18/1.18</f>
        <v>15.254237288135593</v>
      </c>
    </row>
    <row r="7" spans="1:4" x14ac:dyDescent="0.3">
      <c r="A7" s="2"/>
      <c r="B7" s="3" t="s">
        <v>89</v>
      </c>
      <c r="C7" s="4" t="s">
        <v>10</v>
      </c>
      <c r="D7" s="1">
        <f>12/1.18</f>
        <v>10.16949152542373</v>
      </c>
    </row>
    <row r="8" spans="1:4" x14ac:dyDescent="0.3">
      <c r="A8" s="2"/>
      <c r="B8" s="3" t="s">
        <v>105</v>
      </c>
      <c r="C8" s="4" t="s">
        <v>55</v>
      </c>
      <c r="D8" s="1">
        <f>1300/1.18</f>
        <v>1101.6949152542375</v>
      </c>
    </row>
    <row r="9" spans="1:4" x14ac:dyDescent="0.3">
      <c r="A9" s="2"/>
      <c r="B9" s="3" t="s">
        <v>322</v>
      </c>
      <c r="C9" s="4" t="s">
        <v>55</v>
      </c>
      <c r="D9" s="1">
        <f>900/1.18</f>
        <v>762.71186440677968</v>
      </c>
    </row>
    <row r="10" spans="1:4" x14ac:dyDescent="0.3">
      <c r="A10" s="2"/>
      <c r="B10" s="3" t="s">
        <v>281</v>
      </c>
      <c r="C10" s="4" t="s">
        <v>55</v>
      </c>
      <c r="D10" s="1">
        <f>1750/1.18</f>
        <v>1483.0508474576272</v>
      </c>
    </row>
    <row r="11" spans="1:4" x14ac:dyDescent="0.3">
      <c r="A11" s="2"/>
      <c r="B11" s="3" t="s">
        <v>108</v>
      </c>
      <c r="C11" s="4" t="s">
        <v>55</v>
      </c>
      <c r="D11" s="1">
        <f>3600/1.18</f>
        <v>3050.8474576271187</v>
      </c>
    </row>
    <row r="12" spans="1:4" x14ac:dyDescent="0.3">
      <c r="A12" s="2"/>
      <c r="B12" s="3" t="s">
        <v>110</v>
      </c>
      <c r="C12" s="4" t="s">
        <v>55</v>
      </c>
      <c r="D12" s="1">
        <f>170/1.18</f>
        <v>144.06779661016949</v>
      </c>
    </row>
    <row r="13" spans="1:4" x14ac:dyDescent="0.3">
      <c r="A13" s="2"/>
      <c r="B13" s="3" t="s">
        <v>282</v>
      </c>
      <c r="C13" s="4" t="s">
        <v>55</v>
      </c>
      <c r="D13" s="1">
        <f>1700/1.18</f>
        <v>1440.6779661016949</v>
      </c>
    </row>
    <row r="14" spans="1:4" x14ac:dyDescent="0.3">
      <c r="A14" s="2"/>
      <c r="B14" s="3" t="s">
        <v>113</v>
      </c>
      <c r="C14" s="4" t="s">
        <v>40</v>
      </c>
      <c r="D14" s="1">
        <f>260/1.18</f>
        <v>220.33898305084747</v>
      </c>
    </row>
    <row r="15" spans="1:4" x14ac:dyDescent="0.3">
      <c r="A15" s="2"/>
      <c r="B15" s="3" t="s">
        <v>325</v>
      </c>
      <c r="C15" s="4" t="s">
        <v>193</v>
      </c>
      <c r="D15" s="1">
        <f>260/1.18</f>
        <v>220.33898305084747</v>
      </c>
    </row>
    <row r="16" spans="1:4" x14ac:dyDescent="0.3">
      <c r="A16" s="2"/>
      <c r="B16" s="3" t="s">
        <v>115</v>
      </c>
      <c r="C16" s="4" t="s">
        <v>40</v>
      </c>
      <c r="D16" s="1">
        <f>260/1.18</f>
        <v>220.33898305084747</v>
      </c>
    </row>
    <row r="17" spans="1:4" x14ac:dyDescent="0.3">
      <c r="A17" s="2"/>
      <c r="B17" s="3" t="s">
        <v>116</v>
      </c>
      <c r="C17" s="4" t="s">
        <v>40</v>
      </c>
      <c r="D17" s="1">
        <f>85/1.18</f>
        <v>72.033898305084747</v>
      </c>
    </row>
    <row r="18" spans="1:4" x14ac:dyDescent="0.3">
      <c r="A18" s="2"/>
      <c r="B18" s="3" t="s">
        <v>334</v>
      </c>
      <c r="C18" s="4" t="s">
        <v>55</v>
      </c>
      <c r="D18" s="1">
        <f>2000/1.18</f>
        <v>1694.9152542372883</v>
      </c>
    </row>
    <row r="19" spans="1:4" x14ac:dyDescent="0.3">
      <c r="A19" s="2"/>
      <c r="B19" s="3" t="s">
        <v>335</v>
      </c>
      <c r="C19" s="4" t="s">
        <v>55</v>
      </c>
      <c r="D19" s="1">
        <f>1500/1.18</f>
        <v>1271.1864406779662</v>
      </c>
    </row>
    <row r="20" spans="1:4" x14ac:dyDescent="0.3">
      <c r="A20" s="2"/>
      <c r="B20" s="3" t="s">
        <v>148</v>
      </c>
      <c r="C20" s="4" t="s">
        <v>49</v>
      </c>
      <c r="D20" s="1">
        <f>220/1.18</f>
        <v>186.4406779661017</v>
      </c>
    </row>
    <row r="21" spans="1:4" x14ac:dyDescent="0.3">
      <c r="A21" s="2"/>
      <c r="B21" s="3" t="s">
        <v>147</v>
      </c>
      <c r="C21" s="4" t="s">
        <v>55</v>
      </c>
      <c r="D21" s="1">
        <f>(112425*[1]ფართები!E2/1.18)/2</f>
        <v>130527.33050847458</v>
      </c>
    </row>
    <row r="22" spans="1:4" x14ac:dyDescent="0.3">
      <c r="A22" s="2"/>
      <c r="B22" s="3" t="s">
        <v>153</v>
      </c>
      <c r="C22" s="4" t="s">
        <v>121</v>
      </c>
      <c r="D22" s="1">
        <f>350/1.18</f>
        <v>296.61016949152543</v>
      </c>
    </row>
    <row r="23" spans="1:4" x14ac:dyDescent="0.3">
      <c r="A23" s="2"/>
      <c r="B23" s="3" t="s">
        <v>283</v>
      </c>
      <c r="C23" s="4" t="s">
        <v>121</v>
      </c>
      <c r="D23" s="1">
        <f>160/1.18</f>
        <v>135.59322033898306</v>
      </c>
    </row>
    <row r="24" spans="1:4" x14ac:dyDescent="0.3">
      <c r="A24" s="2"/>
      <c r="B24" s="3" t="s">
        <v>284</v>
      </c>
      <c r="C24" s="4" t="s">
        <v>55</v>
      </c>
      <c r="D24" s="1">
        <f>50/1.18</f>
        <v>42.372881355932208</v>
      </c>
    </row>
    <row r="25" spans="1:4" x14ac:dyDescent="0.3">
      <c r="A25" s="2"/>
      <c r="B25" s="3" t="s">
        <v>285</v>
      </c>
      <c r="C25" s="4" t="s">
        <v>55</v>
      </c>
      <c r="D25" s="1">
        <f>550/1.18</f>
        <v>466.10169491525426</v>
      </c>
    </row>
    <row r="26" spans="1:4" x14ac:dyDescent="0.3">
      <c r="A26" s="2"/>
      <c r="B26" s="3" t="s">
        <v>286</v>
      </c>
      <c r="C26" s="4" t="s">
        <v>55</v>
      </c>
      <c r="D26" s="1">
        <f>50/1.18</f>
        <v>42.372881355932208</v>
      </c>
    </row>
    <row r="27" spans="1:4" x14ac:dyDescent="0.3">
      <c r="A27" s="47"/>
      <c r="B27" s="3" t="s">
        <v>365</v>
      </c>
      <c r="C27" s="4" t="s">
        <v>193</v>
      </c>
      <c r="D27" s="1">
        <f>210/1.18</f>
        <v>177.96610169491527</v>
      </c>
    </row>
    <row r="28" spans="1:4" x14ac:dyDescent="0.3">
      <c r="A28" s="47"/>
      <c r="B28" s="3" t="s">
        <v>362</v>
      </c>
      <c r="C28" s="4" t="s">
        <v>193</v>
      </c>
      <c r="D28" s="1">
        <f>90/1.18</f>
        <v>76.271186440677965</v>
      </c>
    </row>
    <row r="29" spans="1:4" x14ac:dyDescent="0.3">
      <c r="A29" s="47"/>
      <c r="B29" s="23" t="s">
        <v>149</v>
      </c>
      <c r="C29" s="4" t="s">
        <v>364</v>
      </c>
      <c r="D29" s="1">
        <f>5000/1.18</f>
        <v>4237.2881355932204</v>
      </c>
    </row>
    <row r="30" spans="1:4" x14ac:dyDescent="0.3">
      <c r="A30" s="47"/>
      <c r="B30" s="23" t="s">
        <v>150</v>
      </c>
      <c r="C30" s="4" t="s">
        <v>364</v>
      </c>
      <c r="D30" s="1">
        <f>1300/1.18</f>
        <v>1101.6949152542375</v>
      </c>
    </row>
    <row r="31" spans="1:4" x14ac:dyDescent="0.3">
      <c r="A31" s="47"/>
      <c r="B31" s="23" t="s">
        <v>151</v>
      </c>
      <c r="C31" s="4" t="s">
        <v>364</v>
      </c>
      <c r="D31" s="1">
        <f>3400/1.18</f>
        <v>2881.3559322033898</v>
      </c>
    </row>
    <row r="32" spans="1:4" x14ac:dyDescent="0.3">
      <c r="A32" s="47"/>
      <c r="B32" s="23" t="s">
        <v>418</v>
      </c>
      <c r="C32" s="4" t="s">
        <v>10</v>
      </c>
      <c r="D32" s="1">
        <f>495/1.18</f>
        <v>419.49152542372883</v>
      </c>
    </row>
    <row r="33" spans="1:4" x14ac:dyDescent="0.3">
      <c r="A33" s="47"/>
      <c r="B33" s="23" t="s">
        <v>428</v>
      </c>
      <c r="C33" s="4" t="s">
        <v>10</v>
      </c>
      <c r="D33" s="1">
        <f>63/1.18</f>
        <v>53.389830508474581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DAFB-4559-4004-B994-70EB8A328210}">
  <dimension ref="A1:E42"/>
  <sheetViews>
    <sheetView workbookViewId="0">
      <selection activeCell="D19" sqref="D19"/>
    </sheetView>
  </sheetViews>
  <sheetFormatPr defaultRowHeight="14.4" x14ac:dyDescent="0.3"/>
  <cols>
    <col min="2" max="2" width="38.44140625" bestFit="1" customWidth="1"/>
    <col min="3" max="3" width="11.6640625" customWidth="1"/>
    <col min="4" max="4" width="13.109375" bestFit="1" customWidth="1"/>
    <col min="5" max="5" width="51.77734375" bestFit="1" customWidth="1"/>
  </cols>
  <sheetData>
    <row r="1" spans="1:5" ht="32.4" x14ac:dyDescent="0.3">
      <c r="A1" s="39" t="s">
        <v>0</v>
      </c>
      <c r="B1" s="39" t="s">
        <v>1</v>
      </c>
      <c r="C1" s="39" t="s">
        <v>2</v>
      </c>
      <c r="D1" s="39" t="s">
        <v>278</v>
      </c>
    </row>
    <row r="2" spans="1:5" x14ac:dyDescent="0.3">
      <c r="A2" s="40">
        <v>1</v>
      </c>
      <c r="B2" s="40">
        <v>2</v>
      </c>
      <c r="C2" s="40">
        <v>3</v>
      </c>
      <c r="D2" s="40">
        <v>5</v>
      </c>
    </row>
    <row r="3" spans="1:5" x14ac:dyDescent="0.3">
      <c r="A3" s="42"/>
      <c r="B3" s="3" t="s">
        <v>394</v>
      </c>
      <c r="C3" s="4" t="s">
        <v>193</v>
      </c>
      <c r="D3" s="1">
        <f>50*1.275</f>
        <v>63.749999999999993</v>
      </c>
    </row>
    <row r="4" spans="1:5" x14ac:dyDescent="0.3">
      <c r="A4" s="42"/>
      <c r="B4" s="3" t="s">
        <v>287</v>
      </c>
      <c r="C4" s="4" t="s">
        <v>193</v>
      </c>
      <c r="D4" s="1">
        <f>1.5*1.275*12.5</f>
        <v>23.90625</v>
      </c>
    </row>
    <row r="5" spans="1:5" x14ac:dyDescent="0.3">
      <c r="A5" s="42"/>
      <c r="B5" s="3" t="s">
        <v>288</v>
      </c>
      <c r="C5" s="4" t="s">
        <v>190</v>
      </c>
      <c r="D5" s="1">
        <f>15*1.275</f>
        <v>19.125</v>
      </c>
    </row>
    <row r="6" spans="1:5" x14ac:dyDescent="0.3">
      <c r="A6" s="42"/>
      <c r="B6" s="3" t="s">
        <v>249</v>
      </c>
      <c r="C6" s="4" t="s">
        <v>190</v>
      </c>
      <c r="D6" s="1">
        <f>35*1.275</f>
        <v>44.625</v>
      </c>
    </row>
    <row r="7" spans="1:5" x14ac:dyDescent="0.3">
      <c r="A7" s="2"/>
      <c r="B7" s="3" t="s">
        <v>289</v>
      </c>
      <c r="C7" s="4" t="s">
        <v>193</v>
      </c>
      <c r="D7" s="1">
        <f>65*1.275</f>
        <v>82.875</v>
      </c>
    </row>
    <row r="8" spans="1:5" x14ac:dyDescent="0.3">
      <c r="A8" s="2"/>
      <c r="B8" s="3" t="s">
        <v>290</v>
      </c>
      <c r="C8" s="4" t="s">
        <v>40</v>
      </c>
      <c r="D8" s="1">
        <f>35*1.275</f>
        <v>44.625</v>
      </c>
    </row>
    <row r="9" spans="1:5" x14ac:dyDescent="0.3">
      <c r="A9" s="2"/>
      <c r="B9" s="3" t="s">
        <v>313</v>
      </c>
      <c r="C9" s="4" t="s">
        <v>193</v>
      </c>
      <c r="D9" s="1">
        <f>120*1.275</f>
        <v>153</v>
      </c>
    </row>
    <row r="10" spans="1:5" x14ac:dyDescent="0.3">
      <c r="A10" s="2"/>
      <c r="B10" s="3" t="s">
        <v>291</v>
      </c>
      <c r="C10" s="4" t="s">
        <v>40</v>
      </c>
      <c r="D10" s="1">
        <f>16*1.275</f>
        <v>20.399999999999999</v>
      </c>
    </row>
    <row r="11" spans="1:5" x14ac:dyDescent="0.3">
      <c r="A11" s="2"/>
      <c r="B11" s="3" t="s">
        <v>292</v>
      </c>
      <c r="C11" s="4" t="s">
        <v>55</v>
      </c>
      <c r="D11" s="1">
        <f>5*1.275</f>
        <v>6.375</v>
      </c>
    </row>
    <row r="12" spans="1:5" x14ac:dyDescent="0.3">
      <c r="A12" s="2"/>
      <c r="B12" s="3" t="s">
        <v>293</v>
      </c>
      <c r="C12" s="4" t="s">
        <v>40</v>
      </c>
      <c r="D12" s="1">
        <f>3*1.275</f>
        <v>3.8249999999999997</v>
      </c>
    </row>
    <row r="13" spans="1:5" x14ac:dyDescent="0.3">
      <c r="A13" s="2"/>
      <c r="B13" s="3" t="s">
        <v>294</v>
      </c>
      <c r="C13" s="4" t="s">
        <v>10</v>
      </c>
      <c r="D13" s="50">
        <f>(23+25)*1.275</f>
        <v>61.199999999999996</v>
      </c>
      <c r="E13" s="50" t="s">
        <v>435</v>
      </c>
    </row>
    <row r="14" spans="1:5" x14ac:dyDescent="0.3">
      <c r="A14" s="2"/>
      <c r="B14" s="3" t="s">
        <v>172</v>
      </c>
      <c r="C14" s="4" t="s">
        <v>10</v>
      </c>
      <c r="D14" s="50">
        <f>26.5*1.275</f>
        <v>33.787499999999994</v>
      </c>
      <c r="E14" s="50" t="s">
        <v>435</v>
      </c>
    </row>
    <row r="15" spans="1:5" x14ac:dyDescent="0.3">
      <c r="A15" s="2"/>
      <c r="B15" s="3" t="s">
        <v>295</v>
      </c>
      <c r="C15" s="4" t="s">
        <v>10</v>
      </c>
      <c r="D15" s="1">
        <f>30*1.275</f>
        <v>38.25</v>
      </c>
    </row>
    <row r="16" spans="1:5" x14ac:dyDescent="0.3">
      <c r="A16" s="2"/>
      <c r="B16" s="3" t="s">
        <v>296</v>
      </c>
      <c r="C16" s="4" t="s">
        <v>40</v>
      </c>
      <c r="D16" s="1">
        <f>10*1.275</f>
        <v>12.75</v>
      </c>
    </row>
    <row r="17" spans="1:4" x14ac:dyDescent="0.3">
      <c r="A17" s="2"/>
      <c r="B17" s="3" t="s">
        <v>297</v>
      </c>
      <c r="C17" s="4" t="s">
        <v>55</v>
      </c>
      <c r="D17" s="1">
        <f>35*1.275</f>
        <v>44.625</v>
      </c>
    </row>
    <row r="18" spans="1:4" x14ac:dyDescent="0.3">
      <c r="A18" s="2"/>
      <c r="B18" s="3" t="s">
        <v>298</v>
      </c>
      <c r="C18" s="4" t="s">
        <v>10</v>
      </c>
      <c r="D18" s="1">
        <f>12*1.275</f>
        <v>15.299999999999999</v>
      </c>
    </row>
    <row r="19" spans="1:4" x14ac:dyDescent="0.3">
      <c r="A19" s="2"/>
      <c r="B19" s="3" t="s">
        <v>299</v>
      </c>
      <c r="C19" s="4" t="s">
        <v>10</v>
      </c>
      <c r="D19" s="1">
        <f>16*1.275</f>
        <v>20.399999999999999</v>
      </c>
    </row>
    <row r="20" spans="1:4" x14ac:dyDescent="0.3">
      <c r="A20" s="2"/>
      <c r="B20" s="3" t="s">
        <v>300</v>
      </c>
      <c r="C20" s="4" t="s">
        <v>121</v>
      </c>
      <c r="D20" s="1">
        <f>130*1.275</f>
        <v>165.75</v>
      </c>
    </row>
    <row r="21" spans="1:4" x14ac:dyDescent="0.3">
      <c r="A21" s="2"/>
      <c r="B21" s="3" t="s">
        <v>301</v>
      </c>
      <c r="C21" s="4" t="s">
        <v>55</v>
      </c>
      <c r="D21" s="1">
        <f>25*1.275</f>
        <v>31.874999999999996</v>
      </c>
    </row>
    <row r="22" spans="1:4" x14ac:dyDescent="0.3">
      <c r="A22" s="2"/>
      <c r="B22" s="3" t="s">
        <v>339</v>
      </c>
      <c r="C22" s="4" t="s">
        <v>55</v>
      </c>
      <c r="D22" s="1">
        <f>45*1.275</f>
        <v>57.374999999999993</v>
      </c>
    </row>
    <row r="23" spans="1:4" x14ac:dyDescent="0.3">
      <c r="A23" s="2"/>
      <c r="B23" s="3" t="s">
        <v>302</v>
      </c>
      <c r="C23" s="4" t="s">
        <v>55</v>
      </c>
      <c r="D23" s="1">
        <f>25*1.275</f>
        <v>31.874999999999996</v>
      </c>
    </row>
    <row r="24" spans="1:4" x14ac:dyDescent="0.3">
      <c r="A24" s="2"/>
      <c r="B24" s="3" t="s">
        <v>303</v>
      </c>
      <c r="C24" s="4" t="s">
        <v>55</v>
      </c>
      <c r="D24" s="1">
        <f>8*1.275</f>
        <v>10.199999999999999</v>
      </c>
    </row>
    <row r="25" spans="1:4" x14ac:dyDescent="0.3">
      <c r="A25" s="2"/>
      <c r="B25" s="3" t="s">
        <v>304</v>
      </c>
      <c r="C25" s="4" t="s">
        <v>55</v>
      </c>
      <c r="D25" s="1">
        <f>12*1.275</f>
        <v>15.299999999999999</v>
      </c>
    </row>
    <row r="26" spans="1:4" x14ac:dyDescent="0.3">
      <c r="A26" s="2"/>
      <c r="B26" s="3" t="s">
        <v>305</v>
      </c>
      <c r="C26" s="4" t="s">
        <v>55</v>
      </c>
      <c r="D26" s="1">
        <f>45*1.275</f>
        <v>57.374999999999993</v>
      </c>
    </row>
    <row r="27" spans="1:4" x14ac:dyDescent="0.3">
      <c r="A27" s="2"/>
      <c r="B27" s="3" t="s">
        <v>306</v>
      </c>
      <c r="C27" s="4" t="s">
        <v>55</v>
      </c>
      <c r="D27" s="1">
        <f>45*1.275</f>
        <v>57.374999999999993</v>
      </c>
    </row>
    <row r="28" spans="1:4" x14ac:dyDescent="0.3">
      <c r="A28" s="2"/>
      <c r="B28" s="3" t="s">
        <v>138</v>
      </c>
      <c r="C28" s="4" t="s">
        <v>40</v>
      </c>
      <c r="D28" s="1">
        <f>3*1.275</f>
        <v>3.8249999999999997</v>
      </c>
    </row>
    <row r="29" spans="1:4" x14ac:dyDescent="0.3">
      <c r="A29" s="2"/>
      <c r="B29" s="3" t="s">
        <v>307</v>
      </c>
      <c r="C29" s="4" t="s">
        <v>40</v>
      </c>
      <c r="D29" s="1">
        <f>20*1.275</f>
        <v>25.5</v>
      </c>
    </row>
    <row r="30" spans="1:4" x14ac:dyDescent="0.3">
      <c r="A30" s="2"/>
      <c r="B30" s="3" t="s">
        <v>144</v>
      </c>
      <c r="C30" s="4" t="s">
        <v>55</v>
      </c>
      <c r="D30" s="1">
        <f>(110+40)*1.275</f>
        <v>191.25</v>
      </c>
    </row>
    <row r="31" spans="1:4" x14ac:dyDescent="0.3">
      <c r="A31" s="2"/>
      <c r="B31" s="3" t="s">
        <v>185</v>
      </c>
      <c r="C31" s="4" t="s">
        <v>40</v>
      </c>
      <c r="D31" s="1">
        <f>10*1.275</f>
        <v>12.75</v>
      </c>
    </row>
    <row r="32" spans="1:4" x14ac:dyDescent="0.3">
      <c r="A32" s="2"/>
      <c r="B32" s="3" t="s">
        <v>308</v>
      </c>
      <c r="C32" s="4" t="s">
        <v>55</v>
      </c>
      <c r="D32" s="1">
        <f>10*1.275</f>
        <v>12.75</v>
      </c>
    </row>
    <row r="33" spans="1:4" x14ac:dyDescent="0.3">
      <c r="A33" s="2"/>
      <c r="B33" s="3" t="s">
        <v>309</v>
      </c>
      <c r="C33" s="4" t="s">
        <v>55</v>
      </c>
      <c r="D33" s="1">
        <f>20*1.275</f>
        <v>25.5</v>
      </c>
    </row>
    <row r="34" spans="1:4" x14ac:dyDescent="0.3">
      <c r="A34" s="2"/>
      <c r="B34" s="3" t="s">
        <v>310</v>
      </c>
      <c r="C34" s="4" t="s">
        <v>10</v>
      </c>
      <c r="D34" s="1">
        <f>45*1.275</f>
        <v>57.374999999999993</v>
      </c>
    </row>
    <row r="35" spans="1:4" x14ac:dyDescent="0.3">
      <c r="A35" s="2"/>
      <c r="B35" s="23" t="s">
        <v>424</v>
      </c>
      <c r="C35" s="4" t="s">
        <v>10</v>
      </c>
      <c r="D35" s="1">
        <f>18*1.275</f>
        <v>22.95</v>
      </c>
    </row>
    <row r="36" spans="1:4" x14ac:dyDescent="0.3">
      <c r="A36" s="2"/>
      <c r="B36" s="3" t="s">
        <v>311</v>
      </c>
      <c r="C36" s="4" t="s">
        <v>10</v>
      </c>
      <c r="D36" s="1">
        <f>15*1.275</f>
        <v>19.125</v>
      </c>
    </row>
    <row r="37" spans="1:4" x14ac:dyDescent="0.3">
      <c r="A37" s="2"/>
      <c r="B37" s="3" t="s">
        <v>215</v>
      </c>
      <c r="C37" s="4" t="s">
        <v>10</v>
      </c>
      <c r="D37" s="1">
        <f>7*1.275</f>
        <v>8.9249999999999989</v>
      </c>
    </row>
    <row r="38" spans="1:4" x14ac:dyDescent="0.3">
      <c r="A38" s="2"/>
      <c r="B38" s="3" t="s">
        <v>316</v>
      </c>
      <c r="C38" s="4" t="s">
        <v>10</v>
      </c>
      <c r="D38" s="1">
        <f>15*1.275</f>
        <v>19.125</v>
      </c>
    </row>
    <row r="39" spans="1:4" x14ac:dyDescent="0.3">
      <c r="A39" s="2"/>
      <c r="B39" s="3" t="s">
        <v>346</v>
      </c>
      <c r="C39" s="4" t="s">
        <v>190</v>
      </c>
      <c r="D39" s="1">
        <f>50*1.275</f>
        <v>63.749999999999993</v>
      </c>
    </row>
    <row r="40" spans="1:4" x14ac:dyDescent="0.3">
      <c r="A40" s="2"/>
      <c r="B40" s="3" t="s">
        <v>357</v>
      </c>
      <c r="C40" s="4" t="s">
        <v>192</v>
      </c>
      <c r="D40" s="1">
        <f>40*1.275</f>
        <v>51</v>
      </c>
    </row>
    <row r="41" spans="1:4" x14ac:dyDescent="0.3">
      <c r="A41" s="2"/>
      <c r="B41" s="3" t="s">
        <v>360</v>
      </c>
      <c r="C41" s="4" t="s">
        <v>10</v>
      </c>
      <c r="D41" s="1">
        <f>8*1.275</f>
        <v>10.199999999999999</v>
      </c>
    </row>
    <row r="42" spans="1:4" x14ac:dyDescent="0.3">
      <c r="A42" s="2"/>
      <c r="B42" s="3" t="s">
        <v>361</v>
      </c>
      <c r="C42" s="4" t="s">
        <v>190</v>
      </c>
      <c r="D42" s="1">
        <f>20*1.275</f>
        <v>25.5</v>
      </c>
    </row>
  </sheetData>
  <autoFilter ref="A1:D42" xr:uid="{B4D7DAFB-4559-4004-B994-70EB8A3282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ფართები</vt:lpstr>
      <vt:lpstr>ბიუჯეტი</vt:lpstr>
      <vt:lpstr>სამუშაო</vt:lpstr>
      <vt:lpstr>მასალა</vt:lpstr>
      <vt:lpstr>მომსახურება</vt:lpstr>
      <vt:lpstr>ხელფასი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2025-08-15T10:11:18Z</dcterms:modified>
</cp:coreProperties>
</file>
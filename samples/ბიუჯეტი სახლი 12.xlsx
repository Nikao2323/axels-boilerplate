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/>
  <xr:revisionPtr revIDLastSave="0" documentId="13_ncr:1_{4FCB14A0-27D6-4CA8-A7B9-7ED4D954EB40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ფართები" sheetId="3" r:id="rId1"/>
    <sheet name="ბიუჯეტი" sheetId="12" r:id="rId2"/>
    <sheet name="სამუშაო" sheetId="13" r:id="rId3"/>
    <sheet name="მასალა" sheetId="14" r:id="rId4"/>
    <sheet name="მომსახურება" sheetId="15" r:id="rId5"/>
    <sheet name="ხელფასი" sheetId="16" r:id="rId6"/>
  </sheets>
  <externalReferences>
    <externalReference r:id="rId7"/>
    <externalReference r:id="rId8"/>
  </externalReferences>
  <definedNames>
    <definedName name="_xlnm._FilterDatabase" localSheetId="1" hidden="1">ბიუჯეტი!$A$61:$K$502</definedName>
    <definedName name="_xlnm._FilterDatabase" localSheetId="3" hidden="1">მასალა!$A$1:$D$114</definedName>
    <definedName name="_xlnm._FilterDatabase" localSheetId="5" hidden="1">ხელფასი!$A$2:$D$43</definedName>
    <definedName name="_xlnm.Print_Area" localSheetId="0">ფართები!#REF!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5" i="13" l="1"/>
  <c r="L45" i="13" l="1"/>
  <c r="L501" i="12"/>
  <c r="L499" i="12"/>
  <c r="L497" i="12"/>
  <c r="L495" i="12"/>
  <c r="L496" i="12"/>
  <c r="X487" i="12"/>
  <c r="V473" i="12"/>
  <c r="V474" i="12"/>
  <c r="V489" i="12"/>
  <c r="V490" i="12"/>
  <c r="S502" i="12"/>
  <c r="R502" i="12"/>
  <c r="Q502" i="12"/>
  <c r="P502" i="12"/>
  <c r="O502" i="12"/>
  <c r="N502" i="12"/>
  <c r="S501" i="12"/>
  <c r="R501" i="12"/>
  <c r="Q501" i="12"/>
  <c r="P501" i="12"/>
  <c r="O501" i="12"/>
  <c r="N501" i="12"/>
  <c r="R500" i="12"/>
  <c r="P500" i="12"/>
  <c r="N500" i="12"/>
  <c r="S499" i="12"/>
  <c r="R499" i="12"/>
  <c r="Q499" i="12"/>
  <c r="P499" i="12"/>
  <c r="O499" i="12"/>
  <c r="N499" i="12"/>
  <c r="R498" i="12"/>
  <c r="P498" i="12"/>
  <c r="N498" i="12"/>
  <c r="S497" i="12"/>
  <c r="R497" i="12"/>
  <c r="Q497" i="12"/>
  <c r="P497" i="12"/>
  <c r="O497" i="12"/>
  <c r="N497" i="12"/>
  <c r="R496" i="12"/>
  <c r="P496" i="12"/>
  <c r="N496" i="12"/>
  <c r="S495" i="12"/>
  <c r="R495" i="12"/>
  <c r="Q495" i="12"/>
  <c r="P495" i="12"/>
  <c r="O495" i="12"/>
  <c r="N495" i="12"/>
  <c r="R494" i="12"/>
  <c r="P494" i="12"/>
  <c r="N494" i="12"/>
  <c r="T493" i="12"/>
  <c r="S493" i="12"/>
  <c r="R493" i="12"/>
  <c r="X493" i="12" s="1"/>
  <c r="Q493" i="12"/>
  <c r="P493" i="12"/>
  <c r="W493" i="12" s="1"/>
  <c r="O493" i="12"/>
  <c r="N493" i="12"/>
  <c r="V493" i="12" s="1"/>
  <c r="T492" i="12"/>
  <c r="S492" i="12"/>
  <c r="R492" i="12"/>
  <c r="X492" i="12" s="1"/>
  <c r="Q492" i="12"/>
  <c r="P492" i="12"/>
  <c r="W492" i="12" s="1"/>
  <c r="O492" i="12"/>
  <c r="N492" i="12"/>
  <c r="V492" i="12" s="1"/>
  <c r="T491" i="12"/>
  <c r="S491" i="12"/>
  <c r="R491" i="12"/>
  <c r="X491" i="12" s="1"/>
  <c r="Q491" i="12"/>
  <c r="P491" i="12"/>
  <c r="W491" i="12" s="1"/>
  <c r="O491" i="12"/>
  <c r="N491" i="12"/>
  <c r="V491" i="12" s="1"/>
  <c r="T490" i="12"/>
  <c r="S490" i="12"/>
  <c r="R490" i="12"/>
  <c r="X490" i="12" s="1"/>
  <c r="Q490" i="12"/>
  <c r="P490" i="12"/>
  <c r="W490" i="12" s="1"/>
  <c r="O490" i="12"/>
  <c r="N490" i="12"/>
  <c r="T489" i="12"/>
  <c r="S489" i="12"/>
  <c r="R489" i="12"/>
  <c r="X489" i="12" s="1"/>
  <c r="Q489" i="12"/>
  <c r="P489" i="12"/>
  <c r="W489" i="12" s="1"/>
  <c r="O489" i="12"/>
  <c r="N489" i="12"/>
  <c r="T488" i="12"/>
  <c r="S488" i="12"/>
  <c r="R488" i="12"/>
  <c r="X488" i="12" s="1"/>
  <c r="Q488" i="12"/>
  <c r="P488" i="12"/>
  <c r="W488" i="12" s="1"/>
  <c r="O488" i="12"/>
  <c r="N488" i="12"/>
  <c r="V488" i="12" s="1"/>
  <c r="T487" i="12"/>
  <c r="S487" i="12"/>
  <c r="R487" i="12"/>
  <c r="Q487" i="12"/>
  <c r="P487" i="12"/>
  <c r="W487" i="12" s="1"/>
  <c r="O487" i="12"/>
  <c r="N487" i="12"/>
  <c r="V487" i="12" s="1"/>
  <c r="T486" i="12"/>
  <c r="S486" i="12"/>
  <c r="R486" i="12"/>
  <c r="X486" i="12" s="1"/>
  <c r="Q486" i="12"/>
  <c r="P486" i="12"/>
  <c r="W486" i="12" s="1"/>
  <c r="O486" i="12"/>
  <c r="N486" i="12"/>
  <c r="V486" i="12" s="1"/>
  <c r="T485" i="12"/>
  <c r="S485" i="12"/>
  <c r="R485" i="12"/>
  <c r="X485" i="12" s="1"/>
  <c r="Q485" i="12"/>
  <c r="P485" i="12"/>
  <c r="W485" i="12" s="1"/>
  <c r="O485" i="12"/>
  <c r="N485" i="12"/>
  <c r="V485" i="12" s="1"/>
  <c r="T484" i="12"/>
  <c r="S484" i="12"/>
  <c r="R484" i="12"/>
  <c r="X484" i="12" s="1"/>
  <c r="Q484" i="12"/>
  <c r="P484" i="12"/>
  <c r="W484" i="12" s="1"/>
  <c r="O484" i="12"/>
  <c r="N484" i="12"/>
  <c r="V484" i="12" s="1"/>
  <c r="T483" i="12"/>
  <c r="S483" i="12"/>
  <c r="R483" i="12"/>
  <c r="X483" i="12" s="1"/>
  <c r="Q483" i="12"/>
  <c r="P483" i="12"/>
  <c r="W483" i="12" s="1"/>
  <c r="O483" i="12"/>
  <c r="N483" i="12"/>
  <c r="V483" i="12" s="1"/>
  <c r="T482" i="12"/>
  <c r="S482" i="12"/>
  <c r="R482" i="12"/>
  <c r="X482" i="12" s="1"/>
  <c r="Q482" i="12"/>
  <c r="P482" i="12"/>
  <c r="W482" i="12" s="1"/>
  <c r="O482" i="12"/>
  <c r="N482" i="12"/>
  <c r="V482" i="12" s="1"/>
  <c r="T481" i="12"/>
  <c r="S481" i="12"/>
  <c r="R481" i="12"/>
  <c r="X481" i="12" s="1"/>
  <c r="Q481" i="12"/>
  <c r="P481" i="12"/>
  <c r="W481" i="12" s="1"/>
  <c r="O481" i="12"/>
  <c r="N481" i="12"/>
  <c r="V481" i="12" s="1"/>
  <c r="T480" i="12"/>
  <c r="S480" i="12"/>
  <c r="R480" i="12"/>
  <c r="X480" i="12" s="1"/>
  <c r="Q480" i="12"/>
  <c r="P480" i="12"/>
  <c r="W480" i="12" s="1"/>
  <c r="O480" i="12"/>
  <c r="N480" i="12"/>
  <c r="V480" i="12" s="1"/>
  <c r="T479" i="12"/>
  <c r="S479" i="12"/>
  <c r="R479" i="12"/>
  <c r="X479" i="12" s="1"/>
  <c r="Q479" i="12"/>
  <c r="P479" i="12"/>
  <c r="W479" i="12" s="1"/>
  <c r="O479" i="12"/>
  <c r="N479" i="12"/>
  <c r="V479" i="12" s="1"/>
  <c r="T478" i="12"/>
  <c r="S478" i="12"/>
  <c r="R478" i="12"/>
  <c r="X478" i="12" s="1"/>
  <c r="Q478" i="12"/>
  <c r="P478" i="12"/>
  <c r="W478" i="12" s="1"/>
  <c r="O478" i="12"/>
  <c r="N478" i="12"/>
  <c r="V478" i="12" s="1"/>
  <c r="T477" i="12"/>
  <c r="S477" i="12"/>
  <c r="R477" i="12"/>
  <c r="X477" i="12" s="1"/>
  <c r="Q477" i="12"/>
  <c r="P477" i="12"/>
  <c r="W477" i="12" s="1"/>
  <c r="O477" i="12"/>
  <c r="N477" i="12"/>
  <c r="V477" i="12" s="1"/>
  <c r="T476" i="12"/>
  <c r="S476" i="12"/>
  <c r="R476" i="12"/>
  <c r="X476" i="12" s="1"/>
  <c r="Q476" i="12"/>
  <c r="P476" i="12"/>
  <c r="W476" i="12" s="1"/>
  <c r="O476" i="12"/>
  <c r="N476" i="12"/>
  <c r="V476" i="12" s="1"/>
  <c r="T475" i="12"/>
  <c r="S475" i="12"/>
  <c r="R475" i="12"/>
  <c r="X475" i="12" s="1"/>
  <c r="Q475" i="12"/>
  <c r="P475" i="12"/>
  <c r="W475" i="12" s="1"/>
  <c r="O475" i="12"/>
  <c r="N475" i="12"/>
  <c r="V475" i="12" s="1"/>
  <c r="T474" i="12"/>
  <c r="S474" i="12"/>
  <c r="R474" i="12"/>
  <c r="X474" i="12" s="1"/>
  <c r="Q474" i="12"/>
  <c r="P474" i="12"/>
  <c r="W474" i="12" s="1"/>
  <c r="O474" i="12"/>
  <c r="N474" i="12"/>
  <c r="T473" i="12"/>
  <c r="S473" i="12"/>
  <c r="R473" i="12"/>
  <c r="X473" i="12" s="1"/>
  <c r="Q473" i="12"/>
  <c r="P473" i="12"/>
  <c r="W473" i="12" s="1"/>
  <c r="O473" i="12"/>
  <c r="N473" i="12"/>
  <c r="T472" i="12"/>
  <c r="S472" i="12"/>
  <c r="R472" i="12"/>
  <c r="X472" i="12" s="1"/>
  <c r="Q472" i="12"/>
  <c r="P472" i="12"/>
  <c r="W472" i="12" s="1"/>
  <c r="O472" i="12"/>
  <c r="N472" i="12"/>
  <c r="V472" i="12" s="1"/>
  <c r="T471" i="12"/>
  <c r="S471" i="12"/>
  <c r="R471" i="12"/>
  <c r="X471" i="12" s="1"/>
  <c r="Q471" i="12"/>
  <c r="P471" i="12"/>
  <c r="W471" i="12" s="1"/>
  <c r="O471" i="12"/>
  <c r="N471" i="12"/>
  <c r="V471" i="12" s="1"/>
  <c r="T470" i="12"/>
  <c r="S470" i="12"/>
  <c r="R470" i="12"/>
  <c r="X470" i="12" s="1"/>
  <c r="Q470" i="12"/>
  <c r="P470" i="12"/>
  <c r="W470" i="12" s="1"/>
  <c r="O470" i="12"/>
  <c r="N470" i="12"/>
  <c r="V470" i="12" s="1"/>
  <c r="T469" i="12"/>
  <c r="S469" i="12"/>
  <c r="R469" i="12"/>
  <c r="X469" i="12" s="1"/>
  <c r="Q469" i="12"/>
  <c r="P469" i="12"/>
  <c r="W469" i="12" s="1"/>
  <c r="O469" i="12"/>
  <c r="N469" i="12"/>
  <c r="V469" i="12" s="1"/>
  <c r="T468" i="12"/>
  <c r="S468" i="12"/>
  <c r="R468" i="12"/>
  <c r="X468" i="12" s="1"/>
  <c r="Q468" i="12"/>
  <c r="P468" i="12"/>
  <c r="W468" i="12" s="1"/>
  <c r="O468" i="12"/>
  <c r="N468" i="12"/>
  <c r="V468" i="12" s="1"/>
  <c r="T467" i="12"/>
  <c r="S467" i="12"/>
  <c r="R467" i="12"/>
  <c r="X467" i="12" s="1"/>
  <c r="Q467" i="12"/>
  <c r="P467" i="12"/>
  <c r="W467" i="12" s="1"/>
  <c r="O467" i="12"/>
  <c r="N467" i="12"/>
  <c r="V467" i="12" s="1"/>
  <c r="T466" i="12"/>
  <c r="S466" i="12"/>
  <c r="R466" i="12"/>
  <c r="X466" i="12" s="1"/>
  <c r="Q466" i="12"/>
  <c r="P466" i="12"/>
  <c r="W466" i="12" s="1"/>
  <c r="O466" i="12"/>
  <c r="N466" i="12"/>
  <c r="V466" i="12" s="1"/>
  <c r="T465" i="12"/>
  <c r="S465" i="12"/>
  <c r="R465" i="12"/>
  <c r="X465" i="12" s="1"/>
  <c r="Q465" i="12"/>
  <c r="P465" i="12"/>
  <c r="W465" i="12" s="1"/>
  <c r="O465" i="12"/>
  <c r="N465" i="12"/>
  <c r="V465" i="12" s="1"/>
  <c r="T464" i="12"/>
  <c r="S464" i="12"/>
  <c r="R464" i="12"/>
  <c r="X464" i="12" s="1"/>
  <c r="Q464" i="12"/>
  <c r="P464" i="12"/>
  <c r="W464" i="12" s="1"/>
  <c r="O464" i="12"/>
  <c r="N464" i="12"/>
  <c r="V464" i="12" s="1"/>
  <c r="T463" i="12"/>
  <c r="S463" i="12"/>
  <c r="R463" i="12"/>
  <c r="X463" i="12" s="1"/>
  <c r="Q463" i="12"/>
  <c r="P463" i="12"/>
  <c r="W463" i="12" s="1"/>
  <c r="O463" i="12"/>
  <c r="N463" i="12"/>
  <c r="V463" i="12" s="1"/>
  <c r="T462" i="12"/>
  <c r="S462" i="12"/>
  <c r="R462" i="12"/>
  <c r="X462" i="12" s="1"/>
  <c r="Q462" i="12"/>
  <c r="P462" i="12"/>
  <c r="W462" i="12" s="1"/>
  <c r="O462" i="12"/>
  <c r="N462" i="12"/>
  <c r="V462" i="12" s="1"/>
  <c r="T461" i="12"/>
  <c r="S461" i="12"/>
  <c r="R461" i="12"/>
  <c r="X461" i="12" s="1"/>
  <c r="Q461" i="12"/>
  <c r="P461" i="12"/>
  <c r="W461" i="12" s="1"/>
  <c r="O461" i="12"/>
  <c r="N461" i="12"/>
  <c r="V461" i="12" s="1"/>
  <c r="T460" i="12"/>
  <c r="S460" i="12"/>
  <c r="R460" i="12"/>
  <c r="X460" i="12" s="1"/>
  <c r="Q460" i="12"/>
  <c r="P460" i="12"/>
  <c r="W460" i="12" s="1"/>
  <c r="O460" i="12"/>
  <c r="N460" i="12"/>
  <c r="V460" i="12" s="1"/>
  <c r="T459" i="12"/>
  <c r="S459" i="12"/>
  <c r="R459" i="12"/>
  <c r="X459" i="12" s="1"/>
  <c r="Q459" i="12"/>
  <c r="P459" i="12"/>
  <c r="W459" i="12" s="1"/>
  <c r="O459" i="12"/>
  <c r="N459" i="12"/>
  <c r="V459" i="12" s="1"/>
  <c r="T458" i="12"/>
  <c r="S458" i="12"/>
  <c r="R458" i="12"/>
  <c r="X458" i="12" s="1"/>
  <c r="Q458" i="12"/>
  <c r="P458" i="12"/>
  <c r="W458" i="12" s="1"/>
  <c r="O458" i="12"/>
  <c r="N458" i="12"/>
  <c r="V458" i="12" s="1"/>
  <c r="T457" i="12"/>
  <c r="S457" i="12"/>
  <c r="R457" i="12"/>
  <c r="X457" i="12" s="1"/>
  <c r="Q457" i="12"/>
  <c r="P457" i="12"/>
  <c r="W457" i="12" s="1"/>
  <c r="O457" i="12"/>
  <c r="N457" i="12"/>
  <c r="V457" i="12" s="1"/>
  <c r="T456" i="12"/>
  <c r="S456" i="12"/>
  <c r="R456" i="12"/>
  <c r="X456" i="12" s="1"/>
  <c r="Q456" i="12"/>
  <c r="P456" i="12"/>
  <c r="W456" i="12" s="1"/>
  <c r="O456" i="12"/>
  <c r="N456" i="12"/>
  <c r="V456" i="12" s="1"/>
  <c r="T455" i="12"/>
  <c r="S455" i="12"/>
  <c r="R455" i="12"/>
  <c r="X455" i="12" s="1"/>
  <c r="Q455" i="12"/>
  <c r="P455" i="12"/>
  <c r="W455" i="12" s="1"/>
  <c r="O455" i="12"/>
  <c r="N455" i="12"/>
  <c r="V455" i="12" s="1"/>
  <c r="T454" i="12"/>
  <c r="S454" i="12"/>
  <c r="R454" i="12"/>
  <c r="X454" i="12" s="1"/>
  <c r="Q454" i="12"/>
  <c r="P454" i="12"/>
  <c r="W454" i="12" s="1"/>
  <c r="O454" i="12"/>
  <c r="N454" i="12"/>
  <c r="V454" i="12" s="1"/>
  <c r="T453" i="12"/>
  <c r="S453" i="12"/>
  <c r="R453" i="12"/>
  <c r="X453" i="12" s="1"/>
  <c r="Q453" i="12"/>
  <c r="P453" i="12"/>
  <c r="W453" i="12" s="1"/>
  <c r="O453" i="12"/>
  <c r="N453" i="12"/>
  <c r="V453" i="12" s="1"/>
  <c r="T452" i="12"/>
  <c r="S452" i="12"/>
  <c r="R452" i="12"/>
  <c r="X452" i="12" s="1"/>
  <c r="Q452" i="12"/>
  <c r="P452" i="12"/>
  <c r="W452" i="12" s="1"/>
  <c r="O452" i="12"/>
  <c r="N452" i="12"/>
  <c r="V452" i="12" s="1"/>
  <c r="T451" i="12"/>
  <c r="S451" i="12"/>
  <c r="R451" i="12"/>
  <c r="X451" i="12" s="1"/>
  <c r="Q451" i="12"/>
  <c r="P451" i="12"/>
  <c r="W451" i="12" s="1"/>
  <c r="O451" i="12"/>
  <c r="N451" i="12"/>
  <c r="V451" i="12" s="1"/>
  <c r="T450" i="12"/>
  <c r="S450" i="12"/>
  <c r="R450" i="12"/>
  <c r="X450" i="12" s="1"/>
  <c r="Q450" i="12"/>
  <c r="P450" i="12"/>
  <c r="W450" i="12" s="1"/>
  <c r="O450" i="12"/>
  <c r="N450" i="12"/>
  <c r="V450" i="12" s="1"/>
  <c r="T449" i="12"/>
  <c r="S449" i="12"/>
  <c r="R449" i="12"/>
  <c r="X449" i="12" s="1"/>
  <c r="Q449" i="12"/>
  <c r="P449" i="12"/>
  <c r="W449" i="12" s="1"/>
  <c r="O449" i="12"/>
  <c r="N449" i="12"/>
  <c r="V449" i="12" s="1"/>
  <c r="T448" i="12"/>
  <c r="S448" i="12"/>
  <c r="R448" i="12"/>
  <c r="X448" i="12" s="1"/>
  <c r="Q448" i="12"/>
  <c r="P448" i="12"/>
  <c r="W448" i="12" s="1"/>
  <c r="O448" i="12"/>
  <c r="N448" i="12"/>
  <c r="V448" i="12" s="1"/>
  <c r="T447" i="12"/>
  <c r="S447" i="12"/>
  <c r="R447" i="12"/>
  <c r="X447" i="12" s="1"/>
  <c r="Q447" i="12"/>
  <c r="P447" i="12"/>
  <c r="W447" i="12" s="1"/>
  <c r="O447" i="12"/>
  <c r="N447" i="12"/>
  <c r="V447" i="12" s="1"/>
  <c r="T446" i="12"/>
  <c r="S446" i="12"/>
  <c r="R446" i="12"/>
  <c r="X446" i="12" s="1"/>
  <c r="Q446" i="12"/>
  <c r="P446" i="12"/>
  <c r="W446" i="12" s="1"/>
  <c r="O446" i="12"/>
  <c r="N446" i="12"/>
  <c r="V446" i="12" s="1"/>
  <c r="T445" i="12"/>
  <c r="S445" i="12"/>
  <c r="R445" i="12"/>
  <c r="X445" i="12" s="1"/>
  <c r="Q445" i="12"/>
  <c r="P445" i="12"/>
  <c r="W445" i="12" s="1"/>
  <c r="O445" i="12"/>
  <c r="N445" i="12"/>
  <c r="V445" i="12" s="1"/>
  <c r="T444" i="12"/>
  <c r="S444" i="12"/>
  <c r="R444" i="12"/>
  <c r="X444" i="12" s="1"/>
  <c r="Q444" i="12"/>
  <c r="P444" i="12"/>
  <c r="W444" i="12" s="1"/>
  <c r="O444" i="12"/>
  <c r="N444" i="12"/>
  <c r="V444" i="12" s="1"/>
  <c r="T443" i="12"/>
  <c r="S443" i="12"/>
  <c r="R443" i="12"/>
  <c r="X443" i="12" s="1"/>
  <c r="Q443" i="12"/>
  <c r="P443" i="12"/>
  <c r="W443" i="12" s="1"/>
  <c r="O443" i="12"/>
  <c r="N443" i="12"/>
  <c r="V443" i="12" s="1"/>
  <c r="T442" i="12"/>
  <c r="S442" i="12"/>
  <c r="R442" i="12"/>
  <c r="X442" i="12" s="1"/>
  <c r="Q442" i="12"/>
  <c r="P442" i="12"/>
  <c r="W442" i="12" s="1"/>
  <c r="O442" i="12"/>
  <c r="N442" i="12"/>
  <c r="V442" i="12" s="1"/>
  <c r="T441" i="12"/>
  <c r="S441" i="12"/>
  <c r="R441" i="12"/>
  <c r="X441" i="12" s="1"/>
  <c r="Q441" i="12"/>
  <c r="P441" i="12"/>
  <c r="W441" i="12" s="1"/>
  <c r="O441" i="12"/>
  <c r="N441" i="12"/>
  <c r="V441" i="12" s="1"/>
  <c r="T440" i="12"/>
  <c r="S440" i="12"/>
  <c r="R440" i="12"/>
  <c r="X440" i="12" s="1"/>
  <c r="Q440" i="12"/>
  <c r="P440" i="12"/>
  <c r="W440" i="12" s="1"/>
  <c r="O440" i="12"/>
  <c r="N440" i="12"/>
  <c r="V440" i="12" s="1"/>
  <c r="T439" i="12"/>
  <c r="S439" i="12"/>
  <c r="R439" i="12"/>
  <c r="X439" i="12" s="1"/>
  <c r="Q439" i="12"/>
  <c r="P439" i="12"/>
  <c r="W439" i="12" s="1"/>
  <c r="O439" i="12"/>
  <c r="N439" i="12"/>
  <c r="V439" i="12" s="1"/>
  <c r="T438" i="12"/>
  <c r="S438" i="12"/>
  <c r="R438" i="12"/>
  <c r="X438" i="12" s="1"/>
  <c r="Q438" i="12"/>
  <c r="P438" i="12"/>
  <c r="W438" i="12" s="1"/>
  <c r="O438" i="12"/>
  <c r="N438" i="12"/>
  <c r="V438" i="12" s="1"/>
  <c r="T437" i="12"/>
  <c r="S437" i="12"/>
  <c r="R437" i="12"/>
  <c r="X437" i="12" s="1"/>
  <c r="Q437" i="12"/>
  <c r="P437" i="12"/>
  <c r="W437" i="12" s="1"/>
  <c r="O437" i="12"/>
  <c r="N437" i="12"/>
  <c r="V437" i="12" s="1"/>
  <c r="T436" i="12"/>
  <c r="S436" i="12"/>
  <c r="R436" i="12"/>
  <c r="X436" i="12" s="1"/>
  <c r="Q436" i="12"/>
  <c r="P436" i="12"/>
  <c r="W436" i="12" s="1"/>
  <c r="O436" i="12"/>
  <c r="N436" i="12"/>
  <c r="V436" i="12" s="1"/>
  <c r="T435" i="12"/>
  <c r="S435" i="12"/>
  <c r="R435" i="12"/>
  <c r="X435" i="12" s="1"/>
  <c r="Q435" i="12"/>
  <c r="P435" i="12"/>
  <c r="W435" i="12" s="1"/>
  <c r="O435" i="12"/>
  <c r="N435" i="12"/>
  <c r="V435" i="12" s="1"/>
  <c r="T434" i="12"/>
  <c r="S434" i="12"/>
  <c r="R434" i="12"/>
  <c r="X434" i="12" s="1"/>
  <c r="Q434" i="12"/>
  <c r="P434" i="12"/>
  <c r="W434" i="12" s="1"/>
  <c r="O434" i="12"/>
  <c r="N434" i="12"/>
  <c r="V434" i="12" s="1"/>
  <c r="T433" i="12"/>
  <c r="S433" i="12"/>
  <c r="R433" i="12"/>
  <c r="X433" i="12" s="1"/>
  <c r="Q433" i="12"/>
  <c r="P433" i="12"/>
  <c r="W433" i="12" s="1"/>
  <c r="O433" i="12"/>
  <c r="N433" i="12"/>
  <c r="V433" i="12" s="1"/>
  <c r="T432" i="12"/>
  <c r="S432" i="12"/>
  <c r="R432" i="12"/>
  <c r="X432" i="12" s="1"/>
  <c r="Q432" i="12"/>
  <c r="P432" i="12"/>
  <c r="W432" i="12" s="1"/>
  <c r="O432" i="12"/>
  <c r="N432" i="12"/>
  <c r="V432" i="12" s="1"/>
  <c r="T431" i="12"/>
  <c r="S431" i="12"/>
  <c r="R431" i="12"/>
  <c r="X431" i="12" s="1"/>
  <c r="Q431" i="12"/>
  <c r="P431" i="12"/>
  <c r="W431" i="12" s="1"/>
  <c r="O431" i="12"/>
  <c r="N431" i="12"/>
  <c r="V431" i="12" s="1"/>
  <c r="T430" i="12"/>
  <c r="S430" i="12"/>
  <c r="R430" i="12"/>
  <c r="X430" i="12" s="1"/>
  <c r="Q430" i="12"/>
  <c r="P430" i="12"/>
  <c r="W430" i="12" s="1"/>
  <c r="O430" i="12"/>
  <c r="N430" i="12"/>
  <c r="V430" i="12" s="1"/>
  <c r="T429" i="12"/>
  <c r="S429" i="12"/>
  <c r="R429" i="12"/>
  <c r="X429" i="12" s="1"/>
  <c r="Q429" i="12"/>
  <c r="P429" i="12"/>
  <c r="W429" i="12" s="1"/>
  <c r="O429" i="12"/>
  <c r="N429" i="12"/>
  <c r="V429" i="12" s="1"/>
  <c r="T428" i="12"/>
  <c r="S428" i="12"/>
  <c r="R428" i="12"/>
  <c r="X428" i="12" s="1"/>
  <c r="Q428" i="12"/>
  <c r="P428" i="12"/>
  <c r="W428" i="12" s="1"/>
  <c r="O428" i="12"/>
  <c r="N428" i="12"/>
  <c r="V428" i="12" s="1"/>
  <c r="T427" i="12"/>
  <c r="S427" i="12"/>
  <c r="R427" i="12"/>
  <c r="X427" i="12" s="1"/>
  <c r="Q427" i="12"/>
  <c r="P427" i="12"/>
  <c r="W427" i="12" s="1"/>
  <c r="O427" i="12"/>
  <c r="N427" i="12"/>
  <c r="V427" i="12" s="1"/>
  <c r="T426" i="12"/>
  <c r="S426" i="12"/>
  <c r="R426" i="12"/>
  <c r="X426" i="12" s="1"/>
  <c r="Q426" i="12"/>
  <c r="P426" i="12"/>
  <c r="W426" i="12" s="1"/>
  <c r="O426" i="12"/>
  <c r="N426" i="12"/>
  <c r="V426" i="12" s="1"/>
  <c r="T425" i="12"/>
  <c r="S425" i="12"/>
  <c r="R425" i="12"/>
  <c r="X425" i="12" s="1"/>
  <c r="Q425" i="12"/>
  <c r="P425" i="12"/>
  <c r="W425" i="12" s="1"/>
  <c r="O425" i="12"/>
  <c r="N425" i="12"/>
  <c r="V425" i="12" s="1"/>
  <c r="T424" i="12"/>
  <c r="S424" i="12"/>
  <c r="R424" i="12"/>
  <c r="X424" i="12" s="1"/>
  <c r="Q424" i="12"/>
  <c r="P424" i="12"/>
  <c r="W424" i="12" s="1"/>
  <c r="O424" i="12"/>
  <c r="N424" i="12"/>
  <c r="V424" i="12" s="1"/>
  <c r="T423" i="12"/>
  <c r="S423" i="12"/>
  <c r="R423" i="12"/>
  <c r="X423" i="12" s="1"/>
  <c r="Q423" i="12"/>
  <c r="P423" i="12"/>
  <c r="W423" i="12" s="1"/>
  <c r="O423" i="12"/>
  <c r="N423" i="12"/>
  <c r="V423" i="12" s="1"/>
  <c r="T422" i="12"/>
  <c r="S422" i="12"/>
  <c r="R422" i="12"/>
  <c r="X422" i="12" s="1"/>
  <c r="Q422" i="12"/>
  <c r="P422" i="12"/>
  <c r="W422" i="12" s="1"/>
  <c r="O422" i="12"/>
  <c r="N422" i="12"/>
  <c r="V422" i="12" s="1"/>
  <c r="T421" i="12"/>
  <c r="S421" i="12"/>
  <c r="R421" i="12"/>
  <c r="X421" i="12" s="1"/>
  <c r="Q421" i="12"/>
  <c r="P421" i="12"/>
  <c r="W421" i="12" s="1"/>
  <c r="O421" i="12"/>
  <c r="N421" i="12"/>
  <c r="V421" i="12" s="1"/>
  <c r="T420" i="12"/>
  <c r="S420" i="12"/>
  <c r="R420" i="12"/>
  <c r="X420" i="12" s="1"/>
  <c r="Q420" i="12"/>
  <c r="P420" i="12"/>
  <c r="W420" i="12" s="1"/>
  <c r="O420" i="12"/>
  <c r="N420" i="12"/>
  <c r="V420" i="12" s="1"/>
  <c r="T419" i="12"/>
  <c r="S419" i="12"/>
  <c r="R419" i="12"/>
  <c r="X419" i="12" s="1"/>
  <c r="Q419" i="12"/>
  <c r="P419" i="12"/>
  <c r="W419" i="12" s="1"/>
  <c r="O419" i="12"/>
  <c r="N419" i="12"/>
  <c r="V419" i="12" s="1"/>
  <c r="T418" i="12"/>
  <c r="S418" i="12"/>
  <c r="R418" i="12"/>
  <c r="X418" i="12" s="1"/>
  <c r="Q418" i="12"/>
  <c r="P418" i="12"/>
  <c r="W418" i="12" s="1"/>
  <c r="O418" i="12"/>
  <c r="N418" i="12"/>
  <c r="V418" i="12" s="1"/>
  <c r="T417" i="12"/>
  <c r="S417" i="12"/>
  <c r="R417" i="12"/>
  <c r="X417" i="12" s="1"/>
  <c r="Q417" i="12"/>
  <c r="P417" i="12"/>
  <c r="W417" i="12" s="1"/>
  <c r="O417" i="12"/>
  <c r="N417" i="12"/>
  <c r="V417" i="12" s="1"/>
  <c r="T416" i="12"/>
  <c r="S416" i="12"/>
  <c r="R416" i="12"/>
  <c r="X416" i="12" s="1"/>
  <c r="Q416" i="12"/>
  <c r="P416" i="12"/>
  <c r="W416" i="12" s="1"/>
  <c r="O416" i="12"/>
  <c r="N416" i="12"/>
  <c r="V416" i="12" s="1"/>
  <c r="T415" i="12"/>
  <c r="S415" i="12"/>
  <c r="R415" i="12"/>
  <c r="X415" i="12" s="1"/>
  <c r="Q415" i="12"/>
  <c r="P415" i="12"/>
  <c r="W415" i="12" s="1"/>
  <c r="O415" i="12"/>
  <c r="N415" i="12"/>
  <c r="V415" i="12" s="1"/>
  <c r="T414" i="12"/>
  <c r="S414" i="12"/>
  <c r="R414" i="12"/>
  <c r="X414" i="12" s="1"/>
  <c r="Q414" i="12"/>
  <c r="P414" i="12"/>
  <c r="W414" i="12" s="1"/>
  <c r="O414" i="12"/>
  <c r="N414" i="12"/>
  <c r="V414" i="12" s="1"/>
  <c r="T413" i="12"/>
  <c r="S413" i="12"/>
  <c r="R413" i="12"/>
  <c r="X413" i="12" s="1"/>
  <c r="Q413" i="12"/>
  <c r="P413" i="12"/>
  <c r="W413" i="12" s="1"/>
  <c r="O413" i="12"/>
  <c r="N413" i="12"/>
  <c r="V413" i="12" s="1"/>
  <c r="T412" i="12"/>
  <c r="S412" i="12"/>
  <c r="R412" i="12"/>
  <c r="X412" i="12" s="1"/>
  <c r="Q412" i="12"/>
  <c r="P412" i="12"/>
  <c r="W412" i="12" s="1"/>
  <c r="O412" i="12"/>
  <c r="N412" i="12"/>
  <c r="V412" i="12" s="1"/>
  <c r="T411" i="12"/>
  <c r="S411" i="12"/>
  <c r="R411" i="12"/>
  <c r="X411" i="12" s="1"/>
  <c r="Q411" i="12"/>
  <c r="P411" i="12"/>
  <c r="W411" i="12" s="1"/>
  <c r="O411" i="12"/>
  <c r="N411" i="12"/>
  <c r="V411" i="12" s="1"/>
  <c r="T410" i="12"/>
  <c r="S410" i="12"/>
  <c r="R410" i="12"/>
  <c r="X410" i="12" s="1"/>
  <c r="Q410" i="12"/>
  <c r="P410" i="12"/>
  <c r="W410" i="12" s="1"/>
  <c r="O410" i="12"/>
  <c r="N410" i="12"/>
  <c r="V410" i="12" s="1"/>
  <c r="T409" i="12"/>
  <c r="S409" i="12"/>
  <c r="R409" i="12"/>
  <c r="X409" i="12" s="1"/>
  <c r="Q409" i="12"/>
  <c r="P409" i="12"/>
  <c r="W409" i="12" s="1"/>
  <c r="O409" i="12"/>
  <c r="N409" i="12"/>
  <c r="V409" i="12" s="1"/>
  <c r="T408" i="12"/>
  <c r="S408" i="12"/>
  <c r="R408" i="12"/>
  <c r="X408" i="12" s="1"/>
  <c r="Q408" i="12"/>
  <c r="P408" i="12"/>
  <c r="W408" i="12" s="1"/>
  <c r="O408" i="12"/>
  <c r="N408" i="12"/>
  <c r="V408" i="12" s="1"/>
  <c r="T407" i="12"/>
  <c r="S407" i="12"/>
  <c r="R407" i="12"/>
  <c r="X407" i="12" s="1"/>
  <c r="Q407" i="12"/>
  <c r="P407" i="12"/>
  <c r="W407" i="12" s="1"/>
  <c r="O407" i="12"/>
  <c r="N407" i="12"/>
  <c r="V407" i="12" s="1"/>
  <c r="T406" i="12"/>
  <c r="S406" i="12"/>
  <c r="R406" i="12"/>
  <c r="X406" i="12" s="1"/>
  <c r="Q406" i="12"/>
  <c r="P406" i="12"/>
  <c r="W406" i="12" s="1"/>
  <c r="O406" i="12"/>
  <c r="N406" i="12"/>
  <c r="V406" i="12" s="1"/>
  <c r="T405" i="12"/>
  <c r="S405" i="12"/>
  <c r="R405" i="12"/>
  <c r="X405" i="12" s="1"/>
  <c r="Q405" i="12"/>
  <c r="P405" i="12"/>
  <c r="W405" i="12" s="1"/>
  <c r="O405" i="12"/>
  <c r="N405" i="12"/>
  <c r="V405" i="12" s="1"/>
  <c r="T404" i="12"/>
  <c r="S404" i="12"/>
  <c r="R404" i="12"/>
  <c r="X404" i="12" s="1"/>
  <c r="Q404" i="12"/>
  <c r="P404" i="12"/>
  <c r="W404" i="12" s="1"/>
  <c r="O404" i="12"/>
  <c r="N404" i="12"/>
  <c r="V404" i="12" s="1"/>
  <c r="T403" i="12"/>
  <c r="S403" i="12"/>
  <c r="R403" i="12"/>
  <c r="X403" i="12" s="1"/>
  <c r="Q403" i="12"/>
  <c r="P403" i="12"/>
  <c r="W403" i="12" s="1"/>
  <c r="O403" i="12"/>
  <c r="N403" i="12"/>
  <c r="V403" i="12" s="1"/>
  <c r="T402" i="12"/>
  <c r="S402" i="12"/>
  <c r="R402" i="12"/>
  <c r="X402" i="12" s="1"/>
  <c r="Q402" i="12"/>
  <c r="P402" i="12"/>
  <c r="W402" i="12" s="1"/>
  <c r="O402" i="12"/>
  <c r="N402" i="12"/>
  <c r="V402" i="12" s="1"/>
  <c r="T401" i="12"/>
  <c r="S401" i="12"/>
  <c r="R401" i="12"/>
  <c r="X401" i="12" s="1"/>
  <c r="Q401" i="12"/>
  <c r="P401" i="12"/>
  <c r="W401" i="12" s="1"/>
  <c r="O401" i="12"/>
  <c r="N401" i="12"/>
  <c r="V401" i="12" s="1"/>
  <c r="T400" i="12"/>
  <c r="S400" i="12"/>
  <c r="R400" i="12"/>
  <c r="X400" i="12" s="1"/>
  <c r="Q400" i="12"/>
  <c r="P400" i="12"/>
  <c r="W400" i="12" s="1"/>
  <c r="O400" i="12"/>
  <c r="N400" i="12"/>
  <c r="V400" i="12" s="1"/>
  <c r="T399" i="12"/>
  <c r="S399" i="12"/>
  <c r="R399" i="12"/>
  <c r="X399" i="12" s="1"/>
  <c r="Q399" i="12"/>
  <c r="P399" i="12"/>
  <c r="W399" i="12" s="1"/>
  <c r="O399" i="12"/>
  <c r="N399" i="12"/>
  <c r="V399" i="12" s="1"/>
  <c r="T398" i="12"/>
  <c r="S398" i="12"/>
  <c r="R398" i="12"/>
  <c r="X398" i="12" s="1"/>
  <c r="Q398" i="12"/>
  <c r="P398" i="12"/>
  <c r="W398" i="12" s="1"/>
  <c r="O398" i="12"/>
  <c r="N398" i="12"/>
  <c r="V398" i="12" s="1"/>
  <c r="T397" i="12"/>
  <c r="S397" i="12"/>
  <c r="R397" i="12"/>
  <c r="X397" i="12" s="1"/>
  <c r="Q397" i="12"/>
  <c r="P397" i="12"/>
  <c r="W397" i="12" s="1"/>
  <c r="O397" i="12"/>
  <c r="N397" i="12"/>
  <c r="V397" i="12" s="1"/>
  <c r="T396" i="12"/>
  <c r="S396" i="12"/>
  <c r="R396" i="12"/>
  <c r="X396" i="12" s="1"/>
  <c r="Q396" i="12"/>
  <c r="P396" i="12"/>
  <c r="W396" i="12" s="1"/>
  <c r="O396" i="12"/>
  <c r="N396" i="12"/>
  <c r="V396" i="12" s="1"/>
  <c r="T395" i="12"/>
  <c r="S395" i="12"/>
  <c r="R395" i="12"/>
  <c r="X395" i="12" s="1"/>
  <c r="Q395" i="12"/>
  <c r="P395" i="12"/>
  <c r="W395" i="12" s="1"/>
  <c r="O395" i="12"/>
  <c r="N395" i="12"/>
  <c r="V395" i="12" s="1"/>
  <c r="T394" i="12"/>
  <c r="S394" i="12"/>
  <c r="R394" i="12"/>
  <c r="X394" i="12" s="1"/>
  <c r="Q394" i="12"/>
  <c r="P394" i="12"/>
  <c r="W394" i="12" s="1"/>
  <c r="O394" i="12"/>
  <c r="N394" i="12"/>
  <c r="V394" i="12" s="1"/>
  <c r="T393" i="12"/>
  <c r="S393" i="12"/>
  <c r="R393" i="12"/>
  <c r="X393" i="12" s="1"/>
  <c r="Q393" i="12"/>
  <c r="P393" i="12"/>
  <c r="W393" i="12" s="1"/>
  <c r="O393" i="12"/>
  <c r="N393" i="12"/>
  <c r="V393" i="12" s="1"/>
  <c r="T392" i="12"/>
  <c r="S392" i="12"/>
  <c r="R392" i="12"/>
  <c r="X392" i="12" s="1"/>
  <c r="Q392" i="12"/>
  <c r="P392" i="12"/>
  <c r="W392" i="12" s="1"/>
  <c r="O392" i="12"/>
  <c r="N392" i="12"/>
  <c r="V392" i="12" s="1"/>
  <c r="T391" i="12"/>
  <c r="S391" i="12"/>
  <c r="R391" i="12"/>
  <c r="X391" i="12" s="1"/>
  <c r="Q391" i="12"/>
  <c r="P391" i="12"/>
  <c r="W391" i="12" s="1"/>
  <c r="O391" i="12"/>
  <c r="N391" i="12"/>
  <c r="V391" i="12" s="1"/>
  <c r="T390" i="12"/>
  <c r="S390" i="12"/>
  <c r="R390" i="12"/>
  <c r="X390" i="12" s="1"/>
  <c r="Q390" i="12"/>
  <c r="P390" i="12"/>
  <c r="W390" i="12" s="1"/>
  <c r="O390" i="12"/>
  <c r="N390" i="12"/>
  <c r="V390" i="12" s="1"/>
  <c r="T389" i="12"/>
  <c r="S389" i="12"/>
  <c r="R389" i="12"/>
  <c r="X389" i="12" s="1"/>
  <c r="Q389" i="12"/>
  <c r="P389" i="12"/>
  <c r="W389" i="12" s="1"/>
  <c r="O389" i="12"/>
  <c r="N389" i="12"/>
  <c r="V389" i="12" s="1"/>
  <c r="T388" i="12"/>
  <c r="S388" i="12"/>
  <c r="R388" i="12"/>
  <c r="X388" i="12" s="1"/>
  <c r="Q388" i="12"/>
  <c r="P388" i="12"/>
  <c r="W388" i="12" s="1"/>
  <c r="O388" i="12"/>
  <c r="N388" i="12"/>
  <c r="V388" i="12" s="1"/>
  <c r="T387" i="12"/>
  <c r="S387" i="12"/>
  <c r="R387" i="12"/>
  <c r="X387" i="12" s="1"/>
  <c r="Q387" i="12"/>
  <c r="P387" i="12"/>
  <c r="W387" i="12" s="1"/>
  <c r="O387" i="12"/>
  <c r="N387" i="12"/>
  <c r="V387" i="12" s="1"/>
  <c r="T386" i="12"/>
  <c r="S386" i="12"/>
  <c r="R386" i="12"/>
  <c r="X386" i="12" s="1"/>
  <c r="Q386" i="12"/>
  <c r="P386" i="12"/>
  <c r="W386" i="12" s="1"/>
  <c r="O386" i="12"/>
  <c r="N386" i="12"/>
  <c r="V386" i="12" s="1"/>
  <c r="T385" i="12"/>
  <c r="S385" i="12"/>
  <c r="R385" i="12"/>
  <c r="X385" i="12" s="1"/>
  <c r="Q385" i="12"/>
  <c r="P385" i="12"/>
  <c r="W385" i="12" s="1"/>
  <c r="O385" i="12"/>
  <c r="N385" i="12"/>
  <c r="V385" i="12" s="1"/>
  <c r="T384" i="12"/>
  <c r="S384" i="12"/>
  <c r="R384" i="12"/>
  <c r="X384" i="12" s="1"/>
  <c r="Q384" i="12"/>
  <c r="P384" i="12"/>
  <c r="W384" i="12" s="1"/>
  <c r="O384" i="12"/>
  <c r="N384" i="12"/>
  <c r="V384" i="12" s="1"/>
  <c r="T383" i="12"/>
  <c r="S383" i="12"/>
  <c r="R383" i="12"/>
  <c r="X383" i="12" s="1"/>
  <c r="Q383" i="12"/>
  <c r="P383" i="12"/>
  <c r="W383" i="12" s="1"/>
  <c r="O383" i="12"/>
  <c r="N383" i="12"/>
  <c r="V383" i="12" s="1"/>
  <c r="T382" i="12"/>
  <c r="S382" i="12"/>
  <c r="R382" i="12"/>
  <c r="X382" i="12" s="1"/>
  <c r="Q382" i="12"/>
  <c r="P382" i="12"/>
  <c r="W382" i="12" s="1"/>
  <c r="O382" i="12"/>
  <c r="N382" i="12"/>
  <c r="V382" i="12" s="1"/>
  <c r="T381" i="12"/>
  <c r="S381" i="12"/>
  <c r="R381" i="12"/>
  <c r="X381" i="12" s="1"/>
  <c r="Q381" i="12"/>
  <c r="P381" i="12"/>
  <c r="W381" i="12" s="1"/>
  <c r="O381" i="12"/>
  <c r="N381" i="12"/>
  <c r="V381" i="12" s="1"/>
  <c r="T380" i="12"/>
  <c r="S380" i="12"/>
  <c r="R380" i="12"/>
  <c r="X380" i="12" s="1"/>
  <c r="Q380" i="12"/>
  <c r="P380" i="12"/>
  <c r="W380" i="12" s="1"/>
  <c r="O380" i="12"/>
  <c r="N380" i="12"/>
  <c r="V380" i="12" s="1"/>
  <c r="T379" i="12"/>
  <c r="S379" i="12"/>
  <c r="R379" i="12"/>
  <c r="X379" i="12" s="1"/>
  <c r="Q379" i="12"/>
  <c r="P379" i="12"/>
  <c r="W379" i="12" s="1"/>
  <c r="O379" i="12"/>
  <c r="N379" i="12"/>
  <c r="V379" i="12" s="1"/>
  <c r="T378" i="12"/>
  <c r="S378" i="12"/>
  <c r="R378" i="12"/>
  <c r="X378" i="12" s="1"/>
  <c r="Q378" i="12"/>
  <c r="P378" i="12"/>
  <c r="W378" i="12" s="1"/>
  <c r="O378" i="12"/>
  <c r="N378" i="12"/>
  <c r="V378" i="12" s="1"/>
  <c r="T377" i="12"/>
  <c r="S377" i="12"/>
  <c r="R377" i="12"/>
  <c r="X377" i="12" s="1"/>
  <c r="Q377" i="12"/>
  <c r="P377" i="12"/>
  <c r="W377" i="12" s="1"/>
  <c r="O377" i="12"/>
  <c r="N377" i="12"/>
  <c r="V377" i="12" s="1"/>
  <c r="T376" i="12"/>
  <c r="S376" i="12"/>
  <c r="R376" i="12"/>
  <c r="X376" i="12" s="1"/>
  <c r="Q376" i="12"/>
  <c r="P376" i="12"/>
  <c r="W376" i="12" s="1"/>
  <c r="O376" i="12"/>
  <c r="N376" i="12"/>
  <c r="V376" i="12" s="1"/>
  <c r="T375" i="12"/>
  <c r="S375" i="12"/>
  <c r="R375" i="12"/>
  <c r="X375" i="12" s="1"/>
  <c r="Q375" i="12"/>
  <c r="P375" i="12"/>
  <c r="W375" i="12" s="1"/>
  <c r="O375" i="12"/>
  <c r="N375" i="12"/>
  <c r="V375" i="12" s="1"/>
  <c r="T374" i="12"/>
  <c r="S374" i="12"/>
  <c r="R374" i="12"/>
  <c r="X374" i="12" s="1"/>
  <c r="Q374" i="12"/>
  <c r="P374" i="12"/>
  <c r="W374" i="12" s="1"/>
  <c r="O374" i="12"/>
  <c r="N374" i="12"/>
  <c r="V374" i="12" s="1"/>
  <c r="T373" i="12"/>
  <c r="S373" i="12"/>
  <c r="R373" i="12"/>
  <c r="X373" i="12" s="1"/>
  <c r="Q373" i="12"/>
  <c r="P373" i="12"/>
  <c r="W373" i="12" s="1"/>
  <c r="O373" i="12"/>
  <c r="N373" i="12"/>
  <c r="V373" i="12" s="1"/>
  <c r="T372" i="12"/>
  <c r="S372" i="12"/>
  <c r="R372" i="12"/>
  <c r="X372" i="12" s="1"/>
  <c r="Q372" i="12"/>
  <c r="P372" i="12"/>
  <c r="W372" i="12" s="1"/>
  <c r="O372" i="12"/>
  <c r="N372" i="12"/>
  <c r="V372" i="12" s="1"/>
  <c r="T371" i="12"/>
  <c r="S371" i="12"/>
  <c r="R371" i="12"/>
  <c r="X371" i="12" s="1"/>
  <c r="Q371" i="12"/>
  <c r="P371" i="12"/>
  <c r="W371" i="12" s="1"/>
  <c r="O371" i="12"/>
  <c r="N371" i="12"/>
  <c r="V371" i="12" s="1"/>
  <c r="T370" i="12"/>
  <c r="S370" i="12"/>
  <c r="R370" i="12"/>
  <c r="X370" i="12" s="1"/>
  <c r="Q370" i="12"/>
  <c r="P370" i="12"/>
  <c r="W370" i="12" s="1"/>
  <c r="O370" i="12"/>
  <c r="N370" i="12"/>
  <c r="V370" i="12" s="1"/>
  <c r="T369" i="12"/>
  <c r="S369" i="12"/>
  <c r="R369" i="12"/>
  <c r="X369" i="12" s="1"/>
  <c r="Q369" i="12"/>
  <c r="P369" i="12"/>
  <c r="W369" i="12" s="1"/>
  <c r="O369" i="12"/>
  <c r="N369" i="12"/>
  <c r="V369" i="12" s="1"/>
  <c r="T368" i="12"/>
  <c r="S368" i="12"/>
  <c r="R368" i="12"/>
  <c r="X368" i="12" s="1"/>
  <c r="Q368" i="12"/>
  <c r="P368" i="12"/>
  <c r="W368" i="12" s="1"/>
  <c r="O368" i="12"/>
  <c r="N368" i="12"/>
  <c r="V368" i="12" s="1"/>
  <c r="T367" i="12"/>
  <c r="S367" i="12"/>
  <c r="R367" i="12"/>
  <c r="X367" i="12" s="1"/>
  <c r="Q367" i="12"/>
  <c r="P367" i="12"/>
  <c r="W367" i="12" s="1"/>
  <c r="O367" i="12"/>
  <c r="N367" i="12"/>
  <c r="V367" i="12" s="1"/>
  <c r="T366" i="12"/>
  <c r="S366" i="12"/>
  <c r="R366" i="12"/>
  <c r="X366" i="12" s="1"/>
  <c r="Q366" i="12"/>
  <c r="P366" i="12"/>
  <c r="W366" i="12" s="1"/>
  <c r="O366" i="12"/>
  <c r="N366" i="12"/>
  <c r="V366" i="12" s="1"/>
  <c r="T365" i="12"/>
  <c r="S365" i="12"/>
  <c r="R365" i="12"/>
  <c r="X365" i="12" s="1"/>
  <c r="Q365" i="12"/>
  <c r="P365" i="12"/>
  <c r="W365" i="12" s="1"/>
  <c r="O365" i="12"/>
  <c r="N365" i="12"/>
  <c r="V365" i="12" s="1"/>
  <c r="T364" i="12"/>
  <c r="S364" i="12"/>
  <c r="R364" i="12"/>
  <c r="X364" i="12" s="1"/>
  <c r="Q364" i="12"/>
  <c r="P364" i="12"/>
  <c r="W364" i="12" s="1"/>
  <c r="O364" i="12"/>
  <c r="N364" i="12"/>
  <c r="V364" i="12" s="1"/>
  <c r="T363" i="12"/>
  <c r="S363" i="12"/>
  <c r="R363" i="12"/>
  <c r="X363" i="12" s="1"/>
  <c r="Q363" i="12"/>
  <c r="P363" i="12"/>
  <c r="W363" i="12" s="1"/>
  <c r="O363" i="12"/>
  <c r="N363" i="12"/>
  <c r="V363" i="12" s="1"/>
  <c r="T362" i="12"/>
  <c r="S362" i="12"/>
  <c r="R362" i="12"/>
  <c r="X362" i="12" s="1"/>
  <c r="Q362" i="12"/>
  <c r="P362" i="12"/>
  <c r="W362" i="12" s="1"/>
  <c r="O362" i="12"/>
  <c r="N362" i="12"/>
  <c r="V362" i="12" s="1"/>
  <c r="T361" i="12"/>
  <c r="S361" i="12"/>
  <c r="R361" i="12"/>
  <c r="X361" i="12" s="1"/>
  <c r="Q361" i="12"/>
  <c r="P361" i="12"/>
  <c r="W361" i="12" s="1"/>
  <c r="O361" i="12"/>
  <c r="N361" i="12"/>
  <c r="V361" i="12" s="1"/>
  <c r="T360" i="12"/>
  <c r="S360" i="12"/>
  <c r="R360" i="12"/>
  <c r="X360" i="12" s="1"/>
  <c r="Q360" i="12"/>
  <c r="P360" i="12"/>
  <c r="W360" i="12" s="1"/>
  <c r="O360" i="12"/>
  <c r="N360" i="12"/>
  <c r="V360" i="12" s="1"/>
  <c r="T359" i="12"/>
  <c r="S359" i="12"/>
  <c r="R359" i="12"/>
  <c r="X359" i="12" s="1"/>
  <c r="Q359" i="12"/>
  <c r="P359" i="12"/>
  <c r="W359" i="12" s="1"/>
  <c r="O359" i="12"/>
  <c r="N359" i="12"/>
  <c r="V359" i="12" s="1"/>
  <c r="T358" i="12"/>
  <c r="S358" i="12"/>
  <c r="R358" i="12"/>
  <c r="X358" i="12" s="1"/>
  <c r="Q358" i="12"/>
  <c r="P358" i="12"/>
  <c r="W358" i="12" s="1"/>
  <c r="O358" i="12"/>
  <c r="N358" i="12"/>
  <c r="V358" i="12" s="1"/>
  <c r="T357" i="12"/>
  <c r="S357" i="12"/>
  <c r="R357" i="12"/>
  <c r="X357" i="12" s="1"/>
  <c r="Q357" i="12"/>
  <c r="P357" i="12"/>
  <c r="W357" i="12" s="1"/>
  <c r="O357" i="12"/>
  <c r="N357" i="12"/>
  <c r="V357" i="12" s="1"/>
  <c r="T356" i="12"/>
  <c r="S356" i="12"/>
  <c r="R356" i="12"/>
  <c r="X356" i="12" s="1"/>
  <c r="Q356" i="12"/>
  <c r="P356" i="12"/>
  <c r="W356" i="12" s="1"/>
  <c r="O356" i="12"/>
  <c r="N356" i="12"/>
  <c r="V356" i="12" s="1"/>
  <c r="T355" i="12"/>
  <c r="S355" i="12"/>
  <c r="R355" i="12"/>
  <c r="X355" i="12" s="1"/>
  <c r="Q355" i="12"/>
  <c r="P355" i="12"/>
  <c r="W355" i="12" s="1"/>
  <c r="O355" i="12"/>
  <c r="N355" i="12"/>
  <c r="V355" i="12" s="1"/>
  <c r="T354" i="12"/>
  <c r="S354" i="12"/>
  <c r="R354" i="12"/>
  <c r="X354" i="12" s="1"/>
  <c r="Q354" i="12"/>
  <c r="P354" i="12"/>
  <c r="W354" i="12" s="1"/>
  <c r="O354" i="12"/>
  <c r="N354" i="12"/>
  <c r="V354" i="12" s="1"/>
  <c r="T353" i="12"/>
  <c r="S353" i="12"/>
  <c r="R353" i="12"/>
  <c r="X353" i="12" s="1"/>
  <c r="Q353" i="12"/>
  <c r="P353" i="12"/>
  <c r="W353" i="12" s="1"/>
  <c r="O353" i="12"/>
  <c r="N353" i="12"/>
  <c r="V353" i="12" s="1"/>
  <c r="T352" i="12"/>
  <c r="S352" i="12"/>
  <c r="R352" i="12"/>
  <c r="X352" i="12" s="1"/>
  <c r="Q352" i="12"/>
  <c r="P352" i="12"/>
  <c r="W352" i="12" s="1"/>
  <c r="O352" i="12"/>
  <c r="N352" i="12"/>
  <c r="V352" i="12" s="1"/>
  <c r="T351" i="12"/>
  <c r="S351" i="12"/>
  <c r="R351" i="12"/>
  <c r="X351" i="12" s="1"/>
  <c r="Q351" i="12"/>
  <c r="P351" i="12"/>
  <c r="W351" i="12" s="1"/>
  <c r="O351" i="12"/>
  <c r="N351" i="12"/>
  <c r="V351" i="12" s="1"/>
  <c r="T350" i="12"/>
  <c r="S350" i="12"/>
  <c r="R350" i="12"/>
  <c r="X350" i="12" s="1"/>
  <c r="Q350" i="12"/>
  <c r="P350" i="12"/>
  <c r="W350" i="12" s="1"/>
  <c r="O350" i="12"/>
  <c r="N350" i="12"/>
  <c r="V350" i="12" s="1"/>
  <c r="T349" i="12"/>
  <c r="S349" i="12"/>
  <c r="R349" i="12"/>
  <c r="X349" i="12" s="1"/>
  <c r="Q349" i="12"/>
  <c r="P349" i="12"/>
  <c r="W349" i="12" s="1"/>
  <c r="O349" i="12"/>
  <c r="N349" i="12"/>
  <c r="V349" i="12" s="1"/>
  <c r="T348" i="12"/>
  <c r="S348" i="12"/>
  <c r="R348" i="12"/>
  <c r="X348" i="12" s="1"/>
  <c r="Q348" i="12"/>
  <c r="P348" i="12"/>
  <c r="W348" i="12" s="1"/>
  <c r="O348" i="12"/>
  <c r="N348" i="12"/>
  <c r="V348" i="12" s="1"/>
  <c r="T347" i="12"/>
  <c r="S347" i="12"/>
  <c r="R347" i="12"/>
  <c r="X347" i="12" s="1"/>
  <c r="Q347" i="12"/>
  <c r="P347" i="12"/>
  <c r="W347" i="12" s="1"/>
  <c r="O347" i="12"/>
  <c r="N347" i="12"/>
  <c r="V347" i="12" s="1"/>
  <c r="T346" i="12"/>
  <c r="S346" i="12"/>
  <c r="R346" i="12"/>
  <c r="X346" i="12" s="1"/>
  <c r="Q346" i="12"/>
  <c r="P346" i="12"/>
  <c r="W346" i="12" s="1"/>
  <c r="O346" i="12"/>
  <c r="N346" i="12"/>
  <c r="T345" i="12"/>
  <c r="S345" i="12"/>
  <c r="R345" i="12"/>
  <c r="X345" i="12" s="1"/>
  <c r="Q345" i="12"/>
  <c r="P345" i="12"/>
  <c r="W345" i="12" s="1"/>
  <c r="O345" i="12"/>
  <c r="N345" i="12"/>
  <c r="T344" i="12"/>
  <c r="S344" i="12"/>
  <c r="R344" i="12"/>
  <c r="X344" i="12" s="1"/>
  <c r="Q344" i="12"/>
  <c r="P344" i="12"/>
  <c r="W344" i="12" s="1"/>
  <c r="O344" i="12"/>
  <c r="N344" i="12"/>
  <c r="T343" i="12"/>
  <c r="S343" i="12"/>
  <c r="R343" i="12"/>
  <c r="X343" i="12" s="1"/>
  <c r="Q343" i="12"/>
  <c r="P343" i="12"/>
  <c r="W343" i="12" s="1"/>
  <c r="O343" i="12"/>
  <c r="N343" i="12"/>
  <c r="T342" i="12"/>
  <c r="S342" i="12"/>
  <c r="R342" i="12"/>
  <c r="X342" i="12" s="1"/>
  <c r="Q342" i="12"/>
  <c r="P342" i="12"/>
  <c r="W342" i="12" s="1"/>
  <c r="O342" i="12"/>
  <c r="N342" i="12"/>
  <c r="T341" i="12"/>
  <c r="S341" i="12"/>
  <c r="R341" i="12"/>
  <c r="X341" i="12" s="1"/>
  <c r="Q341" i="12"/>
  <c r="P341" i="12"/>
  <c r="W341" i="12" s="1"/>
  <c r="O341" i="12"/>
  <c r="N341" i="12"/>
  <c r="T340" i="12"/>
  <c r="S340" i="12"/>
  <c r="R340" i="12"/>
  <c r="X340" i="12" s="1"/>
  <c r="Q340" i="12"/>
  <c r="P340" i="12"/>
  <c r="W340" i="12" s="1"/>
  <c r="O340" i="12"/>
  <c r="N340" i="12"/>
  <c r="T339" i="12"/>
  <c r="S339" i="12"/>
  <c r="R339" i="12"/>
  <c r="X339" i="12" s="1"/>
  <c r="Q339" i="12"/>
  <c r="P339" i="12"/>
  <c r="W339" i="12" s="1"/>
  <c r="O339" i="12"/>
  <c r="N339" i="12"/>
  <c r="T338" i="12"/>
  <c r="S338" i="12"/>
  <c r="R338" i="12"/>
  <c r="X338" i="12" s="1"/>
  <c r="Q338" i="12"/>
  <c r="P338" i="12"/>
  <c r="W338" i="12" s="1"/>
  <c r="O338" i="12"/>
  <c r="N338" i="12"/>
  <c r="T337" i="12"/>
  <c r="S337" i="12"/>
  <c r="R337" i="12"/>
  <c r="X337" i="12" s="1"/>
  <c r="Q337" i="12"/>
  <c r="P337" i="12"/>
  <c r="W337" i="12" s="1"/>
  <c r="O337" i="12"/>
  <c r="N337" i="12"/>
  <c r="T336" i="12"/>
  <c r="S336" i="12"/>
  <c r="R336" i="12"/>
  <c r="X336" i="12" s="1"/>
  <c r="Q336" i="12"/>
  <c r="P336" i="12"/>
  <c r="W336" i="12" s="1"/>
  <c r="O336" i="12"/>
  <c r="N336" i="12"/>
  <c r="V336" i="12" s="1"/>
  <c r="T335" i="12"/>
  <c r="S335" i="12"/>
  <c r="R335" i="12"/>
  <c r="X335" i="12" s="1"/>
  <c r="Q335" i="12"/>
  <c r="P335" i="12"/>
  <c r="W335" i="12" s="1"/>
  <c r="O335" i="12"/>
  <c r="N335" i="12"/>
  <c r="V335" i="12" s="1"/>
  <c r="T334" i="12"/>
  <c r="S334" i="12"/>
  <c r="R334" i="12"/>
  <c r="X334" i="12" s="1"/>
  <c r="Q334" i="12"/>
  <c r="P334" i="12"/>
  <c r="W334" i="12" s="1"/>
  <c r="O334" i="12"/>
  <c r="N334" i="12"/>
  <c r="T333" i="12"/>
  <c r="S333" i="12"/>
  <c r="R333" i="12"/>
  <c r="X333" i="12" s="1"/>
  <c r="Q333" i="12"/>
  <c r="P333" i="12"/>
  <c r="W333" i="12" s="1"/>
  <c r="O333" i="12"/>
  <c r="N333" i="12"/>
  <c r="T332" i="12"/>
  <c r="S332" i="12"/>
  <c r="R332" i="12"/>
  <c r="X332" i="12" s="1"/>
  <c r="Q332" i="12"/>
  <c r="P332" i="12"/>
  <c r="W332" i="12" s="1"/>
  <c r="O332" i="12"/>
  <c r="N332" i="12"/>
  <c r="T331" i="12"/>
  <c r="S331" i="12"/>
  <c r="R331" i="12"/>
  <c r="X331" i="12" s="1"/>
  <c r="Q331" i="12"/>
  <c r="P331" i="12"/>
  <c r="W331" i="12" s="1"/>
  <c r="O331" i="12"/>
  <c r="N331" i="12"/>
  <c r="T330" i="12"/>
  <c r="S330" i="12"/>
  <c r="R330" i="12"/>
  <c r="X330" i="12" s="1"/>
  <c r="Q330" i="12"/>
  <c r="P330" i="12"/>
  <c r="W330" i="12" s="1"/>
  <c r="O330" i="12"/>
  <c r="N330" i="12"/>
  <c r="T329" i="12"/>
  <c r="S329" i="12"/>
  <c r="R329" i="12"/>
  <c r="X329" i="12" s="1"/>
  <c r="Q329" i="12"/>
  <c r="P329" i="12"/>
  <c r="W329" i="12" s="1"/>
  <c r="O329" i="12"/>
  <c r="N329" i="12"/>
  <c r="T328" i="12"/>
  <c r="S328" i="12"/>
  <c r="R328" i="12"/>
  <c r="X328" i="12" s="1"/>
  <c r="Q328" i="12"/>
  <c r="P328" i="12"/>
  <c r="W328" i="12" s="1"/>
  <c r="O328" i="12"/>
  <c r="N328" i="12"/>
  <c r="T327" i="12"/>
  <c r="S327" i="12"/>
  <c r="R327" i="12"/>
  <c r="X327" i="12" s="1"/>
  <c r="Q327" i="12"/>
  <c r="P327" i="12"/>
  <c r="W327" i="12" s="1"/>
  <c r="O327" i="12"/>
  <c r="N327" i="12"/>
  <c r="T326" i="12"/>
  <c r="S326" i="12"/>
  <c r="R326" i="12"/>
  <c r="X326" i="12" s="1"/>
  <c r="Q326" i="12"/>
  <c r="P326" i="12"/>
  <c r="W326" i="12" s="1"/>
  <c r="O326" i="12"/>
  <c r="N326" i="12"/>
  <c r="T325" i="12"/>
  <c r="S325" i="12"/>
  <c r="R325" i="12"/>
  <c r="X325" i="12" s="1"/>
  <c r="Q325" i="12"/>
  <c r="P325" i="12"/>
  <c r="W325" i="12" s="1"/>
  <c r="O325" i="12"/>
  <c r="N325" i="12"/>
  <c r="T324" i="12"/>
  <c r="S324" i="12"/>
  <c r="R324" i="12"/>
  <c r="X324" i="12" s="1"/>
  <c r="Q324" i="12"/>
  <c r="P324" i="12"/>
  <c r="W324" i="12" s="1"/>
  <c r="O324" i="12"/>
  <c r="N324" i="12"/>
  <c r="V324" i="12" s="1"/>
  <c r="T323" i="12"/>
  <c r="S323" i="12"/>
  <c r="R323" i="12"/>
  <c r="X323" i="12" s="1"/>
  <c r="Q323" i="12"/>
  <c r="P323" i="12"/>
  <c r="W323" i="12" s="1"/>
  <c r="O323" i="12"/>
  <c r="N323" i="12"/>
  <c r="V323" i="12" s="1"/>
  <c r="T322" i="12"/>
  <c r="S322" i="12"/>
  <c r="R322" i="12"/>
  <c r="X322" i="12" s="1"/>
  <c r="Q322" i="12"/>
  <c r="P322" i="12"/>
  <c r="O322" i="12"/>
  <c r="N322" i="12"/>
  <c r="T321" i="12"/>
  <c r="S321" i="12"/>
  <c r="R321" i="12"/>
  <c r="X321" i="12" s="1"/>
  <c r="Q321" i="12"/>
  <c r="P321" i="12"/>
  <c r="W321" i="12" s="1"/>
  <c r="O321" i="12"/>
  <c r="N321" i="12"/>
  <c r="V321" i="12" s="1"/>
  <c r="T320" i="12"/>
  <c r="S320" i="12"/>
  <c r="R320" i="12"/>
  <c r="X320" i="12" s="1"/>
  <c r="Q320" i="12"/>
  <c r="P320" i="12"/>
  <c r="W320" i="12" s="1"/>
  <c r="O320" i="12"/>
  <c r="N320" i="12"/>
  <c r="V320" i="12" s="1"/>
  <c r="T319" i="12"/>
  <c r="S319" i="12"/>
  <c r="R319" i="12"/>
  <c r="X319" i="12" s="1"/>
  <c r="Q319" i="12"/>
  <c r="P319" i="12"/>
  <c r="W319" i="12" s="1"/>
  <c r="O319" i="12"/>
  <c r="N319" i="12"/>
  <c r="V319" i="12" s="1"/>
  <c r="T318" i="12"/>
  <c r="S318" i="12"/>
  <c r="R318" i="12"/>
  <c r="X318" i="12" s="1"/>
  <c r="Q318" i="12"/>
  <c r="P318" i="12"/>
  <c r="W318" i="12" s="1"/>
  <c r="O318" i="12"/>
  <c r="N318" i="12"/>
  <c r="V318" i="12" s="1"/>
  <c r="T317" i="12"/>
  <c r="S317" i="12"/>
  <c r="R317" i="12"/>
  <c r="X317" i="12" s="1"/>
  <c r="Q317" i="12"/>
  <c r="P317" i="12"/>
  <c r="W317" i="12" s="1"/>
  <c r="O317" i="12"/>
  <c r="N317" i="12"/>
  <c r="V317" i="12" s="1"/>
  <c r="T316" i="12"/>
  <c r="S316" i="12"/>
  <c r="R316" i="12"/>
  <c r="X316" i="12" s="1"/>
  <c r="Q316" i="12"/>
  <c r="P316" i="12"/>
  <c r="W316" i="12" s="1"/>
  <c r="O316" i="12"/>
  <c r="N316" i="12"/>
  <c r="V316" i="12" s="1"/>
  <c r="T315" i="12"/>
  <c r="S315" i="12"/>
  <c r="R315" i="12"/>
  <c r="X315" i="12" s="1"/>
  <c r="Q315" i="12"/>
  <c r="P315" i="12"/>
  <c r="W315" i="12" s="1"/>
  <c r="O315" i="12"/>
  <c r="N315" i="12"/>
  <c r="V315" i="12" s="1"/>
  <c r="T314" i="12"/>
  <c r="S314" i="12"/>
  <c r="R314" i="12"/>
  <c r="X314" i="12" s="1"/>
  <c r="Q314" i="12"/>
  <c r="P314" i="12"/>
  <c r="W314" i="12" s="1"/>
  <c r="O314" i="12"/>
  <c r="N314" i="12"/>
  <c r="V314" i="12" s="1"/>
  <c r="T313" i="12"/>
  <c r="S313" i="12"/>
  <c r="R313" i="12"/>
  <c r="X313" i="12" s="1"/>
  <c r="Q313" i="12"/>
  <c r="P313" i="12"/>
  <c r="W313" i="12" s="1"/>
  <c r="O313" i="12"/>
  <c r="N313" i="12"/>
  <c r="V313" i="12" s="1"/>
  <c r="T312" i="12"/>
  <c r="S312" i="12"/>
  <c r="R312" i="12"/>
  <c r="X312" i="12" s="1"/>
  <c r="Q312" i="12"/>
  <c r="P312" i="12"/>
  <c r="W312" i="12" s="1"/>
  <c r="O312" i="12"/>
  <c r="N312" i="12"/>
  <c r="V312" i="12" s="1"/>
  <c r="T311" i="12"/>
  <c r="S311" i="12"/>
  <c r="R311" i="12"/>
  <c r="X311" i="12" s="1"/>
  <c r="Q311" i="12"/>
  <c r="P311" i="12"/>
  <c r="W311" i="12" s="1"/>
  <c r="O311" i="12"/>
  <c r="N311" i="12"/>
  <c r="V311" i="12" s="1"/>
  <c r="T310" i="12"/>
  <c r="S310" i="12"/>
  <c r="R310" i="12"/>
  <c r="X310" i="12" s="1"/>
  <c r="Q310" i="12"/>
  <c r="P310" i="12"/>
  <c r="W310" i="12" s="1"/>
  <c r="O310" i="12"/>
  <c r="N310" i="12"/>
  <c r="V310" i="12" s="1"/>
  <c r="T309" i="12"/>
  <c r="S309" i="12"/>
  <c r="R309" i="12"/>
  <c r="X309" i="12" s="1"/>
  <c r="Q309" i="12"/>
  <c r="P309" i="12"/>
  <c r="W309" i="12" s="1"/>
  <c r="O309" i="12"/>
  <c r="N309" i="12"/>
  <c r="V309" i="12" s="1"/>
  <c r="T308" i="12"/>
  <c r="S308" i="12"/>
  <c r="R308" i="12"/>
  <c r="X308" i="12" s="1"/>
  <c r="Q308" i="12"/>
  <c r="P308" i="12"/>
  <c r="W308" i="12" s="1"/>
  <c r="O308" i="12"/>
  <c r="N308" i="12"/>
  <c r="V308" i="12" s="1"/>
  <c r="T307" i="12"/>
  <c r="S307" i="12"/>
  <c r="R307" i="12"/>
  <c r="X307" i="12" s="1"/>
  <c r="Q307" i="12"/>
  <c r="P307" i="12"/>
  <c r="W307" i="12" s="1"/>
  <c r="O307" i="12"/>
  <c r="N307" i="12"/>
  <c r="V307" i="12" s="1"/>
  <c r="T306" i="12"/>
  <c r="S306" i="12"/>
  <c r="R306" i="12"/>
  <c r="X306" i="12" s="1"/>
  <c r="Q306" i="12"/>
  <c r="P306" i="12"/>
  <c r="W306" i="12" s="1"/>
  <c r="O306" i="12"/>
  <c r="N306" i="12"/>
  <c r="V306" i="12" s="1"/>
  <c r="T305" i="12"/>
  <c r="S305" i="12"/>
  <c r="R305" i="12"/>
  <c r="X305" i="12" s="1"/>
  <c r="Q305" i="12"/>
  <c r="P305" i="12"/>
  <c r="W305" i="12" s="1"/>
  <c r="O305" i="12"/>
  <c r="N305" i="12"/>
  <c r="V305" i="12" s="1"/>
  <c r="T304" i="12"/>
  <c r="S304" i="12"/>
  <c r="R304" i="12"/>
  <c r="X304" i="12" s="1"/>
  <c r="Q304" i="12"/>
  <c r="P304" i="12"/>
  <c r="W304" i="12" s="1"/>
  <c r="O304" i="12"/>
  <c r="N304" i="12"/>
  <c r="V304" i="12" s="1"/>
  <c r="T303" i="12"/>
  <c r="S303" i="12"/>
  <c r="R303" i="12"/>
  <c r="X303" i="12" s="1"/>
  <c r="Q303" i="12"/>
  <c r="P303" i="12"/>
  <c r="W303" i="12" s="1"/>
  <c r="O303" i="12"/>
  <c r="N303" i="12"/>
  <c r="V303" i="12" s="1"/>
  <c r="T302" i="12"/>
  <c r="S302" i="12"/>
  <c r="R302" i="12"/>
  <c r="X302" i="12" s="1"/>
  <c r="Q302" i="12"/>
  <c r="P302" i="12"/>
  <c r="W302" i="12" s="1"/>
  <c r="O302" i="12"/>
  <c r="N302" i="12"/>
  <c r="V302" i="12" s="1"/>
  <c r="T301" i="12"/>
  <c r="S301" i="12"/>
  <c r="R301" i="12"/>
  <c r="X301" i="12" s="1"/>
  <c r="Q301" i="12"/>
  <c r="P301" i="12"/>
  <c r="W301" i="12" s="1"/>
  <c r="O301" i="12"/>
  <c r="N301" i="12"/>
  <c r="V301" i="12" s="1"/>
  <c r="T300" i="12"/>
  <c r="S300" i="12"/>
  <c r="R300" i="12"/>
  <c r="X300" i="12" s="1"/>
  <c r="Q300" i="12"/>
  <c r="P300" i="12"/>
  <c r="W300" i="12" s="1"/>
  <c r="O300" i="12"/>
  <c r="N300" i="12"/>
  <c r="V300" i="12" s="1"/>
  <c r="T299" i="12"/>
  <c r="S299" i="12"/>
  <c r="R299" i="12"/>
  <c r="X299" i="12" s="1"/>
  <c r="Q299" i="12"/>
  <c r="P299" i="12"/>
  <c r="W299" i="12" s="1"/>
  <c r="O299" i="12"/>
  <c r="N299" i="12"/>
  <c r="V299" i="12" s="1"/>
  <c r="T298" i="12"/>
  <c r="S298" i="12"/>
  <c r="R298" i="12"/>
  <c r="X298" i="12" s="1"/>
  <c r="Q298" i="12"/>
  <c r="P298" i="12"/>
  <c r="W298" i="12" s="1"/>
  <c r="O298" i="12"/>
  <c r="N298" i="12"/>
  <c r="V298" i="12" s="1"/>
  <c r="T297" i="12"/>
  <c r="S297" i="12"/>
  <c r="R297" i="12"/>
  <c r="X297" i="12" s="1"/>
  <c r="Q297" i="12"/>
  <c r="P297" i="12"/>
  <c r="W297" i="12" s="1"/>
  <c r="O297" i="12"/>
  <c r="N297" i="12"/>
  <c r="V297" i="12" s="1"/>
  <c r="T296" i="12"/>
  <c r="S296" i="12"/>
  <c r="R296" i="12"/>
  <c r="X296" i="12" s="1"/>
  <c r="Q296" i="12"/>
  <c r="P296" i="12"/>
  <c r="W296" i="12" s="1"/>
  <c r="O296" i="12"/>
  <c r="N296" i="12"/>
  <c r="V296" i="12" s="1"/>
  <c r="T295" i="12"/>
  <c r="S295" i="12"/>
  <c r="R295" i="12"/>
  <c r="X295" i="12" s="1"/>
  <c r="Q295" i="12"/>
  <c r="P295" i="12"/>
  <c r="W295" i="12" s="1"/>
  <c r="O295" i="12"/>
  <c r="N295" i="12"/>
  <c r="V295" i="12" s="1"/>
  <c r="T294" i="12"/>
  <c r="S294" i="12"/>
  <c r="R294" i="12"/>
  <c r="X294" i="12" s="1"/>
  <c r="Q294" i="12"/>
  <c r="P294" i="12"/>
  <c r="W294" i="12" s="1"/>
  <c r="O294" i="12"/>
  <c r="N294" i="12"/>
  <c r="V294" i="12" s="1"/>
  <c r="T293" i="12"/>
  <c r="S293" i="12"/>
  <c r="R293" i="12"/>
  <c r="X293" i="12" s="1"/>
  <c r="Q293" i="12"/>
  <c r="P293" i="12"/>
  <c r="W293" i="12" s="1"/>
  <c r="O293" i="12"/>
  <c r="N293" i="12"/>
  <c r="V293" i="12" s="1"/>
  <c r="T292" i="12"/>
  <c r="S292" i="12"/>
  <c r="R292" i="12"/>
  <c r="X292" i="12" s="1"/>
  <c r="Q292" i="12"/>
  <c r="P292" i="12"/>
  <c r="W292" i="12" s="1"/>
  <c r="O292" i="12"/>
  <c r="N292" i="12"/>
  <c r="V292" i="12" s="1"/>
  <c r="T291" i="12"/>
  <c r="S291" i="12"/>
  <c r="R291" i="12"/>
  <c r="X291" i="12" s="1"/>
  <c r="Q291" i="12"/>
  <c r="P291" i="12"/>
  <c r="W291" i="12" s="1"/>
  <c r="O291" i="12"/>
  <c r="N291" i="12"/>
  <c r="V291" i="12" s="1"/>
  <c r="T290" i="12"/>
  <c r="S290" i="12"/>
  <c r="R290" i="12"/>
  <c r="X290" i="12" s="1"/>
  <c r="Q290" i="12"/>
  <c r="P290" i="12"/>
  <c r="W290" i="12" s="1"/>
  <c r="O290" i="12"/>
  <c r="N290" i="12"/>
  <c r="V290" i="12" s="1"/>
  <c r="T289" i="12"/>
  <c r="S289" i="12"/>
  <c r="R289" i="12"/>
  <c r="X289" i="12" s="1"/>
  <c r="Q289" i="12"/>
  <c r="P289" i="12"/>
  <c r="W289" i="12" s="1"/>
  <c r="O289" i="12"/>
  <c r="N289" i="12"/>
  <c r="V289" i="12" s="1"/>
  <c r="T288" i="12"/>
  <c r="S288" i="12"/>
  <c r="R288" i="12"/>
  <c r="X288" i="12" s="1"/>
  <c r="Q288" i="12"/>
  <c r="P288" i="12"/>
  <c r="W288" i="12" s="1"/>
  <c r="O288" i="12"/>
  <c r="N288" i="12"/>
  <c r="V288" i="12" s="1"/>
  <c r="T287" i="12"/>
  <c r="S287" i="12"/>
  <c r="R287" i="12"/>
  <c r="X287" i="12" s="1"/>
  <c r="Q287" i="12"/>
  <c r="P287" i="12"/>
  <c r="W287" i="12" s="1"/>
  <c r="O287" i="12"/>
  <c r="N287" i="12"/>
  <c r="V287" i="12" s="1"/>
  <c r="T286" i="12"/>
  <c r="S286" i="12"/>
  <c r="R286" i="12"/>
  <c r="X286" i="12" s="1"/>
  <c r="Q286" i="12"/>
  <c r="P286" i="12"/>
  <c r="W286" i="12" s="1"/>
  <c r="O286" i="12"/>
  <c r="N286" i="12"/>
  <c r="V286" i="12" s="1"/>
  <c r="T285" i="12"/>
  <c r="S285" i="12"/>
  <c r="R285" i="12"/>
  <c r="X285" i="12" s="1"/>
  <c r="Q285" i="12"/>
  <c r="P285" i="12"/>
  <c r="W285" i="12" s="1"/>
  <c r="O285" i="12"/>
  <c r="N285" i="12"/>
  <c r="V285" i="12" s="1"/>
  <c r="T284" i="12"/>
  <c r="S284" i="12"/>
  <c r="R284" i="12"/>
  <c r="X284" i="12" s="1"/>
  <c r="Q284" i="12"/>
  <c r="P284" i="12"/>
  <c r="W284" i="12" s="1"/>
  <c r="O284" i="12"/>
  <c r="N284" i="12"/>
  <c r="V284" i="12" s="1"/>
  <c r="T283" i="12"/>
  <c r="S283" i="12"/>
  <c r="R283" i="12"/>
  <c r="X283" i="12" s="1"/>
  <c r="Q283" i="12"/>
  <c r="P283" i="12"/>
  <c r="W283" i="12" s="1"/>
  <c r="O283" i="12"/>
  <c r="N283" i="12"/>
  <c r="V283" i="12" s="1"/>
  <c r="T282" i="12"/>
  <c r="S282" i="12"/>
  <c r="R282" i="12"/>
  <c r="X282" i="12" s="1"/>
  <c r="Q282" i="12"/>
  <c r="P282" i="12"/>
  <c r="W282" i="12" s="1"/>
  <c r="O282" i="12"/>
  <c r="N282" i="12"/>
  <c r="V282" i="12" s="1"/>
  <c r="T281" i="12"/>
  <c r="S281" i="12"/>
  <c r="R281" i="12"/>
  <c r="X281" i="12" s="1"/>
  <c r="Q281" i="12"/>
  <c r="P281" i="12"/>
  <c r="W281" i="12" s="1"/>
  <c r="O281" i="12"/>
  <c r="N281" i="12"/>
  <c r="V281" i="12" s="1"/>
  <c r="T280" i="12"/>
  <c r="S280" i="12"/>
  <c r="R280" i="12"/>
  <c r="X280" i="12" s="1"/>
  <c r="Q280" i="12"/>
  <c r="P280" i="12"/>
  <c r="W280" i="12" s="1"/>
  <c r="O280" i="12"/>
  <c r="N280" i="12"/>
  <c r="V280" i="12" s="1"/>
  <c r="T279" i="12"/>
  <c r="S279" i="12"/>
  <c r="R279" i="12"/>
  <c r="X279" i="12" s="1"/>
  <c r="Q279" i="12"/>
  <c r="P279" i="12"/>
  <c r="W279" i="12" s="1"/>
  <c r="O279" i="12"/>
  <c r="N279" i="12"/>
  <c r="V279" i="12" s="1"/>
  <c r="T278" i="12"/>
  <c r="S278" i="12"/>
  <c r="R278" i="12"/>
  <c r="X278" i="12" s="1"/>
  <c r="Q278" i="12"/>
  <c r="P278" i="12"/>
  <c r="W278" i="12" s="1"/>
  <c r="O278" i="12"/>
  <c r="N278" i="12"/>
  <c r="V278" i="12" s="1"/>
  <c r="T277" i="12"/>
  <c r="S277" i="12"/>
  <c r="R277" i="12"/>
  <c r="X277" i="12" s="1"/>
  <c r="Q277" i="12"/>
  <c r="P277" i="12"/>
  <c r="W277" i="12" s="1"/>
  <c r="O277" i="12"/>
  <c r="N277" i="12"/>
  <c r="V277" i="12" s="1"/>
  <c r="T276" i="12"/>
  <c r="S276" i="12"/>
  <c r="R276" i="12"/>
  <c r="X276" i="12" s="1"/>
  <c r="Q276" i="12"/>
  <c r="P276" i="12"/>
  <c r="W276" i="12" s="1"/>
  <c r="O276" i="12"/>
  <c r="N276" i="12"/>
  <c r="V276" i="12" s="1"/>
  <c r="T275" i="12"/>
  <c r="S275" i="12"/>
  <c r="R275" i="12"/>
  <c r="X275" i="12" s="1"/>
  <c r="Q275" i="12"/>
  <c r="P275" i="12"/>
  <c r="W275" i="12" s="1"/>
  <c r="O275" i="12"/>
  <c r="N275" i="12"/>
  <c r="V275" i="12" s="1"/>
  <c r="T274" i="12"/>
  <c r="S274" i="12"/>
  <c r="R274" i="12"/>
  <c r="X274" i="12" s="1"/>
  <c r="Q274" i="12"/>
  <c r="P274" i="12"/>
  <c r="W274" i="12" s="1"/>
  <c r="O274" i="12"/>
  <c r="N274" i="12"/>
  <c r="V274" i="12" s="1"/>
  <c r="T273" i="12"/>
  <c r="S273" i="12"/>
  <c r="R273" i="12"/>
  <c r="X273" i="12" s="1"/>
  <c r="Q273" i="12"/>
  <c r="P273" i="12"/>
  <c r="W273" i="12" s="1"/>
  <c r="O273" i="12"/>
  <c r="N273" i="12"/>
  <c r="V273" i="12" s="1"/>
  <c r="T272" i="12"/>
  <c r="S272" i="12"/>
  <c r="R272" i="12"/>
  <c r="X272" i="12" s="1"/>
  <c r="Q272" i="12"/>
  <c r="P272" i="12"/>
  <c r="W272" i="12" s="1"/>
  <c r="O272" i="12"/>
  <c r="N272" i="12"/>
  <c r="V272" i="12" s="1"/>
  <c r="T271" i="12"/>
  <c r="S271" i="12"/>
  <c r="R271" i="12"/>
  <c r="X271" i="12" s="1"/>
  <c r="Q271" i="12"/>
  <c r="P271" i="12"/>
  <c r="W271" i="12" s="1"/>
  <c r="O271" i="12"/>
  <c r="N271" i="12"/>
  <c r="V271" i="12" s="1"/>
  <c r="T270" i="12"/>
  <c r="S270" i="12"/>
  <c r="R270" i="12"/>
  <c r="X270" i="12" s="1"/>
  <c r="Q270" i="12"/>
  <c r="P270" i="12"/>
  <c r="W270" i="12" s="1"/>
  <c r="O270" i="12"/>
  <c r="N270" i="12"/>
  <c r="V270" i="12" s="1"/>
  <c r="T269" i="12"/>
  <c r="S269" i="12"/>
  <c r="R269" i="12"/>
  <c r="X269" i="12" s="1"/>
  <c r="Q269" i="12"/>
  <c r="P269" i="12"/>
  <c r="W269" i="12" s="1"/>
  <c r="O269" i="12"/>
  <c r="N269" i="12"/>
  <c r="V269" i="12" s="1"/>
  <c r="T268" i="12"/>
  <c r="S268" i="12"/>
  <c r="R268" i="12"/>
  <c r="X268" i="12" s="1"/>
  <c r="Q268" i="12"/>
  <c r="P268" i="12"/>
  <c r="W268" i="12" s="1"/>
  <c r="O268" i="12"/>
  <c r="N268" i="12"/>
  <c r="V268" i="12" s="1"/>
  <c r="T267" i="12"/>
  <c r="S267" i="12"/>
  <c r="R267" i="12"/>
  <c r="X267" i="12" s="1"/>
  <c r="Q267" i="12"/>
  <c r="P267" i="12"/>
  <c r="W267" i="12" s="1"/>
  <c r="O267" i="12"/>
  <c r="N267" i="12"/>
  <c r="V267" i="12" s="1"/>
  <c r="T266" i="12"/>
  <c r="S266" i="12"/>
  <c r="R266" i="12"/>
  <c r="X266" i="12" s="1"/>
  <c r="Q266" i="12"/>
  <c r="P266" i="12"/>
  <c r="W266" i="12" s="1"/>
  <c r="O266" i="12"/>
  <c r="N266" i="12"/>
  <c r="V266" i="12" s="1"/>
  <c r="T265" i="12"/>
  <c r="S265" i="12"/>
  <c r="R265" i="12"/>
  <c r="X265" i="12" s="1"/>
  <c r="Q265" i="12"/>
  <c r="P265" i="12"/>
  <c r="W265" i="12" s="1"/>
  <c r="O265" i="12"/>
  <c r="N265" i="12"/>
  <c r="V265" i="12" s="1"/>
  <c r="T264" i="12"/>
  <c r="S264" i="12"/>
  <c r="R264" i="12"/>
  <c r="X264" i="12" s="1"/>
  <c r="Q264" i="12"/>
  <c r="P264" i="12"/>
  <c r="W264" i="12" s="1"/>
  <c r="O264" i="12"/>
  <c r="N264" i="12"/>
  <c r="V264" i="12" s="1"/>
  <c r="T263" i="12"/>
  <c r="S263" i="12"/>
  <c r="R263" i="12"/>
  <c r="X263" i="12" s="1"/>
  <c r="Q263" i="12"/>
  <c r="P263" i="12"/>
  <c r="W263" i="12" s="1"/>
  <c r="O263" i="12"/>
  <c r="N263" i="12"/>
  <c r="V263" i="12" s="1"/>
  <c r="T262" i="12"/>
  <c r="S262" i="12"/>
  <c r="R262" i="12"/>
  <c r="X262" i="12" s="1"/>
  <c r="Q262" i="12"/>
  <c r="P262" i="12"/>
  <c r="W262" i="12" s="1"/>
  <c r="O262" i="12"/>
  <c r="N262" i="12"/>
  <c r="V262" i="12" s="1"/>
  <c r="T261" i="12"/>
  <c r="S261" i="12"/>
  <c r="R261" i="12"/>
  <c r="X261" i="12" s="1"/>
  <c r="Q261" i="12"/>
  <c r="P261" i="12"/>
  <c r="W261" i="12" s="1"/>
  <c r="O261" i="12"/>
  <c r="N261" i="12"/>
  <c r="V261" i="12" s="1"/>
  <c r="T260" i="12"/>
  <c r="S260" i="12"/>
  <c r="R260" i="12"/>
  <c r="X260" i="12" s="1"/>
  <c r="Q260" i="12"/>
  <c r="P260" i="12"/>
  <c r="W260" i="12" s="1"/>
  <c r="O260" i="12"/>
  <c r="N260" i="12"/>
  <c r="V260" i="12" s="1"/>
  <c r="T259" i="12"/>
  <c r="S259" i="12"/>
  <c r="R259" i="12"/>
  <c r="X259" i="12" s="1"/>
  <c r="Q259" i="12"/>
  <c r="P259" i="12"/>
  <c r="W259" i="12" s="1"/>
  <c r="O259" i="12"/>
  <c r="N259" i="12"/>
  <c r="V259" i="12" s="1"/>
  <c r="T258" i="12"/>
  <c r="S258" i="12"/>
  <c r="R258" i="12"/>
  <c r="X258" i="12" s="1"/>
  <c r="Q258" i="12"/>
  <c r="P258" i="12"/>
  <c r="W258" i="12" s="1"/>
  <c r="O258" i="12"/>
  <c r="N258" i="12"/>
  <c r="V258" i="12" s="1"/>
  <c r="T257" i="12"/>
  <c r="S257" i="12"/>
  <c r="R257" i="12"/>
  <c r="X257" i="12" s="1"/>
  <c r="Q257" i="12"/>
  <c r="P257" i="12"/>
  <c r="W257" i="12" s="1"/>
  <c r="O257" i="12"/>
  <c r="N257" i="12"/>
  <c r="V257" i="12" s="1"/>
  <c r="T256" i="12"/>
  <c r="S256" i="12"/>
  <c r="R256" i="12"/>
  <c r="X256" i="12" s="1"/>
  <c r="Q256" i="12"/>
  <c r="P256" i="12"/>
  <c r="W256" i="12" s="1"/>
  <c r="O256" i="12"/>
  <c r="N256" i="12"/>
  <c r="V256" i="12" s="1"/>
  <c r="T255" i="12"/>
  <c r="S255" i="12"/>
  <c r="R255" i="12"/>
  <c r="X255" i="12" s="1"/>
  <c r="Q255" i="12"/>
  <c r="P255" i="12"/>
  <c r="W255" i="12" s="1"/>
  <c r="O255" i="12"/>
  <c r="N255" i="12"/>
  <c r="V255" i="12" s="1"/>
  <c r="T254" i="12"/>
  <c r="S254" i="12"/>
  <c r="R254" i="12"/>
  <c r="X254" i="12" s="1"/>
  <c r="Q254" i="12"/>
  <c r="P254" i="12"/>
  <c r="W254" i="12" s="1"/>
  <c r="O254" i="12"/>
  <c r="N254" i="12"/>
  <c r="V254" i="12" s="1"/>
  <c r="T253" i="12"/>
  <c r="S253" i="12"/>
  <c r="R253" i="12"/>
  <c r="X253" i="12" s="1"/>
  <c r="Q253" i="12"/>
  <c r="P253" i="12"/>
  <c r="W253" i="12" s="1"/>
  <c r="O253" i="12"/>
  <c r="N253" i="12"/>
  <c r="V253" i="12" s="1"/>
  <c r="T252" i="12"/>
  <c r="S252" i="12"/>
  <c r="R252" i="12"/>
  <c r="X252" i="12" s="1"/>
  <c r="Q252" i="12"/>
  <c r="P252" i="12"/>
  <c r="W252" i="12" s="1"/>
  <c r="O252" i="12"/>
  <c r="N252" i="12"/>
  <c r="V252" i="12" s="1"/>
  <c r="T251" i="12"/>
  <c r="S251" i="12"/>
  <c r="R251" i="12"/>
  <c r="X251" i="12" s="1"/>
  <c r="Q251" i="12"/>
  <c r="P251" i="12"/>
  <c r="W251" i="12" s="1"/>
  <c r="O251" i="12"/>
  <c r="N251" i="12"/>
  <c r="V251" i="12" s="1"/>
  <c r="T250" i="12"/>
  <c r="S250" i="12"/>
  <c r="R250" i="12"/>
  <c r="X250" i="12" s="1"/>
  <c r="Q250" i="12"/>
  <c r="P250" i="12"/>
  <c r="W250" i="12" s="1"/>
  <c r="O250" i="12"/>
  <c r="N250" i="12"/>
  <c r="V250" i="12" s="1"/>
  <c r="T249" i="12"/>
  <c r="S249" i="12"/>
  <c r="R249" i="12"/>
  <c r="X249" i="12" s="1"/>
  <c r="Q249" i="12"/>
  <c r="P249" i="12"/>
  <c r="W249" i="12" s="1"/>
  <c r="O249" i="12"/>
  <c r="N249" i="12"/>
  <c r="V249" i="12" s="1"/>
  <c r="T248" i="12"/>
  <c r="S248" i="12"/>
  <c r="R248" i="12"/>
  <c r="X248" i="12" s="1"/>
  <c r="Q248" i="12"/>
  <c r="P248" i="12"/>
  <c r="W248" i="12" s="1"/>
  <c r="O248" i="12"/>
  <c r="N248" i="12"/>
  <c r="V248" i="12" s="1"/>
  <c r="T247" i="12"/>
  <c r="S247" i="12"/>
  <c r="R247" i="12"/>
  <c r="X247" i="12" s="1"/>
  <c r="Q247" i="12"/>
  <c r="P247" i="12"/>
  <c r="W247" i="12" s="1"/>
  <c r="O247" i="12"/>
  <c r="N247" i="12"/>
  <c r="V247" i="12" s="1"/>
  <c r="T246" i="12"/>
  <c r="S246" i="12"/>
  <c r="R246" i="12"/>
  <c r="X246" i="12" s="1"/>
  <c r="Q246" i="12"/>
  <c r="P246" i="12"/>
  <c r="W246" i="12" s="1"/>
  <c r="O246" i="12"/>
  <c r="N246" i="12"/>
  <c r="V246" i="12" s="1"/>
  <c r="T245" i="12"/>
  <c r="S245" i="12"/>
  <c r="R245" i="12"/>
  <c r="X245" i="12" s="1"/>
  <c r="Q245" i="12"/>
  <c r="P245" i="12"/>
  <c r="W245" i="12" s="1"/>
  <c r="O245" i="12"/>
  <c r="N245" i="12"/>
  <c r="V245" i="12" s="1"/>
  <c r="T244" i="12"/>
  <c r="S244" i="12"/>
  <c r="R244" i="12"/>
  <c r="X244" i="12" s="1"/>
  <c r="Q244" i="12"/>
  <c r="P244" i="12"/>
  <c r="W244" i="12" s="1"/>
  <c r="O244" i="12"/>
  <c r="N244" i="12"/>
  <c r="V244" i="12" s="1"/>
  <c r="T243" i="12"/>
  <c r="S243" i="12"/>
  <c r="R243" i="12"/>
  <c r="X243" i="12" s="1"/>
  <c r="Q243" i="12"/>
  <c r="P243" i="12"/>
  <c r="W243" i="12" s="1"/>
  <c r="O243" i="12"/>
  <c r="N243" i="12"/>
  <c r="V243" i="12" s="1"/>
  <c r="T242" i="12"/>
  <c r="S242" i="12"/>
  <c r="R242" i="12"/>
  <c r="X242" i="12" s="1"/>
  <c r="Q242" i="12"/>
  <c r="P242" i="12"/>
  <c r="W242" i="12" s="1"/>
  <c r="O242" i="12"/>
  <c r="N242" i="12"/>
  <c r="V242" i="12" s="1"/>
  <c r="T241" i="12"/>
  <c r="S241" i="12"/>
  <c r="R241" i="12"/>
  <c r="X241" i="12" s="1"/>
  <c r="Q241" i="12"/>
  <c r="P241" i="12"/>
  <c r="W241" i="12" s="1"/>
  <c r="O241" i="12"/>
  <c r="N241" i="12"/>
  <c r="V241" i="12" s="1"/>
  <c r="T240" i="12"/>
  <c r="S240" i="12"/>
  <c r="R240" i="12"/>
  <c r="X240" i="12" s="1"/>
  <c r="Q240" i="12"/>
  <c r="P240" i="12"/>
  <c r="W240" i="12" s="1"/>
  <c r="O240" i="12"/>
  <c r="N240" i="12"/>
  <c r="V240" i="12" s="1"/>
  <c r="T239" i="12"/>
  <c r="S239" i="12"/>
  <c r="R239" i="12"/>
  <c r="X239" i="12" s="1"/>
  <c r="Q239" i="12"/>
  <c r="P239" i="12"/>
  <c r="W239" i="12" s="1"/>
  <c r="O239" i="12"/>
  <c r="N239" i="12"/>
  <c r="V239" i="12" s="1"/>
  <c r="T238" i="12"/>
  <c r="S238" i="12"/>
  <c r="R238" i="12"/>
  <c r="X238" i="12" s="1"/>
  <c r="Q238" i="12"/>
  <c r="P238" i="12"/>
  <c r="W238" i="12" s="1"/>
  <c r="O238" i="12"/>
  <c r="N238" i="12"/>
  <c r="V238" i="12" s="1"/>
  <c r="T237" i="12"/>
  <c r="S237" i="12"/>
  <c r="R237" i="12"/>
  <c r="X237" i="12" s="1"/>
  <c r="Q237" i="12"/>
  <c r="P237" i="12"/>
  <c r="W237" i="12" s="1"/>
  <c r="O237" i="12"/>
  <c r="N237" i="12"/>
  <c r="V237" i="12" s="1"/>
  <c r="T236" i="12"/>
  <c r="S236" i="12"/>
  <c r="R236" i="12"/>
  <c r="X236" i="12" s="1"/>
  <c r="Q236" i="12"/>
  <c r="P236" i="12"/>
  <c r="W236" i="12" s="1"/>
  <c r="O236" i="12"/>
  <c r="N236" i="12"/>
  <c r="V236" i="12" s="1"/>
  <c r="T235" i="12"/>
  <c r="S235" i="12"/>
  <c r="R235" i="12"/>
  <c r="X235" i="12" s="1"/>
  <c r="Q235" i="12"/>
  <c r="P235" i="12"/>
  <c r="W235" i="12" s="1"/>
  <c r="O235" i="12"/>
  <c r="N235" i="12"/>
  <c r="V235" i="12" s="1"/>
  <c r="T234" i="12"/>
  <c r="S234" i="12"/>
  <c r="R234" i="12"/>
  <c r="X234" i="12" s="1"/>
  <c r="Q234" i="12"/>
  <c r="P234" i="12"/>
  <c r="W234" i="12" s="1"/>
  <c r="O234" i="12"/>
  <c r="N234" i="12"/>
  <c r="V234" i="12" s="1"/>
  <c r="T233" i="12"/>
  <c r="S233" i="12"/>
  <c r="R233" i="12"/>
  <c r="X233" i="12" s="1"/>
  <c r="Q233" i="12"/>
  <c r="P233" i="12"/>
  <c r="W233" i="12" s="1"/>
  <c r="O233" i="12"/>
  <c r="N233" i="12"/>
  <c r="V233" i="12" s="1"/>
  <c r="T232" i="12"/>
  <c r="S232" i="12"/>
  <c r="R232" i="12"/>
  <c r="X232" i="12" s="1"/>
  <c r="Q232" i="12"/>
  <c r="P232" i="12"/>
  <c r="W232" i="12" s="1"/>
  <c r="O232" i="12"/>
  <c r="N232" i="12"/>
  <c r="V232" i="12" s="1"/>
  <c r="T231" i="12"/>
  <c r="S231" i="12"/>
  <c r="R231" i="12"/>
  <c r="X231" i="12" s="1"/>
  <c r="Q231" i="12"/>
  <c r="P231" i="12"/>
  <c r="W231" i="12" s="1"/>
  <c r="O231" i="12"/>
  <c r="N231" i="12"/>
  <c r="V231" i="12" s="1"/>
  <c r="T230" i="12"/>
  <c r="S230" i="12"/>
  <c r="R230" i="12"/>
  <c r="X230" i="12" s="1"/>
  <c r="Q230" i="12"/>
  <c r="P230" i="12"/>
  <c r="W230" i="12" s="1"/>
  <c r="O230" i="12"/>
  <c r="N230" i="12"/>
  <c r="V230" i="12" s="1"/>
  <c r="T229" i="12"/>
  <c r="S229" i="12"/>
  <c r="R229" i="12"/>
  <c r="X229" i="12" s="1"/>
  <c r="Q229" i="12"/>
  <c r="P229" i="12"/>
  <c r="W229" i="12" s="1"/>
  <c r="O229" i="12"/>
  <c r="N229" i="12"/>
  <c r="V229" i="12" s="1"/>
  <c r="T228" i="12"/>
  <c r="S228" i="12"/>
  <c r="R228" i="12"/>
  <c r="X228" i="12" s="1"/>
  <c r="Q228" i="12"/>
  <c r="P228" i="12"/>
  <c r="W228" i="12" s="1"/>
  <c r="O228" i="12"/>
  <c r="N228" i="12"/>
  <c r="V228" i="12" s="1"/>
  <c r="T227" i="12"/>
  <c r="S227" i="12"/>
  <c r="R227" i="12"/>
  <c r="X227" i="12" s="1"/>
  <c r="Q227" i="12"/>
  <c r="P227" i="12"/>
  <c r="W227" i="12" s="1"/>
  <c r="O227" i="12"/>
  <c r="N227" i="12"/>
  <c r="V227" i="12" s="1"/>
  <c r="T226" i="12"/>
  <c r="S226" i="12"/>
  <c r="R226" i="12"/>
  <c r="X226" i="12" s="1"/>
  <c r="Q226" i="12"/>
  <c r="P226" i="12"/>
  <c r="W226" i="12" s="1"/>
  <c r="O226" i="12"/>
  <c r="N226" i="12"/>
  <c r="V226" i="12" s="1"/>
  <c r="T225" i="12"/>
  <c r="S225" i="12"/>
  <c r="R225" i="12"/>
  <c r="X225" i="12" s="1"/>
  <c r="Q225" i="12"/>
  <c r="P225" i="12"/>
  <c r="W225" i="12" s="1"/>
  <c r="O225" i="12"/>
  <c r="N225" i="12"/>
  <c r="V225" i="12" s="1"/>
  <c r="T224" i="12"/>
  <c r="S224" i="12"/>
  <c r="R224" i="12"/>
  <c r="X224" i="12" s="1"/>
  <c r="Q224" i="12"/>
  <c r="P224" i="12"/>
  <c r="W224" i="12" s="1"/>
  <c r="O224" i="12"/>
  <c r="N224" i="12"/>
  <c r="V224" i="12" s="1"/>
  <c r="T223" i="12"/>
  <c r="S223" i="12"/>
  <c r="R223" i="12"/>
  <c r="X223" i="12" s="1"/>
  <c r="Q223" i="12"/>
  <c r="P223" i="12"/>
  <c r="W223" i="12" s="1"/>
  <c r="O223" i="12"/>
  <c r="N223" i="12"/>
  <c r="V223" i="12" s="1"/>
  <c r="T222" i="12"/>
  <c r="S222" i="12"/>
  <c r="R222" i="12"/>
  <c r="X222" i="12" s="1"/>
  <c r="Q222" i="12"/>
  <c r="P222" i="12"/>
  <c r="W222" i="12" s="1"/>
  <c r="O222" i="12"/>
  <c r="N222" i="12"/>
  <c r="V222" i="12" s="1"/>
  <c r="T221" i="12"/>
  <c r="S221" i="12"/>
  <c r="R221" i="12"/>
  <c r="X221" i="12" s="1"/>
  <c r="Q221" i="12"/>
  <c r="P221" i="12"/>
  <c r="W221" i="12" s="1"/>
  <c r="O221" i="12"/>
  <c r="N221" i="12"/>
  <c r="V221" i="12" s="1"/>
  <c r="T220" i="12"/>
  <c r="S220" i="12"/>
  <c r="R220" i="12"/>
  <c r="X220" i="12" s="1"/>
  <c r="Q220" i="12"/>
  <c r="P220" i="12"/>
  <c r="W220" i="12" s="1"/>
  <c r="O220" i="12"/>
  <c r="N220" i="12"/>
  <c r="V220" i="12" s="1"/>
  <c r="T219" i="12"/>
  <c r="S219" i="12"/>
  <c r="R219" i="12"/>
  <c r="X219" i="12" s="1"/>
  <c r="Q219" i="12"/>
  <c r="P219" i="12"/>
  <c r="W219" i="12" s="1"/>
  <c r="O219" i="12"/>
  <c r="N219" i="12"/>
  <c r="V219" i="12" s="1"/>
  <c r="T218" i="12"/>
  <c r="S218" i="12"/>
  <c r="R218" i="12"/>
  <c r="X218" i="12" s="1"/>
  <c r="Q218" i="12"/>
  <c r="P218" i="12"/>
  <c r="W218" i="12" s="1"/>
  <c r="O218" i="12"/>
  <c r="N218" i="12"/>
  <c r="V218" i="12" s="1"/>
  <c r="T217" i="12"/>
  <c r="S217" i="12"/>
  <c r="R217" i="12"/>
  <c r="X217" i="12" s="1"/>
  <c r="Q217" i="12"/>
  <c r="P217" i="12"/>
  <c r="W217" i="12" s="1"/>
  <c r="O217" i="12"/>
  <c r="N217" i="12"/>
  <c r="V217" i="12" s="1"/>
  <c r="T216" i="12"/>
  <c r="S216" i="12"/>
  <c r="R216" i="12"/>
  <c r="X216" i="12" s="1"/>
  <c r="Q216" i="12"/>
  <c r="P216" i="12"/>
  <c r="W216" i="12" s="1"/>
  <c r="O216" i="12"/>
  <c r="N216" i="12"/>
  <c r="V216" i="12" s="1"/>
  <c r="T215" i="12"/>
  <c r="S215" i="12"/>
  <c r="R215" i="12"/>
  <c r="X215" i="12" s="1"/>
  <c r="Q215" i="12"/>
  <c r="P215" i="12"/>
  <c r="W215" i="12" s="1"/>
  <c r="O215" i="12"/>
  <c r="N215" i="12"/>
  <c r="V215" i="12" s="1"/>
  <c r="T214" i="12"/>
  <c r="S214" i="12"/>
  <c r="R214" i="12"/>
  <c r="X214" i="12" s="1"/>
  <c r="Q214" i="12"/>
  <c r="P214" i="12"/>
  <c r="W214" i="12" s="1"/>
  <c r="O214" i="12"/>
  <c r="N214" i="12"/>
  <c r="V214" i="12" s="1"/>
  <c r="T213" i="12"/>
  <c r="S213" i="12"/>
  <c r="R213" i="12"/>
  <c r="X213" i="12" s="1"/>
  <c r="Q213" i="12"/>
  <c r="P213" i="12"/>
  <c r="W213" i="12" s="1"/>
  <c r="O213" i="12"/>
  <c r="N213" i="12"/>
  <c r="V213" i="12" s="1"/>
  <c r="T212" i="12"/>
  <c r="S212" i="12"/>
  <c r="R212" i="12"/>
  <c r="X212" i="12" s="1"/>
  <c r="Q212" i="12"/>
  <c r="P212" i="12"/>
  <c r="W212" i="12" s="1"/>
  <c r="O212" i="12"/>
  <c r="N212" i="12"/>
  <c r="V212" i="12" s="1"/>
  <c r="T211" i="12"/>
  <c r="S211" i="12"/>
  <c r="R211" i="12"/>
  <c r="X211" i="12" s="1"/>
  <c r="Q211" i="12"/>
  <c r="P211" i="12"/>
  <c r="W211" i="12" s="1"/>
  <c r="O211" i="12"/>
  <c r="N211" i="12"/>
  <c r="V211" i="12" s="1"/>
  <c r="T210" i="12"/>
  <c r="S210" i="12"/>
  <c r="R210" i="12"/>
  <c r="X210" i="12" s="1"/>
  <c r="Q210" i="12"/>
  <c r="P210" i="12"/>
  <c r="W210" i="12" s="1"/>
  <c r="O210" i="12"/>
  <c r="N210" i="12"/>
  <c r="V210" i="12" s="1"/>
  <c r="T209" i="12"/>
  <c r="S209" i="12"/>
  <c r="R209" i="12"/>
  <c r="X209" i="12" s="1"/>
  <c r="Q209" i="12"/>
  <c r="P209" i="12"/>
  <c r="W209" i="12" s="1"/>
  <c r="O209" i="12"/>
  <c r="N209" i="12"/>
  <c r="V209" i="12" s="1"/>
  <c r="T208" i="12"/>
  <c r="S208" i="12"/>
  <c r="R208" i="12"/>
  <c r="X208" i="12" s="1"/>
  <c r="Q208" i="12"/>
  <c r="P208" i="12"/>
  <c r="W208" i="12" s="1"/>
  <c r="O208" i="12"/>
  <c r="N208" i="12"/>
  <c r="V208" i="12" s="1"/>
  <c r="T207" i="12"/>
  <c r="S207" i="12"/>
  <c r="R207" i="12"/>
  <c r="X207" i="12" s="1"/>
  <c r="Q207" i="12"/>
  <c r="P207" i="12"/>
  <c r="W207" i="12" s="1"/>
  <c r="O207" i="12"/>
  <c r="N207" i="12"/>
  <c r="V207" i="12" s="1"/>
  <c r="T206" i="12"/>
  <c r="S206" i="12"/>
  <c r="R206" i="12"/>
  <c r="X206" i="12" s="1"/>
  <c r="Q206" i="12"/>
  <c r="P206" i="12"/>
  <c r="W206" i="12" s="1"/>
  <c r="O206" i="12"/>
  <c r="N206" i="12"/>
  <c r="V206" i="12" s="1"/>
  <c r="T205" i="12"/>
  <c r="S205" i="12"/>
  <c r="R205" i="12"/>
  <c r="X205" i="12" s="1"/>
  <c r="Q205" i="12"/>
  <c r="P205" i="12"/>
  <c r="W205" i="12" s="1"/>
  <c r="O205" i="12"/>
  <c r="N205" i="12"/>
  <c r="V205" i="12" s="1"/>
  <c r="T204" i="12"/>
  <c r="S204" i="12"/>
  <c r="R204" i="12"/>
  <c r="X204" i="12" s="1"/>
  <c r="Q204" i="12"/>
  <c r="P204" i="12"/>
  <c r="W204" i="12" s="1"/>
  <c r="O204" i="12"/>
  <c r="N204" i="12"/>
  <c r="V204" i="12" s="1"/>
  <c r="T203" i="12"/>
  <c r="S203" i="12"/>
  <c r="R203" i="12"/>
  <c r="X203" i="12" s="1"/>
  <c r="Q203" i="12"/>
  <c r="P203" i="12"/>
  <c r="W203" i="12" s="1"/>
  <c r="O203" i="12"/>
  <c r="N203" i="12"/>
  <c r="V203" i="12" s="1"/>
  <c r="T202" i="12"/>
  <c r="S202" i="12"/>
  <c r="R202" i="12"/>
  <c r="X202" i="12" s="1"/>
  <c r="Q202" i="12"/>
  <c r="P202" i="12"/>
  <c r="W202" i="12" s="1"/>
  <c r="O202" i="12"/>
  <c r="N202" i="12"/>
  <c r="V202" i="12" s="1"/>
  <c r="T201" i="12"/>
  <c r="S201" i="12"/>
  <c r="R201" i="12"/>
  <c r="X201" i="12" s="1"/>
  <c r="Q201" i="12"/>
  <c r="P201" i="12"/>
  <c r="W201" i="12" s="1"/>
  <c r="O201" i="12"/>
  <c r="N201" i="12"/>
  <c r="V201" i="12" s="1"/>
  <c r="T200" i="12"/>
  <c r="S200" i="12"/>
  <c r="R200" i="12"/>
  <c r="X200" i="12" s="1"/>
  <c r="Q200" i="12"/>
  <c r="P200" i="12"/>
  <c r="W200" i="12" s="1"/>
  <c r="O200" i="12"/>
  <c r="N200" i="12"/>
  <c r="V200" i="12" s="1"/>
  <c r="T199" i="12"/>
  <c r="S199" i="12"/>
  <c r="R199" i="12"/>
  <c r="X199" i="12" s="1"/>
  <c r="Q199" i="12"/>
  <c r="P199" i="12"/>
  <c r="W199" i="12" s="1"/>
  <c r="O199" i="12"/>
  <c r="N199" i="12"/>
  <c r="V199" i="12" s="1"/>
  <c r="T198" i="12"/>
  <c r="S198" i="12"/>
  <c r="R198" i="12"/>
  <c r="X198" i="12" s="1"/>
  <c r="Q198" i="12"/>
  <c r="P198" i="12"/>
  <c r="W198" i="12" s="1"/>
  <c r="O198" i="12"/>
  <c r="N198" i="12"/>
  <c r="V198" i="12" s="1"/>
  <c r="T197" i="12"/>
  <c r="S197" i="12"/>
  <c r="R197" i="12"/>
  <c r="X197" i="12" s="1"/>
  <c r="Q197" i="12"/>
  <c r="P197" i="12"/>
  <c r="W197" i="12" s="1"/>
  <c r="O197" i="12"/>
  <c r="N197" i="12"/>
  <c r="V197" i="12" s="1"/>
  <c r="T196" i="12"/>
  <c r="S196" i="12"/>
  <c r="R196" i="12"/>
  <c r="X196" i="12" s="1"/>
  <c r="Q196" i="12"/>
  <c r="P196" i="12"/>
  <c r="W196" i="12" s="1"/>
  <c r="O196" i="12"/>
  <c r="N196" i="12"/>
  <c r="V196" i="12" s="1"/>
  <c r="T195" i="12"/>
  <c r="S195" i="12"/>
  <c r="R195" i="12"/>
  <c r="X195" i="12" s="1"/>
  <c r="Q195" i="12"/>
  <c r="P195" i="12"/>
  <c r="W195" i="12" s="1"/>
  <c r="O195" i="12"/>
  <c r="N195" i="12"/>
  <c r="V195" i="12" s="1"/>
  <c r="T194" i="12"/>
  <c r="S194" i="12"/>
  <c r="R194" i="12"/>
  <c r="X194" i="12" s="1"/>
  <c r="Q194" i="12"/>
  <c r="P194" i="12"/>
  <c r="W194" i="12" s="1"/>
  <c r="O194" i="12"/>
  <c r="N194" i="12"/>
  <c r="V194" i="12" s="1"/>
  <c r="T193" i="12"/>
  <c r="S193" i="12"/>
  <c r="R193" i="12"/>
  <c r="X193" i="12" s="1"/>
  <c r="Q193" i="12"/>
  <c r="P193" i="12"/>
  <c r="W193" i="12" s="1"/>
  <c r="O193" i="12"/>
  <c r="N193" i="12"/>
  <c r="V193" i="12" s="1"/>
  <c r="T192" i="12"/>
  <c r="S192" i="12"/>
  <c r="R192" i="12"/>
  <c r="X192" i="12" s="1"/>
  <c r="Q192" i="12"/>
  <c r="P192" i="12"/>
  <c r="W192" i="12" s="1"/>
  <c r="O192" i="12"/>
  <c r="N192" i="12"/>
  <c r="V192" i="12" s="1"/>
  <c r="T191" i="12"/>
  <c r="S191" i="12"/>
  <c r="R191" i="12"/>
  <c r="X191" i="12" s="1"/>
  <c r="Q191" i="12"/>
  <c r="P191" i="12"/>
  <c r="W191" i="12" s="1"/>
  <c r="O191" i="12"/>
  <c r="N191" i="12"/>
  <c r="V191" i="12" s="1"/>
  <c r="T190" i="12"/>
  <c r="S190" i="12"/>
  <c r="R190" i="12"/>
  <c r="X190" i="12" s="1"/>
  <c r="Q190" i="12"/>
  <c r="P190" i="12"/>
  <c r="W190" i="12" s="1"/>
  <c r="O190" i="12"/>
  <c r="N190" i="12"/>
  <c r="V190" i="12" s="1"/>
  <c r="T189" i="12"/>
  <c r="S189" i="12"/>
  <c r="R189" i="12"/>
  <c r="X189" i="12" s="1"/>
  <c r="Q189" i="12"/>
  <c r="P189" i="12"/>
  <c r="W189" i="12" s="1"/>
  <c r="O189" i="12"/>
  <c r="N189" i="12"/>
  <c r="V189" i="12" s="1"/>
  <c r="T188" i="12"/>
  <c r="S188" i="12"/>
  <c r="R188" i="12"/>
  <c r="X188" i="12" s="1"/>
  <c r="Q188" i="12"/>
  <c r="P188" i="12"/>
  <c r="W188" i="12" s="1"/>
  <c r="O188" i="12"/>
  <c r="N188" i="12"/>
  <c r="V188" i="12" s="1"/>
  <c r="T187" i="12"/>
  <c r="S187" i="12"/>
  <c r="R187" i="12"/>
  <c r="X187" i="12" s="1"/>
  <c r="Q187" i="12"/>
  <c r="P187" i="12"/>
  <c r="W187" i="12" s="1"/>
  <c r="O187" i="12"/>
  <c r="N187" i="12"/>
  <c r="V187" i="12" s="1"/>
  <c r="T186" i="12"/>
  <c r="S186" i="12"/>
  <c r="R186" i="12"/>
  <c r="X186" i="12" s="1"/>
  <c r="Q186" i="12"/>
  <c r="P186" i="12"/>
  <c r="W186" i="12" s="1"/>
  <c r="O186" i="12"/>
  <c r="N186" i="12"/>
  <c r="V186" i="12" s="1"/>
  <c r="T185" i="12"/>
  <c r="S185" i="12"/>
  <c r="R185" i="12"/>
  <c r="X185" i="12" s="1"/>
  <c r="Q185" i="12"/>
  <c r="P185" i="12"/>
  <c r="W185" i="12" s="1"/>
  <c r="O185" i="12"/>
  <c r="N185" i="12"/>
  <c r="V185" i="12" s="1"/>
  <c r="T184" i="12"/>
  <c r="S184" i="12"/>
  <c r="R184" i="12"/>
  <c r="X184" i="12" s="1"/>
  <c r="Q184" i="12"/>
  <c r="P184" i="12"/>
  <c r="W184" i="12" s="1"/>
  <c r="O184" i="12"/>
  <c r="N184" i="12"/>
  <c r="V184" i="12" s="1"/>
  <c r="T183" i="12"/>
  <c r="S183" i="12"/>
  <c r="R183" i="12"/>
  <c r="X183" i="12" s="1"/>
  <c r="Q183" i="12"/>
  <c r="P183" i="12"/>
  <c r="W183" i="12" s="1"/>
  <c r="O183" i="12"/>
  <c r="N183" i="12"/>
  <c r="V183" i="12" s="1"/>
  <c r="T182" i="12"/>
  <c r="S182" i="12"/>
  <c r="R182" i="12"/>
  <c r="X182" i="12" s="1"/>
  <c r="Q182" i="12"/>
  <c r="P182" i="12"/>
  <c r="W182" i="12" s="1"/>
  <c r="O182" i="12"/>
  <c r="N182" i="12"/>
  <c r="V182" i="12" s="1"/>
  <c r="T181" i="12"/>
  <c r="S181" i="12"/>
  <c r="R181" i="12"/>
  <c r="X181" i="12" s="1"/>
  <c r="Q181" i="12"/>
  <c r="P181" i="12"/>
  <c r="W181" i="12" s="1"/>
  <c r="O181" i="12"/>
  <c r="N181" i="12"/>
  <c r="V181" i="12" s="1"/>
  <c r="T180" i="12"/>
  <c r="S180" i="12"/>
  <c r="R180" i="12"/>
  <c r="X180" i="12" s="1"/>
  <c r="Q180" i="12"/>
  <c r="P180" i="12"/>
  <c r="W180" i="12" s="1"/>
  <c r="O180" i="12"/>
  <c r="N180" i="12"/>
  <c r="V180" i="12" s="1"/>
  <c r="T179" i="12"/>
  <c r="S179" i="12"/>
  <c r="R179" i="12"/>
  <c r="X179" i="12" s="1"/>
  <c r="Q179" i="12"/>
  <c r="P179" i="12"/>
  <c r="W179" i="12" s="1"/>
  <c r="O179" i="12"/>
  <c r="N179" i="12"/>
  <c r="V179" i="12" s="1"/>
  <c r="T178" i="12"/>
  <c r="S178" i="12"/>
  <c r="R178" i="12"/>
  <c r="X178" i="12" s="1"/>
  <c r="Q178" i="12"/>
  <c r="P178" i="12"/>
  <c r="W178" i="12" s="1"/>
  <c r="O178" i="12"/>
  <c r="N178" i="12"/>
  <c r="V178" i="12" s="1"/>
  <c r="T177" i="12"/>
  <c r="S177" i="12"/>
  <c r="R177" i="12"/>
  <c r="X177" i="12" s="1"/>
  <c r="Q177" i="12"/>
  <c r="P177" i="12"/>
  <c r="W177" i="12" s="1"/>
  <c r="O177" i="12"/>
  <c r="N177" i="12"/>
  <c r="V177" i="12" s="1"/>
  <c r="T176" i="12"/>
  <c r="S176" i="12"/>
  <c r="R176" i="12"/>
  <c r="X176" i="12" s="1"/>
  <c r="Q176" i="12"/>
  <c r="P176" i="12"/>
  <c r="W176" i="12" s="1"/>
  <c r="O176" i="12"/>
  <c r="N176" i="12"/>
  <c r="V176" i="12" s="1"/>
  <c r="T175" i="12"/>
  <c r="S175" i="12"/>
  <c r="R175" i="12"/>
  <c r="X175" i="12" s="1"/>
  <c r="Q175" i="12"/>
  <c r="P175" i="12"/>
  <c r="W175" i="12" s="1"/>
  <c r="O175" i="12"/>
  <c r="N175" i="12"/>
  <c r="V175" i="12" s="1"/>
  <c r="T174" i="12"/>
  <c r="S174" i="12"/>
  <c r="R174" i="12"/>
  <c r="X174" i="12" s="1"/>
  <c r="Q174" i="12"/>
  <c r="P174" i="12"/>
  <c r="W174" i="12" s="1"/>
  <c r="O174" i="12"/>
  <c r="N174" i="12"/>
  <c r="V174" i="12" s="1"/>
  <c r="T173" i="12"/>
  <c r="S173" i="12"/>
  <c r="R173" i="12"/>
  <c r="X173" i="12" s="1"/>
  <c r="Q173" i="12"/>
  <c r="P173" i="12"/>
  <c r="W173" i="12" s="1"/>
  <c r="O173" i="12"/>
  <c r="N173" i="12"/>
  <c r="V173" i="12" s="1"/>
  <c r="T172" i="12"/>
  <c r="S172" i="12"/>
  <c r="R172" i="12"/>
  <c r="X172" i="12" s="1"/>
  <c r="Q172" i="12"/>
  <c r="P172" i="12"/>
  <c r="W172" i="12" s="1"/>
  <c r="O172" i="12"/>
  <c r="N172" i="12"/>
  <c r="V172" i="12" s="1"/>
  <c r="T171" i="12"/>
  <c r="S171" i="12"/>
  <c r="R171" i="12"/>
  <c r="X171" i="12" s="1"/>
  <c r="Q171" i="12"/>
  <c r="P171" i="12"/>
  <c r="W171" i="12" s="1"/>
  <c r="O171" i="12"/>
  <c r="N171" i="12"/>
  <c r="V171" i="12" s="1"/>
  <c r="T170" i="12"/>
  <c r="S170" i="12"/>
  <c r="R170" i="12"/>
  <c r="X170" i="12" s="1"/>
  <c r="Q170" i="12"/>
  <c r="P170" i="12"/>
  <c r="W170" i="12" s="1"/>
  <c r="O170" i="12"/>
  <c r="N170" i="12"/>
  <c r="V170" i="12" s="1"/>
  <c r="T169" i="12"/>
  <c r="S169" i="12"/>
  <c r="R169" i="12"/>
  <c r="X169" i="12" s="1"/>
  <c r="Q169" i="12"/>
  <c r="P169" i="12"/>
  <c r="W169" i="12" s="1"/>
  <c r="O169" i="12"/>
  <c r="N169" i="12"/>
  <c r="V169" i="12" s="1"/>
  <c r="T168" i="12"/>
  <c r="S168" i="12"/>
  <c r="R168" i="12"/>
  <c r="X168" i="12" s="1"/>
  <c r="Q168" i="12"/>
  <c r="P168" i="12"/>
  <c r="W168" i="12" s="1"/>
  <c r="O168" i="12"/>
  <c r="N168" i="12"/>
  <c r="V168" i="12" s="1"/>
  <c r="T167" i="12"/>
  <c r="S167" i="12"/>
  <c r="R167" i="12"/>
  <c r="X167" i="12" s="1"/>
  <c r="Q167" i="12"/>
  <c r="P167" i="12"/>
  <c r="W167" i="12" s="1"/>
  <c r="O167" i="12"/>
  <c r="N167" i="12"/>
  <c r="V167" i="12" s="1"/>
  <c r="T166" i="12"/>
  <c r="S166" i="12"/>
  <c r="R166" i="12"/>
  <c r="X166" i="12" s="1"/>
  <c r="Q166" i="12"/>
  <c r="P166" i="12"/>
  <c r="W166" i="12" s="1"/>
  <c r="O166" i="12"/>
  <c r="N166" i="12"/>
  <c r="V166" i="12" s="1"/>
  <c r="T165" i="12"/>
  <c r="S165" i="12"/>
  <c r="R165" i="12"/>
  <c r="X165" i="12" s="1"/>
  <c r="Q165" i="12"/>
  <c r="P165" i="12"/>
  <c r="W165" i="12" s="1"/>
  <c r="O165" i="12"/>
  <c r="N165" i="12"/>
  <c r="V165" i="12" s="1"/>
  <c r="T164" i="12"/>
  <c r="S164" i="12"/>
  <c r="R164" i="12"/>
  <c r="X164" i="12" s="1"/>
  <c r="Q164" i="12"/>
  <c r="P164" i="12"/>
  <c r="W164" i="12" s="1"/>
  <c r="O164" i="12"/>
  <c r="N164" i="12"/>
  <c r="V164" i="12" s="1"/>
  <c r="T163" i="12"/>
  <c r="S163" i="12"/>
  <c r="R163" i="12"/>
  <c r="X163" i="12" s="1"/>
  <c r="Q163" i="12"/>
  <c r="P163" i="12"/>
  <c r="W163" i="12" s="1"/>
  <c r="O163" i="12"/>
  <c r="N163" i="12"/>
  <c r="V163" i="12" s="1"/>
  <c r="T162" i="12"/>
  <c r="S162" i="12"/>
  <c r="R162" i="12"/>
  <c r="X162" i="12" s="1"/>
  <c r="Q162" i="12"/>
  <c r="P162" i="12"/>
  <c r="W162" i="12" s="1"/>
  <c r="O162" i="12"/>
  <c r="N162" i="12"/>
  <c r="V162" i="12" s="1"/>
  <c r="T161" i="12"/>
  <c r="S161" i="12"/>
  <c r="R161" i="12"/>
  <c r="X161" i="12" s="1"/>
  <c r="Q161" i="12"/>
  <c r="P161" i="12"/>
  <c r="W161" i="12" s="1"/>
  <c r="O161" i="12"/>
  <c r="N161" i="12"/>
  <c r="V161" i="12" s="1"/>
  <c r="T160" i="12"/>
  <c r="S160" i="12"/>
  <c r="R160" i="12"/>
  <c r="X160" i="12" s="1"/>
  <c r="Q160" i="12"/>
  <c r="P160" i="12"/>
  <c r="W160" i="12" s="1"/>
  <c r="O160" i="12"/>
  <c r="N160" i="12"/>
  <c r="V160" i="12" s="1"/>
  <c r="T159" i="12"/>
  <c r="S159" i="12"/>
  <c r="R159" i="12"/>
  <c r="X159" i="12" s="1"/>
  <c r="Q159" i="12"/>
  <c r="P159" i="12"/>
  <c r="W159" i="12" s="1"/>
  <c r="O159" i="12"/>
  <c r="N159" i="12"/>
  <c r="V159" i="12" s="1"/>
  <c r="T158" i="12"/>
  <c r="S158" i="12"/>
  <c r="R158" i="12"/>
  <c r="X158" i="12" s="1"/>
  <c r="Q158" i="12"/>
  <c r="P158" i="12"/>
  <c r="W158" i="12" s="1"/>
  <c r="O158" i="12"/>
  <c r="N158" i="12"/>
  <c r="V158" i="12" s="1"/>
  <c r="T157" i="12"/>
  <c r="S157" i="12"/>
  <c r="R157" i="12"/>
  <c r="X157" i="12" s="1"/>
  <c r="Q157" i="12"/>
  <c r="P157" i="12"/>
  <c r="W157" i="12" s="1"/>
  <c r="O157" i="12"/>
  <c r="N157" i="12"/>
  <c r="V157" i="12" s="1"/>
  <c r="T156" i="12"/>
  <c r="S156" i="12"/>
  <c r="R156" i="12"/>
  <c r="X156" i="12" s="1"/>
  <c r="Q156" i="12"/>
  <c r="P156" i="12"/>
  <c r="W156" i="12" s="1"/>
  <c r="O156" i="12"/>
  <c r="N156" i="12"/>
  <c r="V156" i="12" s="1"/>
  <c r="T155" i="12"/>
  <c r="S155" i="12"/>
  <c r="R155" i="12"/>
  <c r="X155" i="12" s="1"/>
  <c r="Q155" i="12"/>
  <c r="P155" i="12"/>
  <c r="W155" i="12" s="1"/>
  <c r="O155" i="12"/>
  <c r="N155" i="12"/>
  <c r="V155" i="12" s="1"/>
  <c r="T154" i="12"/>
  <c r="S154" i="12"/>
  <c r="R154" i="12"/>
  <c r="X154" i="12" s="1"/>
  <c r="Q154" i="12"/>
  <c r="P154" i="12"/>
  <c r="W154" i="12" s="1"/>
  <c r="O154" i="12"/>
  <c r="N154" i="12"/>
  <c r="V154" i="12" s="1"/>
  <c r="T153" i="12"/>
  <c r="S153" i="12"/>
  <c r="R153" i="12"/>
  <c r="X153" i="12" s="1"/>
  <c r="Q153" i="12"/>
  <c r="P153" i="12"/>
  <c r="W153" i="12" s="1"/>
  <c r="O153" i="12"/>
  <c r="N153" i="12"/>
  <c r="V153" i="12" s="1"/>
  <c r="T152" i="12"/>
  <c r="S152" i="12"/>
  <c r="R152" i="12"/>
  <c r="X152" i="12" s="1"/>
  <c r="Q152" i="12"/>
  <c r="P152" i="12"/>
  <c r="W152" i="12" s="1"/>
  <c r="O152" i="12"/>
  <c r="N152" i="12"/>
  <c r="V152" i="12" s="1"/>
  <c r="T151" i="12"/>
  <c r="S151" i="12"/>
  <c r="R151" i="12"/>
  <c r="X151" i="12" s="1"/>
  <c r="Q151" i="12"/>
  <c r="P151" i="12"/>
  <c r="W151" i="12" s="1"/>
  <c r="O151" i="12"/>
  <c r="N151" i="12"/>
  <c r="V151" i="12" s="1"/>
  <c r="T150" i="12"/>
  <c r="S150" i="12"/>
  <c r="R150" i="12"/>
  <c r="X150" i="12" s="1"/>
  <c r="Q150" i="12"/>
  <c r="P150" i="12"/>
  <c r="W150" i="12" s="1"/>
  <c r="O150" i="12"/>
  <c r="N150" i="12"/>
  <c r="V150" i="12" s="1"/>
  <c r="T149" i="12"/>
  <c r="S149" i="12"/>
  <c r="R149" i="12"/>
  <c r="X149" i="12" s="1"/>
  <c r="Q149" i="12"/>
  <c r="P149" i="12"/>
  <c r="W149" i="12" s="1"/>
  <c r="O149" i="12"/>
  <c r="N149" i="12"/>
  <c r="V149" i="12" s="1"/>
  <c r="T148" i="12"/>
  <c r="S148" i="12"/>
  <c r="R148" i="12"/>
  <c r="X148" i="12" s="1"/>
  <c r="Q148" i="12"/>
  <c r="P148" i="12"/>
  <c r="W148" i="12" s="1"/>
  <c r="O148" i="12"/>
  <c r="N148" i="12"/>
  <c r="V148" i="12" s="1"/>
  <c r="T147" i="12"/>
  <c r="S147" i="12"/>
  <c r="R147" i="12"/>
  <c r="X147" i="12" s="1"/>
  <c r="Q147" i="12"/>
  <c r="P147" i="12"/>
  <c r="W147" i="12" s="1"/>
  <c r="O147" i="12"/>
  <c r="N147" i="12"/>
  <c r="V147" i="12" s="1"/>
  <c r="T146" i="12"/>
  <c r="S146" i="12"/>
  <c r="R146" i="12"/>
  <c r="X146" i="12" s="1"/>
  <c r="Q146" i="12"/>
  <c r="P146" i="12"/>
  <c r="W146" i="12" s="1"/>
  <c r="O146" i="12"/>
  <c r="N146" i="12"/>
  <c r="V146" i="12" s="1"/>
  <c r="T145" i="12"/>
  <c r="S145" i="12"/>
  <c r="R145" i="12"/>
  <c r="X145" i="12" s="1"/>
  <c r="Q145" i="12"/>
  <c r="P145" i="12"/>
  <c r="W145" i="12" s="1"/>
  <c r="O145" i="12"/>
  <c r="N145" i="12"/>
  <c r="V145" i="12" s="1"/>
  <c r="T144" i="12"/>
  <c r="S144" i="12"/>
  <c r="R144" i="12"/>
  <c r="X144" i="12" s="1"/>
  <c r="Q144" i="12"/>
  <c r="P144" i="12"/>
  <c r="W144" i="12" s="1"/>
  <c r="O144" i="12"/>
  <c r="N144" i="12"/>
  <c r="V144" i="12" s="1"/>
  <c r="T143" i="12"/>
  <c r="S143" i="12"/>
  <c r="R143" i="12"/>
  <c r="X143" i="12" s="1"/>
  <c r="Q143" i="12"/>
  <c r="P143" i="12"/>
  <c r="W143" i="12" s="1"/>
  <c r="O143" i="12"/>
  <c r="N143" i="12"/>
  <c r="V143" i="12" s="1"/>
  <c r="T142" i="12"/>
  <c r="S142" i="12"/>
  <c r="R142" i="12"/>
  <c r="X142" i="12" s="1"/>
  <c r="Q142" i="12"/>
  <c r="P142" i="12"/>
  <c r="W142" i="12" s="1"/>
  <c r="O142" i="12"/>
  <c r="N142" i="12"/>
  <c r="V142" i="12" s="1"/>
  <c r="T141" i="12"/>
  <c r="S141" i="12"/>
  <c r="R141" i="12"/>
  <c r="X141" i="12" s="1"/>
  <c r="Q141" i="12"/>
  <c r="P141" i="12"/>
  <c r="W141" i="12" s="1"/>
  <c r="O141" i="12"/>
  <c r="N141" i="12"/>
  <c r="V141" i="12" s="1"/>
  <c r="T140" i="12"/>
  <c r="S140" i="12"/>
  <c r="R140" i="12"/>
  <c r="X140" i="12" s="1"/>
  <c r="Q140" i="12"/>
  <c r="P140" i="12"/>
  <c r="W140" i="12" s="1"/>
  <c r="O140" i="12"/>
  <c r="N140" i="12"/>
  <c r="V140" i="12" s="1"/>
  <c r="T139" i="12"/>
  <c r="S139" i="12"/>
  <c r="R139" i="12"/>
  <c r="X139" i="12" s="1"/>
  <c r="Q139" i="12"/>
  <c r="P139" i="12"/>
  <c r="W139" i="12" s="1"/>
  <c r="O139" i="12"/>
  <c r="N139" i="12"/>
  <c r="V139" i="12" s="1"/>
  <c r="T138" i="12"/>
  <c r="S138" i="12"/>
  <c r="R138" i="12"/>
  <c r="X138" i="12" s="1"/>
  <c r="Q138" i="12"/>
  <c r="P138" i="12"/>
  <c r="W138" i="12" s="1"/>
  <c r="O138" i="12"/>
  <c r="N138" i="12"/>
  <c r="V138" i="12" s="1"/>
  <c r="T137" i="12"/>
  <c r="S137" i="12"/>
  <c r="R137" i="12"/>
  <c r="X137" i="12" s="1"/>
  <c r="Q137" i="12"/>
  <c r="P137" i="12"/>
  <c r="W137" i="12" s="1"/>
  <c r="O137" i="12"/>
  <c r="N137" i="12"/>
  <c r="V137" i="12" s="1"/>
  <c r="T136" i="12"/>
  <c r="S136" i="12"/>
  <c r="R136" i="12"/>
  <c r="X136" i="12" s="1"/>
  <c r="Q136" i="12"/>
  <c r="P136" i="12"/>
  <c r="W136" i="12" s="1"/>
  <c r="O136" i="12"/>
  <c r="N136" i="12"/>
  <c r="V136" i="12" s="1"/>
  <c r="T135" i="12"/>
  <c r="S135" i="12"/>
  <c r="R135" i="12"/>
  <c r="X135" i="12" s="1"/>
  <c r="Q135" i="12"/>
  <c r="P135" i="12"/>
  <c r="W135" i="12" s="1"/>
  <c r="O135" i="12"/>
  <c r="N135" i="12"/>
  <c r="V135" i="12" s="1"/>
  <c r="T134" i="12"/>
  <c r="S134" i="12"/>
  <c r="R134" i="12"/>
  <c r="X134" i="12" s="1"/>
  <c r="Q134" i="12"/>
  <c r="P134" i="12"/>
  <c r="W134" i="12" s="1"/>
  <c r="O134" i="12"/>
  <c r="N134" i="12"/>
  <c r="V134" i="12" s="1"/>
  <c r="T133" i="12"/>
  <c r="S133" i="12"/>
  <c r="R133" i="12"/>
  <c r="X133" i="12" s="1"/>
  <c r="Q133" i="12"/>
  <c r="P133" i="12"/>
  <c r="W133" i="12" s="1"/>
  <c r="O133" i="12"/>
  <c r="N133" i="12"/>
  <c r="V133" i="12" s="1"/>
  <c r="T132" i="12"/>
  <c r="S132" i="12"/>
  <c r="R132" i="12"/>
  <c r="X132" i="12" s="1"/>
  <c r="Q132" i="12"/>
  <c r="P132" i="12"/>
  <c r="W132" i="12" s="1"/>
  <c r="O132" i="12"/>
  <c r="N132" i="12"/>
  <c r="V132" i="12" s="1"/>
  <c r="T131" i="12"/>
  <c r="S131" i="12"/>
  <c r="R131" i="12"/>
  <c r="X131" i="12" s="1"/>
  <c r="Q131" i="12"/>
  <c r="P131" i="12"/>
  <c r="W131" i="12" s="1"/>
  <c r="O131" i="12"/>
  <c r="N131" i="12"/>
  <c r="V131" i="12" s="1"/>
  <c r="T130" i="12"/>
  <c r="S130" i="12"/>
  <c r="R130" i="12"/>
  <c r="X130" i="12" s="1"/>
  <c r="Q130" i="12"/>
  <c r="P130" i="12"/>
  <c r="W130" i="12" s="1"/>
  <c r="O130" i="12"/>
  <c r="N130" i="12"/>
  <c r="V130" i="12" s="1"/>
  <c r="T129" i="12"/>
  <c r="S129" i="12"/>
  <c r="R129" i="12"/>
  <c r="X129" i="12" s="1"/>
  <c r="Q129" i="12"/>
  <c r="P129" i="12"/>
  <c r="W129" i="12" s="1"/>
  <c r="O129" i="12"/>
  <c r="N129" i="12"/>
  <c r="V129" i="12" s="1"/>
  <c r="T128" i="12"/>
  <c r="S128" i="12"/>
  <c r="R128" i="12"/>
  <c r="X128" i="12" s="1"/>
  <c r="Q128" i="12"/>
  <c r="P128" i="12"/>
  <c r="W128" i="12" s="1"/>
  <c r="O128" i="12"/>
  <c r="N128" i="12"/>
  <c r="V128" i="12" s="1"/>
  <c r="T127" i="12"/>
  <c r="S127" i="12"/>
  <c r="R127" i="12"/>
  <c r="X127" i="12" s="1"/>
  <c r="Q127" i="12"/>
  <c r="P127" i="12"/>
  <c r="W127" i="12" s="1"/>
  <c r="O127" i="12"/>
  <c r="N127" i="12"/>
  <c r="V127" i="12" s="1"/>
  <c r="T126" i="12"/>
  <c r="S126" i="12"/>
  <c r="R126" i="12"/>
  <c r="X126" i="12" s="1"/>
  <c r="Q126" i="12"/>
  <c r="P126" i="12"/>
  <c r="W126" i="12" s="1"/>
  <c r="O126" i="12"/>
  <c r="N126" i="12"/>
  <c r="V126" i="12" s="1"/>
  <c r="T125" i="12"/>
  <c r="S125" i="12"/>
  <c r="R125" i="12"/>
  <c r="X125" i="12" s="1"/>
  <c r="Q125" i="12"/>
  <c r="P125" i="12"/>
  <c r="W125" i="12" s="1"/>
  <c r="O125" i="12"/>
  <c r="N125" i="12"/>
  <c r="V125" i="12" s="1"/>
  <c r="T124" i="12"/>
  <c r="S124" i="12"/>
  <c r="R124" i="12"/>
  <c r="X124" i="12" s="1"/>
  <c r="Q124" i="12"/>
  <c r="P124" i="12"/>
  <c r="W124" i="12" s="1"/>
  <c r="O124" i="12"/>
  <c r="N124" i="12"/>
  <c r="V124" i="12" s="1"/>
  <c r="T123" i="12"/>
  <c r="S123" i="12"/>
  <c r="R123" i="12"/>
  <c r="X123" i="12" s="1"/>
  <c r="Q123" i="12"/>
  <c r="P123" i="12"/>
  <c r="W123" i="12" s="1"/>
  <c r="O123" i="12"/>
  <c r="N123" i="12"/>
  <c r="V123" i="12" s="1"/>
  <c r="T122" i="12"/>
  <c r="S122" i="12"/>
  <c r="R122" i="12"/>
  <c r="X122" i="12" s="1"/>
  <c r="Q122" i="12"/>
  <c r="P122" i="12"/>
  <c r="W122" i="12" s="1"/>
  <c r="O122" i="12"/>
  <c r="N122" i="12"/>
  <c r="V122" i="12" s="1"/>
  <c r="T121" i="12"/>
  <c r="S121" i="12"/>
  <c r="R121" i="12"/>
  <c r="X121" i="12" s="1"/>
  <c r="Q121" i="12"/>
  <c r="P121" i="12"/>
  <c r="W121" i="12" s="1"/>
  <c r="O121" i="12"/>
  <c r="N121" i="12"/>
  <c r="V121" i="12" s="1"/>
  <c r="T120" i="12"/>
  <c r="S120" i="12"/>
  <c r="R120" i="12"/>
  <c r="X120" i="12" s="1"/>
  <c r="Q120" i="12"/>
  <c r="P120" i="12"/>
  <c r="W120" i="12" s="1"/>
  <c r="O120" i="12"/>
  <c r="N120" i="12"/>
  <c r="V120" i="12" s="1"/>
  <c r="T119" i="12"/>
  <c r="S119" i="12"/>
  <c r="R119" i="12"/>
  <c r="X119" i="12" s="1"/>
  <c r="Q119" i="12"/>
  <c r="P119" i="12"/>
  <c r="W119" i="12" s="1"/>
  <c r="O119" i="12"/>
  <c r="N119" i="12"/>
  <c r="V119" i="12" s="1"/>
  <c r="T118" i="12"/>
  <c r="S118" i="12"/>
  <c r="R118" i="12"/>
  <c r="X118" i="12" s="1"/>
  <c r="Q118" i="12"/>
  <c r="P118" i="12"/>
  <c r="W118" i="12" s="1"/>
  <c r="O118" i="12"/>
  <c r="N118" i="12"/>
  <c r="V118" i="12" s="1"/>
  <c r="T117" i="12"/>
  <c r="S117" i="12"/>
  <c r="R117" i="12"/>
  <c r="X117" i="12" s="1"/>
  <c r="Q117" i="12"/>
  <c r="P117" i="12"/>
  <c r="W117" i="12" s="1"/>
  <c r="O117" i="12"/>
  <c r="N117" i="12"/>
  <c r="V117" i="12" s="1"/>
  <c r="T116" i="12"/>
  <c r="S116" i="12"/>
  <c r="R116" i="12"/>
  <c r="X116" i="12" s="1"/>
  <c r="Q116" i="12"/>
  <c r="P116" i="12"/>
  <c r="W116" i="12" s="1"/>
  <c r="O116" i="12"/>
  <c r="N116" i="12"/>
  <c r="V116" i="12" s="1"/>
  <c r="T115" i="12"/>
  <c r="S115" i="12"/>
  <c r="R115" i="12"/>
  <c r="X115" i="12" s="1"/>
  <c r="Q115" i="12"/>
  <c r="P115" i="12"/>
  <c r="W115" i="12" s="1"/>
  <c r="O115" i="12"/>
  <c r="N115" i="12"/>
  <c r="V115" i="12" s="1"/>
  <c r="T114" i="12"/>
  <c r="S114" i="12"/>
  <c r="R114" i="12"/>
  <c r="X114" i="12" s="1"/>
  <c r="Q114" i="12"/>
  <c r="P114" i="12"/>
  <c r="W114" i="12" s="1"/>
  <c r="O114" i="12"/>
  <c r="N114" i="12"/>
  <c r="V114" i="12" s="1"/>
  <c r="T113" i="12"/>
  <c r="S113" i="12"/>
  <c r="R113" i="12"/>
  <c r="X113" i="12" s="1"/>
  <c r="Q113" i="12"/>
  <c r="P113" i="12"/>
  <c r="W113" i="12" s="1"/>
  <c r="O113" i="12"/>
  <c r="N113" i="12"/>
  <c r="V113" i="12" s="1"/>
  <c r="T112" i="12"/>
  <c r="S112" i="12"/>
  <c r="R112" i="12"/>
  <c r="X112" i="12" s="1"/>
  <c r="Q112" i="12"/>
  <c r="P112" i="12"/>
  <c r="W112" i="12" s="1"/>
  <c r="O112" i="12"/>
  <c r="N112" i="12"/>
  <c r="V112" i="12" s="1"/>
  <c r="T111" i="12"/>
  <c r="S111" i="12"/>
  <c r="R111" i="12"/>
  <c r="X111" i="12" s="1"/>
  <c r="Q111" i="12"/>
  <c r="P111" i="12"/>
  <c r="W111" i="12" s="1"/>
  <c r="O111" i="12"/>
  <c r="N111" i="12"/>
  <c r="V111" i="12" s="1"/>
  <c r="T110" i="12"/>
  <c r="S110" i="12"/>
  <c r="R110" i="12"/>
  <c r="X110" i="12" s="1"/>
  <c r="Q110" i="12"/>
  <c r="P110" i="12"/>
  <c r="W110" i="12" s="1"/>
  <c r="O110" i="12"/>
  <c r="N110" i="12"/>
  <c r="V110" i="12" s="1"/>
  <c r="T109" i="12"/>
  <c r="S109" i="12"/>
  <c r="R109" i="12"/>
  <c r="X109" i="12" s="1"/>
  <c r="Q109" i="12"/>
  <c r="P109" i="12"/>
  <c r="W109" i="12" s="1"/>
  <c r="O109" i="12"/>
  <c r="N109" i="12"/>
  <c r="V109" i="12" s="1"/>
  <c r="T108" i="12"/>
  <c r="S108" i="12"/>
  <c r="R108" i="12"/>
  <c r="X108" i="12" s="1"/>
  <c r="Q108" i="12"/>
  <c r="P108" i="12"/>
  <c r="W108" i="12" s="1"/>
  <c r="O108" i="12"/>
  <c r="N108" i="12"/>
  <c r="V108" i="12" s="1"/>
  <c r="T107" i="12"/>
  <c r="S107" i="12"/>
  <c r="R107" i="12"/>
  <c r="X107" i="12" s="1"/>
  <c r="Q107" i="12"/>
  <c r="P107" i="12"/>
  <c r="W107" i="12" s="1"/>
  <c r="O107" i="12"/>
  <c r="N107" i="12"/>
  <c r="V107" i="12" s="1"/>
  <c r="T106" i="12"/>
  <c r="S106" i="12"/>
  <c r="R106" i="12"/>
  <c r="X106" i="12" s="1"/>
  <c r="Q106" i="12"/>
  <c r="P106" i="12"/>
  <c r="W106" i="12" s="1"/>
  <c r="O106" i="12"/>
  <c r="N106" i="12"/>
  <c r="V106" i="12" s="1"/>
  <c r="T105" i="12"/>
  <c r="S105" i="12"/>
  <c r="R105" i="12"/>
  <c r="X105" i="12" s="1"/>
  <c r="Q105" i="12"/>
  <c r="P105" i="12"/>
  <c r="W105" i="12" s="1"/>
  <c r="O105" i="12"/>
  <c r="N105" i="12"/>
  <c r="V105" i="12" s="1"/>
  <c r="T104" i="12"/>
  <c r="S104" i="12"/>
  <c r="R104" i="12"/>
  <c r="X104" i="12" s="1"/>
  <c r="Q104" i="12"/>
  <c r="P104" i="12"/>
  <c r="W104" i="12" s="1"/>
  <c r="O104" i="12"/>
  <c r="N104" i="12"/>
  <c r="V104" i="12" s="1"/>
  <c r="T103" i="12"/>
  <c r="S103" i="12"/>
  <c r="R103" i="12"/>
  <c r="X103" i="12" s="1"/>
  <c r="Q103" i="12"/>
  <c r="P103" i="12"/>
  <c r="W103" i="12" s="1"/>
  <c r="O103" i="12"/>
  <c r="N103" i="12"/>
  <c r="V103" i="12" s="1"/>
  <c r="T102" i="12"/>
  <c r="S102" i="12"/>
  <c r="R102" i="12"/>
  <c r="X102" i="12" s="1"/>
  <c r="Q102" i="12"/>
  <c r="P102" i="12"/>
  <c r="W102" i="12" s="1"/>
  <c r="O102" i="12"/>
  <c r="N102" i="12"/>
  <c r="V102" i="12" s="1"/>
  <c r="T101" i="12"/>
  <c r="S101" i="12"/>
  <c r="R101" i="12"/>
  <c r="X101" i="12" s="1"/>
  <c r="Q101" i="12"/>
  <c r="P101" i="12"/>
  <c r="W101" i="12" s="1"/>
  <c r="O101" i="12"/>
  <c r="N101" i="12"/>
  <c r="V101" i="12" s="1"/>
  <c r="T100" i="12"/>
  <c r="S100" i="12"/>
  <c r="R100" i="12"/>
  <c r="X100" i="12" s="1"/>
  <c r="Q100" i="12"/>
  <c r="P100" i="12"/>
  <c r="W100" i="12" s="1"/>
  <c r="O100" i="12"/>
  <c r="N100" i="12"/>
  <c r="V100" i="12" s="1"/>
  <c r="T99" i="12"/>
  <c r="S99" i="12"/>
  <c r="R99" i="12"/>
  <c r="X99" i="12" s="1"/>
  <c r="Q99" i="12"/>
  <c r="P99" i="12"/>
  <c r="W99" i="12" s="1"/>
  <c r="O99" i="12"/>
  <c r="N99" i="12"/>
  <c r="V99" i="12" s="1"/>
  <c r="T98" i="12"/>
  <c r="S98" i="12"/>
  <c r="R98" i="12"/>
  <c r="X98" i="12" s="1"/>
  <c r="Q98" i="12"/>
  <c r="P98" i="12"/>
  <c r="W98" i="12" s="1"/>
  <c r="O98" i="12"/>
  <c r="N98" i="12"/>
  <c r="V98" i="12" s="1"/>
  <c r="T97" i="12"/>
  <c r="S97" i="12"/>
  <c r="R97" i="12"/>
  <c r="X97" i="12" s="1"/>
  <c r="Q97" i="12"/>
  <c r="P97" i="12"/>
  <c r="W97" i="12" s="1"/>
  <c r="O97" i="12"/>
  <c r="N97" i="12"/>
  <c r="V97" i="12" s="1"/>
  <c r="T96" i="12"/>
  <c r="S96" i="12"/>
  <c r="R96" i="12"/>
  <c r="X96" i="12" s="1"/>
  <c r="Q96" i="12"/>
  <c r="P96" i="12"/>
  <c r="W96" i="12" s="1"/>
  <c r="O96" i="12"/>
  <c r="N96" i="12"/>
  <c r="V96" i="12" s="1"/>
  <c r="T95" i="12"/>
  <c r="S95" i="12"/>
  <c r="R95" i="12"/>
  <c r="X95" i="12" s="1"/>
  <c r="Q95" i="12"/>
  <c r="P95" i="12"/>
  <c r="W95" i="12" s="1"/>
  <c r="O95" i="12"/>
  <c r="N95" i="12"/>
  <c r="V95" i="12" s="1"/>
  <c r="T94" i="12"/>
  <c r="S94" i="12"/>
  <c r="R94" i="12"/>
  <c r="X94" i="12" s="1"/>
  <c r="Q94" i="12"/>
  <c r="P94" i="12"/>
  <c r="W94" i="12" s="1"/>
  <c r="O94" i="12"/>
  <c r="N94" i="12"/>
  <c r="V94" i="12" s="1"/>
  <c r="T93" i="12"/>
  <c r="S93" i="12"/>
  <c r="R93" i="12"/>
  <c r="X93" i="12" s="1"/>
  <c r="Q93" i="12"/>
  <c r="P93" i="12"/>
  <c r="W93" i="12" s="1"/>
  <c r="O93" i="12"/>
  <c r="N93" i="12"/>
  <c r="V93" i="12" s="1"/>
  <c r="T92" i="12"/>
  <c r="S92" i="12"/>
  <c r="R92" i="12"/>
  <c r="X92" i="12" s="1"/>
  <c r="Q92" i="12"/>
  <c r="P92" i="12"/>
  <c r="W92" i="12" s="1"/>
  <c r="O92" i="12"/>
  <c r="N92" i="12"/>
  <c r="V92" i="12" s="1"/>
  <c r="T91" i="12"/>
  <c r="S91" i="12"/>
  <c r="R91" i="12"/>
  <c r="X91" i="12" s="1"/>
  <c r="Q91" i="12"/>
  <c r="P91" i="12"/>
  <c r="W91" i="12" s="1"/>
  <c r="O91" i="12"/>
  <c r="N91" i="12"/>
  <c r="V91" i="12" s="1"/>
  <c r="T90" i="12"/>
  <c r="S90" i="12"/>
  <c r="R90" i="12"/>
  <c r="X90" i="12" s="1"/>
  <c r="Q90" i="12"/>
  <c r="P90" i="12"/>
  <c r="W90" i="12" s="1"/>
  <c r="O90" i="12"/>
  <c r="N90" i="12"/>
  <c r="V90" i="12" s="1"/>
  <c r="T89" i="12"/>
  <c r="S89" i="12"/>
  <c r="R89" i="12"/>
  <c r="X89" i="12" s="1"/>
  <c r="Q89" i="12"/>
  <c r="P89" i="12"/>
  <c r="W89" i="12" s="1"/>
  <c r="O89" i="12"/>
  <c r="N89" i="12"/>
  <c r="V89" i="12" s="1"/>
  <c r="T88" i="12"/>
  <c r="S88" i="12"/>
  <c r="R88" i="12"/>
  <c r="X88" i="12" s="1"/>
  <c r="Q88" i="12"/>
  <c r="P88" i="12"/>
  <c r="W88" i="12" s="1"/>
  <c r="O88" i="12"/>
  <c r="N88" i="12"/>
  <c r="V88" i="12" s="1"/>
  <c r="T87" i="12"/>
  <c r="S87" i="12"/>
  <c r="R87" i="12"/>
  <c r="X87" i="12" s="1"/>
  <c r="Q87" i="12"/>
  <c r="P87" i="12"/>
  <c r="W87" i="12" s="1"/>
  <c r="O87" i="12"/>
  <c r="N87" i="12"/>
  <c r="V87" i="12" s="1"/>
  <c r="T86" i="12"/>
  <c r="S86" i="12"/>
  <c r="R86" i="12"/>
  <c r="X86" i="12" s="1"/>
  <c r="Q86" i="12"/>
  <c r="P86" i="12"/>
  <c r="W86" i="12" s="1"/>
  <c r="O86" i="12"/>
  <c r="N86" i="12"/>
  <c r="V86" i="12" s="1"/>
  <c r="T85" i="12"/>
  <c r="S85" i="12"/>
  <c r="R85" i="12"/>
  <c r="X85" i="12" s="1"/>
  <c r="Q85" i="12"/>
  <c r="P85" i="12"/>
  <c r="W85" i="12" s="1"/>
  <c r="O85" i="12"/>
  <c r="N85" i="12"/>
  <c r="V85" i="12" s="1"/>
  <c r="T84" i="12"/>
  <c r="S84" i="12"/>
  <c r="R84" i="12"/>
  <c r="X84" i="12" s="1"/>
  <c r="Q84" i="12"/>
  <c r="P84" i="12"/>
  <c r="W84" i="12" s="1"/>
  <c r="O84" i="12"/>
  <c r="N84" i="12"/>
  <c r="V84" i="12" s="1"/>
  <c r="T83" i="12"/>
  <c r="S83" i="12"/>
  <c r="R83" i="12"/>
  <c r="X83" i="12" s="1"/>
  <c r="Q83" i="12"/>
  <c r="P83" i="12"/>
  <c r="W83" i="12" s="1"/>
  <c r="O83" i="12"/>
  <c r="N83" i="12"/>
  <c r="V83" i="12" s="1"/>
  <c r="T82" i="12"/>
  <c r="S82" i="12"/>
  <c r="R82" i="12"/>
  <c r="X82" i="12" s="1"/>
  <c r="Q82" i="12"/>
  <c r="P82" i="12"/>
  <c r="W82" i="12" s="1"/>
  <c r="O82" i="12"/>
  <c r="N82" i="12"/>
  <c r="V82" i="12" s="1"/>
  <c r="T81" i="12"/>
  <c r="S81" i="12"/>
  <c r="R81" i="12"/>
  <c r="X81" i="12" s="1"/>
  <c r="Q81" i="12"/>
  <c r="P81" i="12"/>
  <c r="W81" i="12" s="1"/>
  <c r="O81" i="12"/>
  <c r="N81" i="12"/>
  <c r="V81" i="12" s="1"/>
  <c r="T80" i="12"/>
  <c r="S80" i="12"/>
  <c r="R80" i="12"/>
  <c r="X80" i="12" s="1"/>
  <c r="Q80" i="12"/>
  <c r="P80" i="12"/>
  <c r="W80" i="12" s="1"/>
  <c r="O80" i="12"/>
  <c r="N80" i="12"/>
  <c r="V80" i="12" s="1"/>
  <c r="T79" i="12"/>
  <c r="S79" i="12"/>
  <c r="R79" i="12"/>
  <c r="X79" i="12" s="1"/>
  <c r="Q79" i="12"/>
  <c r="P79" i="12"/>
  <c r="W79" i="12" s="1"/>
  <c r="O79" i="12"/>
  <c r="N79" i="12"/>
  <c r="V79" i="12" s="1"/>
  <c r="T78" i="12"/>
  <c r="S78" i="12"/>
  <c r="R78" i="12"/>
  <c r="X78" i="12" s="1"/>
  <c r="Q78" i="12"/>
  <c r="P78" i="12"/>
  <c r="W78" i="12" s="1"/>
  <c r="O78" i="12"/>
  <c r="N78" i="12"/>
  <c r="V78" i="12" s="1"/>
  <c r="T77" i="12"/>
  <c r="S77" i="12"/>
  <c r="R77" i="12"/>
  <c r="X77" i="12" s="1"/>
  <c r="Q77" i="12"/>
  <c r="P77" i="12"/>
  <c r="W77" i="12" s="1"/>
  <c r="O77" i="12"/>
  <c r="N77" i="12"/>
  <c r="V77" i="12" s="1"/>
  <c r="T76" i="12"/>
  <c r="S76" i="12"/>
  <c r="R76" i="12"/>
  <c r="X76" i="12" s="1"/>
  <c r="Q76" i="12"/>
  <c r="P76" i="12"/>
  <c r="W76" i="12" s="1"/>
  <c r="O76" i="12"/>
  <c r="N76" i="12"/>
  <c r="V76" i="12" s="1"/>
  <c r="T75" i="12"/>
  <c r="S75" i="12"/>
  <c r="R75" i="12"/>
  <c r="X75" i="12" s="1"/>
  <c r="Q75" i="12"/>
  <c r="P75" i="12"/>
  <c r="W75" i="12" s="1"/>
  <c r="O75" i="12"/>
  <c r="N75" i="12"/>
  <c r="V75" i="12" s="1"/>
  <c r="T74" i="12"/>
  <c r="S74" i="12"/>
  <c r="R74" i="12"/>
  <c r="X74" i="12" s="1"/>
  <c r="Q74" i="12"/>
  <c r="P74" i="12"/>
  <c r="W74" i="12" s="1"/>
  <c r="O74" i="12"/>
  <c r="N74" i="12"/>
  <c r="V74" i="12" s="1"/>
  <c r="T73" i="12"/>
  <c r="S73" i="12"/>
  <c r="R73" i="12"/>
  <c r="X73" i="12" s="1"/>
  <c r="Q73" i="12"/>
  <c r="P73" i="12"/>
  <c r="W73" i="12" s="1"/>
  <c r="O73" i="12"/>
  <c r="N73" i="12"/>
  <c r="V73" i="12" s="1"/>
  <c r="T72" i="12"/>
  <c r="S72" i="12"/>
  <c r="R72" i="12"/>
  <c r="X72" i="12" s="1"/>
  <c r="Q72" i="12"/>
  <c r="P72" i="12"/>
  <c r="W72" i="12" s="1"/>
  <c r="O72" i="12"/>
  <c r="N72" i="12"/>
  <c r="V72" i="12" s="1"/>
  <c r="T71" i="12"/>
  <c r="S71" i="12"/>
  <c r="R71" i="12"/>
  <c r="X71" i="12" s="1"/>
  <c r="Q71" i="12"/>
  <c r="P71" i="12"/>
  <c r="W71" i="12" s="1"/>
  <c r="O71" i="12"/>
  <c r="N71" i="12"/>
  <c r="V71" i="12" s="1"/>
  <c r="T70" i="12"/>
  <c r="S70" i="12"/>
  <c r="R70" i="12"/>
  <c r="X70" i="12" s="1"/>
  <c r="Q70" i="12"/>
  <c r="P70" i="12"/>
  <c r="W70" i="12" s="1"/>
  <c r="O70" i="12"/>
  <c r="N70" i="12"/>
  <c r="V70" i="12" s="1"/>
  <c r="T69" i="12"/>
  <c r="S69" i="12"/>
  <c r="R69" i="12"/>
  <c r="X69" i="12" s="1"/>
  <c r="Q69" i="12"/>
  <c r="P69" i="12"/>
  <c r="W69" i="12" s="1"/>
  <c r="O69" i="12"/>
  <c r="N69" i="12"/>
  <c r="V69" i="12" s="1"/>
  <c r="T68" i="12"/>
  <c r="S68" i="12"/>
  <c r="R68" i="12"/>
  <c r="X68" i="12" s="1"/>
  <c r="Q68" i="12"/>
  <c r="P68" i="12"/>
  <c r="W68" i="12" s="1"/>
  <c r="O68" i="12"/>
  <c r="N68" i="12"/>
  <c r="V68" i="12" s="1"/>
  <c r="T67" i="12"/>
  <c r="S67" i="12"/>
  <c r="R67" i="12"/>
  <c r="X67" i="12" s="1"/>
  <c r="Q67" i="12"/>
  <c r="P67" i="12"/>
  <c r="W67" i="12" s="1"/>
  <c r="O67" i="12"/>
  <c r="N67" i="12"/>
  <c r="V67" i="12" s="1"/>
  <c r="T66" i="12"/>
  <c r="S66" i="12"/>
  <c r="R66" i="12"/>
  <c r="X66" i="12" s="1"/>
  <c r="Q66" i="12"/>
  <c r="P66" i="12"/>
  <c r="W66" i="12" s="1"/>
  <c r="O66" i="12"/>
  <c r="N66" i="12"/>
  <c r="V66" i="12" s="1"/>
  <c r="T65" i="12"/>
  <c r="S65" i="12"/>
  <c r="R65" i="12"/>
  <c r="X65" i="12" s="1"/>
  <c r="Q65" i="12"/>
  <c r="P65" i="12"/>
  <c r="W65" i="12" s="1"/>
  <c r="O65" i="12"/>
  <c r="N65" i="12"/>
  <c r="V65" i="12" s="1"/>
  <c r="T64" i="12"/>
  <c r="S64" i="12"/>
  <c r="R64" i="12"/>
  <c r="X64" i="12" s="1"/>
  <c r="Q64" i="12"/>
  <c r="P64" i="12"/>
  <c r="W64" i="12" s="1"/>
  <c r="O64" i="12"/>
  <c r="N64" i="12"/>
  <c r="V64" i="12" s="1"/>
  <c r="T63" i="12"/>
  <c r="S63" i="12"/>
  <c r="R63" i="12"/>
  <c r="X63" i="12" s="1"/>
  <c r="Q63" i="12"/>
  <c r="P63" i="12"/>
  <c r="W63" i="12" s="1"/>
  <c r="O63" i="12"/>
  <c r="N63" i="12"/>
  <c r="V63" i="12" s="1"/>
  <c r="T62" i="12"/>
  <c r="S62" i="12"/>
  <c r="R62" i="12"/>
  <c r="X62" i="12" s="1"/>
  <c r="Q62" i="12"/>
  <c r="P62" i="12"/>
  <c r="W62" i="12" s="1"/>
  <c r="O62" i="12"/>
  <c r="N62" i="12"/>
  <c r="V62" i="12" s="1"/>
  <c r="M62" i="12"/>
  <c r="Y62" i="12" s="1"/>
  <c r="M502" i="12"/>
  <c r="M501" i="12"/>
  <c r="M500" i="12"/>
  <c r="M499" i="12"/>
  <c r="M498" i="12"/>
  <c r="M497" i="12"/>
  <c r="M496" i="12"/>
  <c r="M495" i="12"/>
  <c r="M494" i="12"/>
  <c r="M493" i="12"/>
  <c r="Y493" i="12" s="1"/>
  <c r="M492" i="12"/>
  <c r="Y492" i="12" s="1"/>
  <c r="M491" i="12"/>
  <c r="Y491" i="12" s="1"/>
  <c r="M490" i="12"/>
  <c r="Y490" i="12" s="1"/>
  <c r="M489" i="12"/>
  <c r="Y489" i="12" s="1"/>
  <c r="M488" i="12"/>
  <c r="Y488" i="12" s="1"/>
  <c r="M487" i="12"/>
  <c r="Y487" i="12" s="1"/>
  <c r="M486" i="12"/>
  <c r="Y486" i="12" s="1"/>
  <c r="M485" i="12"/>
  <c r="Y485" i="12" s="1"/>
  <c r="M484" i="12"/>
  <c r="Y484" i="12" s="1"/>
  <c r="M483" i="12"/>
  <c r="Y483" i="12" s="1"/>
  <c r="M482" i="12"/>
  <c r="Y482" i="12" s="1"/>
  <c r="M481" i="12"/>
  <c r="Y481" i="12" s="1"/>
  <c r="M480" i="12"/>
  <c r="Y480" i="12" s="1"/>
  <c r="M479" i="12"/>
  <c r="Y479" i="12" s="1"/>
  <c r="M478" i="12"/>
  <c r="Y478" i="12" s="1"/>
  <c r="M477" i="12"/>
  <c r="Y477" i="12" s="1"/>
  <c r="M476" i="12"/>
  <c r="Y476" i="12" s="1"/>
  <c r="M475" i="12"/>
  <c r="Y475" i="12" s="1"/>
  <c r="M474" i="12"/>
  <c r="Y474" i="12" s="1"/>
  <c r="M473" i="12"/>
  <c r="Y473" i="12" s="1"/>
  <c r="M472" i="12"/>
  <c r="Y472" i="12" s="1"/>
  <c r="M471" i="12"/>
  <c r="Y471" i="12" s="1"/>
  <c r="M470" i="12"/>
  <c r="Y470" i="12" s="1"/>
  <c r="M469" i="12"/>
  <c r="Y469" i="12" s="1"/>
  <c r="M468" i="12"/>
  <c r="Y468" i="12" s="1"/>
  <c r="M467" i="12"/>
  <c r="Y467" i="12" s="1"/>
  <c r="M466" i="12"/>
  <c r="Y466" i="12" s="1"/>
  <c r="M465" i="12"/>
  <c r="Y465" i="12" s="1"/>
  <c r="M464" i="12"/>
  <c r="Y464" i="12" s="1"/>
  <c r="M463" i="12"/>
  <c r="Y463" i="12" s="1"/>
  <c r="M462" i="12"/>
  <c r="Y462" i="12" s="1"/>
  <c r="M461" i="12"/>
  <c r="Y461" i="12" s="1"/>
  <c r="M460" i="12"/>
  <c r="Y460" i="12" s="1"/>
  <c r="M459" i="12"/>
  <c r="Y459" i="12" s="1"/>
  <c r="M458" i="12"/>
  <c r="Y458" i="12" s="1"/>
  <c r="M457" i="12"/>
  <c r="Y457" i="12" s="1"/>
  <c r="M456" i="12"/>
  <c r="Y456" i="12" s="1"/>
  <c r="M455" i="12"/>
  <c r="Y455" i="12" s="1"/>
  <c r="M454" i="12"/>
  <c r="Y454" i="12" s="1"/>
  <c r="M453" i="12"/>
  <c r="Y453" i="12" s="1"/>
  <c r="M452" i="12"/>
  <c r="Y452" i="12" s="1"/>
  <c r="M451" i="12"/>
  <c r="Y451" i="12" s="1"/>
  <c r="M450" i="12"/>
  <c r="Y450" i="12" s="1"/>
  <c r="M449" i="12"/>
  <c r="Y449" i="12" s="1"/>
  <c r="M448" i="12"/>
  <c r="Y448" i="12" s="1"/>
  <c r="M447" i="12"/>
  <c r="Y447" i="12" s="1"/>
  <c r="M446" i="12"/>
  <c r="Y446" i="12" s="1"/>
  <c r="M445" i="12"/>
  <c r="Y445" i="12" s="1"/>
  <c r="M444" i="12"/>
  <c r="Y444" i="12" s="1"/>
  <c r="M443" i="12"/>
  <c r="Y443" i="12" s="1"/>
  <c r="M442" i="12"/>
  <c r="Y442" i="12" s="1"/>
  <c r="M441" i="12"/>
  <c r="Y441" i="12" s="1"/>
  <c r="M440" i="12"/>
  <c r="Y440" i="12" s="1"/>
  <c r="M439" i="12"/>
  <c r="Y439" i="12" s="1"/>
  <c r="M438" i="12"/>
  <c r="Y438" i="12" s="1"/>
  <c r="M437" i="12"/>
  <c r="Y437" i="12" s="1"/>
  <c r="M436" i="12"/>
  <c r="Y436" i="12" s="1"/>
  <c r="M435" i="12"/>
  <c r="Y435" i="12" s="1"/>
  <c r="M434" i="12"/>
  <c r="Y434" i="12" s="1"/>
  <c r="M433" i="12"/>
  <c r="Y433" i="12" s="1"/>
  <c r="M432" i="12"/>
  <c r="Y432" i="12" s="1"/>
  <c r="M431" i="12"/>
  <c r="Y431" i="12" s="1"/>
  <c r="M430" i="12"/>
  <c r="Y430" i="12" s="1"/>
  <c r="M429" i="12"/>
  <c r="Y429" i="12" s="1"/>
  <c r="M428" i="12"/>
  <c r="Y428" i="12" s="1"/>
  <c r="M427" i="12"/>
  <c r="Y427" i="12" s="1"/>
  <c r="M426" i="12"/>
  <c r="Y426" i="12" s="1"/>
  <c r="M425" i="12"/>
  <c r="Y425" i="12" s="1"/>
  <c r="M424" i="12"/>
  <c r="Y424" i="12" s="1"/>
  <c r="M423" i="12"/>
  <c r="Y423" i="12" s="1"/>
  <c r="M422" i="12"/>
  <c r="Y422" i="12" s="1"/>
  <c r="M421" i="12"/>
  <c r="Y421" i="12" s="1"/>
  <c r="M420" i="12"/>
  <c r="Y420" i="12" s="1"/>
  <c r="M419" i="12"/>
  <c r="Y419" i="12" s="1"/>
  <c r="M418" i="12"/>
  <c r="Y418" i="12" s="1"/>
  <c r="M417" i="12"/>
  <c r="Y417" i="12" s="1"/>
  <c r="M416" i="12"/>
  <c r="Y416" i="12" s="1"/>
  <c r="M415" i="12"/>
  <c r="Y415" i="12" s="1"/>
  <c r="M414" i="12"/>
  <c r="Y414" i="12" s="1"/>
  <c r="M413" i="12"/>
  <c r="Y413" i="12" s="1"/>
  <c r="M412" i="12"/>
  <c r="Y412" i="12" s="1"/>
  <c r="M411" i="12"/>
  <c r="Y411" i="12" s="1"/>
  <c r="M410" i="12"/>
  <c r="Y410" i="12" s="1"/>
  <c r="M409" i="12"/>
  <c r="Y409" i="12" s="1"/>
  <c r="M408" i="12"/>
  <c r="Y408" i="12" s="1"/>
  <c r="M407" i="12"/>
  <c r="Y407" i="12" s="1"/>
  <c r="M406" i="12"/>
  <c r="Y406" i="12" s="1"/>
  <c r="M405" i="12"/>
  <c r="Y405" i="12" s="1"/>
  <c r="M404" i="12"/>
  <c r="Y404" i="12" s="1"/>
  <c r="M403" i="12"/>
  <c r="Y403" i="12" s="1"/>
  <c r="M402" i="12"/>
  <c r="Y402" i="12" s="1"/>
  <c r="M401" i="12"/>
  <c r="Y401" i="12" s="1"/>
  <c r="M400" i="12"/>
  <c r="Y400" i="12" s="1"/>
  <c r="M399" i="12"/>
  <c r="Y399" i="12" s="1"/>
  <c r="M398" i="12"/>
  <c r="Y398" i="12" s="1"/>
  <c r="M397" i="12"/>
  <c r="Y397" i="12" s="1"/>
  <c r="M396" i="12"/>
  <c r="Y396" i="12" s="1"/>
  <c r="M395" i="12"/>
  <c r="Y395" i="12" s="1"/>
  <c r="M394" i="12"/>
  <c r="Y394" i="12" s="1"/>
  <c r="M393" i="12"/>
  <c r="Y393" i="12" s="1"/>
  <c r="M392" i="12"/>
  <c r="Y392" i="12" s="1"/>
  <c r="M391" i="12"/>
  <c r="Y391" i="12" s="1"/>
  <c r="M390" i="12"/>
  <c r="Y390" i="12" s="1"/>
  <c r="M389" i="12"/>
  <c r="Y389" i="12" s="1"/>
  <c r="M388" i="12"/>
  <c r="Y388" i="12" s="1"/>
  <c r="M387" i="12"/>
  <c r="Y387" i="12" s="1"/>
  <c r="M386" i="12"/>
  <c r="Y386" i="12" s="1"/>
  <c r="M385" i="12"/>
  <c r="Y385" i="12" s="1"/>
  <c r="M384" i="12"/>
  <c r="Y384" i="12" s="1"/>
  <c r="M383" i="12"/>
  <c r="Y383" i="12" s="1"/>
  <c r="M382" i="12"/>
  <c r="Y382" i="12" s="1"/>
  <c r="M381" i="12"/>
  <c r="Y381" i="12" s="1"/>
  <c r="M380" i="12"/>
  <c r="Y380" i="12" s="1"/>
  <c r="M379" i="12"/>
  <c r="Y379" i="12" s="1"/>
  <c r="M378" i="12"/>
  <c r="Y378" i="12" s="1"/>
  <c r="M377" i="12"/>
  <c r="Y377" i="12" s="1"/>
  <c r="M376" i="12"/>
  <c r="Y376" i="12" s="1"/>
  <c r="M375" i="12"/>
  <c r="Y375" i="12" s="1"/>
  <c r="M374" i="12"/>
  <c r="Y374" i="12" s="1"/>
  <c r="M373" i="12"/>
  <c r="Y373" i="12" s="1"/>
  <c r="M372" i="12"/>
  <c r="Y372" i="12" s="1"/>
  <c r="M371" i="12"/>
  <c r="Y371" i="12" s="1"/>
  <c r="M370" i="12"/>
  <c r="Y370" i="12" s="1"/>
  <c r="M369" i="12"/>
  <c r="Y369" i="12" s="1"/>
  <c r="M368" i="12"/>
  <c r="Y368" i="12" s="1"/>
  <c r="M367" i="12"/>
  <c r="Y367" i="12" s="1"/>
  <c r="M366" i="12"/>
  <c r="Y366" i="12" s="1"/>
  <c r="M365" i="12"/>
  <c r="Y365" i="12" s="1"/>
  <c r="M364" i="12"/>
  <c r="Y364" i="12" s="1"/>
  <c r="M363" i="12"/>
  <c r="Y363" i="12" s="1"/>
  <c r="M362" i="12"/>
  <c r="Y362" i="12" s="1"/>
  <c r="M361" i="12"/>
  <c r="Y361" i="12" s="1"/>
  <c r="M360" i="12"/>
  <c r="Y360" i="12" s="1"/>
  <c r="M359" i="12"/>
  <c r="Y359" i="12" s="1"/>
  <c r="M358" i="12"/>
  <c r="Y358" i="12" s="1"/>
  <c r="M357" i="12"/>
  <c r="Y357" i="12" s="1"/>
  <c r="M356" i="12"/>
  <c r="Y356" i="12" s="1"/>
  <c r="M355" i="12"/>
  <c r="Y355" i="12" s="1"/>
  <c r="M354" i="12"/>
  <c r="Y354" i="12" s="1"/>
  <c r="M353" i="12"/>
  <c r="Y353" i="12" s="1"/>
  <c r="M352" i="12"/>
  <c r="Y352" i="12" s="1"/>
  <c r="M351" i="12"/>
  <c r="Y351" i="12" s="1"/>
  <c r="M350" i="12"/>
  <c r="Y350" i="12" s="1"/>
  <c r="M349" i="12"/>
  <c r="Y349" i="12" s="1"/>
  <c r="M348" i="12"/>
  <c r="Y348" i="12" s="1"/>
  <c r="M347" i="12"/>
  <c r="Y347" i="12" s="1"/>
  <c r="M346" i="12"/>
  <c r="M345" i="12"/>
  <c r="M344" i="12"/>
  <c r="M343" i="12"/>
  <c r="M342" i="12"/>
  <c r="M341" i="12"/>
  <c r="M340" i="12"/>
  <c r="M339" i="12"/>
  <c r="M338" i="12"/>
  <c r="M337" i="12"/>
  <c r="M336" i="12"/>
  <c r="M335" i="12"/>
  <c r="Y335" i="12" s="1"/>
  <c r="M334" i="12"/>
  <c r="M333" i="12"/>
  <c r="M332" i="12"/>
  <c r="M331" i="12"/>
  <c r="M330" i="12"/>
  <c r="M329" i="12"/>
  <c r="M328" i="12"/>
  <c r="M327" i="12"/>
  <c r="M326" i="12"/>
  <c r="M325" i="12"/>
  <c r="M324" i="12"/>
  <c r="M323" i="12"/>
  <c r="Y323" i="12" s="1"/>
  <c r="M322" i="12"/>
  <c r="M321" i="12"/>
  <c r="Y321" i="12" s="1"/>
  <c r="M320" i="12"/>
  <c r="Y320" i="12" s="1"/>
  <c r="M319" i="12"/>
  <c r="Y319" i="12" s="1"/>
  <c r="M318" i="12"/>
  <c r="Y318" i="12" s="1"/>
  <c r="M317" i="12"/>
  <c r="Y317" i="12" s="1"/>
  <c r="M316" i="12"/>
  <c r="Y316" i="12" s="1"/>
  <c r="M315" i="12"/>
  <c r="Y315" i="12" s="1"/>
  <c r="M314" i="12"/>
  <c r="Y314" i="12" s="1"/>
  <c r="M313" i="12"/>
  <c r="Y313" i="12" s="1"/>
  <c r="M312" i="12"/>
  <c r="Y312" i="12" s="1"/>
  <c r="M311" i="12"/>
  <c r="Y311" i="12" s="1"/>
  <c r="M310" i="12"/>
  <c r="Y310" i="12" s="1"/>
  <c r="M309" i="12"/>
  <c r="Y309" i="12" s="1"/>
  <c r="M308" i="12"/>
  <c r="Y308" i="12" s="1"/>
  <c r="M307" i="12"/>
  <c r="Y307" i="12" s="1"/>
  <c r="M306" i="12"/>
  <c r="Y306" i="12" s="1"/>
  <c r="M305" i="12"/>
  <c r="Y305" i="12" s="1"/>
  <c r="M304" i="12"/>
  <c r="Y304" i="12" s="1"/>
  <c r="M303" i="12"/>
  <c r="Y303" i="12" s="1"/>
  <c r="M302" i="12"/>
  <c r="Y302" i="12" s="1"/>
  <c r="M301" i="12"/>
  <c r="Y301" i="12" s="1"/>
  <c r="M300" i="12"/>
  <c r="Y300" i="12" s="1"/>
  <c r="M299" i="12"/>
  <c r="Y299" i="12" s="1"/>
  <c r="M298" i="12"/>
  <c r="Y298" i="12" s="1"/>
  <c r="M297" i="12"/>
  <c r="Y297" i="12" s="1"/>
  <c r="M296" i="12"/>
  <c r="Y296" i="12" s="1"/>
  <c r="M295" i="12"/>
  <c r="Y295" i="12" s="1"/>
  <c r="M294" i="12"/>
  <c r="Y294" i="12" s="1"/>
  <c r="M293" i="12"/>
  <c r="Y293" i="12" s="1"/>
  <c r="M292" i="12"/>
  <c r="Y292" i="12" s="1"/>
  <c r="M291" i="12"/>
  <c r="Y291" i="12" s="1"/>
  <c r="M290" i="12"/>
  <c r="Y290" i="12" s="1"/>
  <c r="M289" i="12"/>
  <c r="Y289" i="12" s="1"/>
  <c r="M288" i="12"/>
  <c r="Y288" i="12" s="1"/>
  <c r="M287" i="12"/>
  <c r="Y287" i="12" s="1"/>
  <c r="M286" i="12"/>
  <c r="Y286" i="12" s="1"/>
  <c r="M285" i="12"/>
  <c r="Y285" i="12" s="1"/>
  <c r="M284" i="12"/>
  <c r="Y284" i="12" s="1"/>
  <c r="M283" i="12"/>
  <c r="Y283" i="12" s="1"/>
  <c r="M282" i="12"/>
  <c r="Y282" i="12" s="1"/>
  <c r="M281" i="12"/>
  <c r="Y281" i="12" s="1"/>
  <c r="M280" i="12"/>
  <c r="Y280" i="12" s="1"/>
  <c r="M279" i="12"/>
  <c r="Y279" i="12" s="1"/>
  <c r="M278" i="12"/>
  <c r="Y278" i="12" s="1"/>
  <c r="M277" i="12"/>
  <c r="Y277" i="12" s="1"/>
  <c r="M276" i="12"/>
  <c r="Y276" i="12" s="1"/>
  <c r="M275" i="12"/>
  <c r="Y275" i="12" s="1"/>
  <c r="M274" i="12"/>
  <c r="Y274" i="12" s="1"/>
  <c r="M273" i="12"/>
  <c r="Y273" i="12" s="1"/>
  <c r="M272" i="12"/>
  <c r="Y272" i="12" s="1"/>
  <c r="M271" i="12"/>
  <c r="Y271" i="12" s="1"/>
  <c r="M270" i="12"/>
  <c r="Y270" i="12" s="1"/>
  <c r="M269" i="12"/>
  <c r="Y269" i="12" s="1"/>
  <c r="M268" i="12"/>
  <c r="Y268" i="12" s="1"/>
  <c r="M267" i="12"/>
  <c r="Y267" i="12" s="1"/>
  <c r="M266" i="12"/>
  <c r="Y266" i="12" s="1"/>
  <c r="M265" i="12"/>
  <c r="Y265" i="12" s="1"/>
  <c r="M264" i="12"/>
  <c r="Y264" i="12" s="1"/>
  <c r="M263" i="12"/>
  <c r="Y263" i="12" s="1"/>
  <c r="M262" i="12"/>
  <c r="Y262" i="12" s="1"/>
  <c r="M261" i="12"/>
  <c r="Y261" i="12" s="1"/>
  <c r="M260" i="12"/>
  <c r="Y260" i="12" s="1"/>
  <c r="M259" i="12"/>
  <c r="Y259" i="12" s="1"/>
  <c r="M258" i="12"/>
  <c r="Y258" i="12" s="1"/>
  <c r="M257" i="12"/>
  <c r="Y257" i="12" s="1"/>
  <c r="M256" i="12"/>
  <c r="Y256" i="12" s="1"/>
  <c r="M255" i="12"/>
  <c r="Y255" i="12" s="1"/>
  <c r="M254" i="12"/>
  <c r="Y254" i="12" s="1"/>
  <c r="M253" i="12"/>
  <c r="Y253" i="12" s="1"/>
  <c r="M252" i="12"/>
  <c r="Y252" i="12" s="1"/>
  <c r="M251" i="12"/>
  <c r="Y251" i="12" s="1"/>
  <c r="M250" i="12"/>
  <c r="Y250" i="12" s="1"/>
  <c r="M249" i="12"/>
  <c r="Y249" i="12" s="1"/>
  <c r="M248" i="12"/>
  <c r="Y248" i="12" s="1"/>
  <c r="M247" i="12"/>
  <c r="Y247" i="12" s="1"/>
  <c r="M246" i="12"/>
  <c r="Y246" i="12" s="1"/>
  <c r="M245" i="12"/>
  <c r="Y245" i="12" s="1"/>
  <c r="M244" i="12"/>
  <c r="Y244" i="12" s="1"/>
  <c r="M243" i="12"/>
  <c r="Y243" i="12" s="1"/>
  <c r="M242" i="12"/>
  <c r="Y242" i="12" s="1"/>
  <c r="M241" i="12"/>
  <c r="Y241" i="12" s="1"/>
  <c r="M240" i="12"/>
  <c r="Y240" i="12" s="1"/>
  <c r="M239" i="12"/>
  <c r="Y239" i="12" s="1"/>
  <c r="M238" i="12"/>
  <c r="Y238" i="12" s="1"/>
  <c r="M237" i="12"/>
  <c r="Y237" i="12" s="1"/>
  <c r="M236" i="12"/>
  <c r="Y236" i="12" s="1"/>
  <c r="M235" i="12"/>
  <c r="Y235" i="12" s="1"/>
  <c r="M234" i="12"/>
  <c r="Y234" i="12" s="1"/>
  <c r="M233" i="12"/>
  <c r="Y233" i="12" s="1"/>
  <c r="M232" i="12"/>
  <c r="Y232" i="12" s="1"/>
  <c r="M231" i="12"/>
  <c r="Y231" i="12" s="1"/>
  <c r="M230" i="12"/>
  <c r="Y230" i="12" s="1"/>
  <c r="M229" i="12"/>
  <c r="Y229" i="12" s="1"/>
  <c r="M228" i="12"/>
  <c r="Y228" i="12" s="1"/>
  <c r="M227" i="12"/>
  <c r="Y227" i="12" s="1"/>
  <c r="M226" i="12"/>
  <c r="Y226" i="12" s="1"/>
  <c r="M225" i="12"/>
  <c r="Y225" i="12" s="1"/>
  <c r="M224" i="12"/>
  <c r="Y224" i="12" s="1"/>
  <c r="M223" i="12"/>
  <c r="Y223" i="12" s="1"/>
  <c r="M222" i="12"/>
  <c r="Y222" i="12" s="1"/>
  <c r="M221" i="12"/>
  <c r="Y221" i="12" s="1"/>
  <c r="M220" i="12"/>
  <c r="Y220" i="12" s="1"/>
  <c r="M219" i="12"/>
  <c r="Y219" i="12" s="1"/>
  <c r="M218" i="12"/>
  <c r="Y218" i="12" s="1"/>
  <c r="M217" i="12"/>
  <c r="Y217" i="12" s="1"/>
  <c r="M216" i="12"/>
  <c r="Y216" i="12" s="1"/>
  <c r="M215" i="12"/>
  <c r="Y215" i="12" s="1"/>
  <c r="M214" i="12"/>
  <c r="Y214" i="12" s="1"/>
  <c r="M213" i="12"/>
  <c r="Y213" i="12" s="1"/>
  <c r="M212" i="12"/>
  <c r="Y212" i="12" s="1"/>
  <c r="M211" i="12"/>
  <c r="Y211" i="12" s="1"/>
  <c r="M210" i="12"/>
  <c r="Y210" i="12" s="1"/>
  <c r="M209" i="12"/>
  <c r="Y209" i="12" s="1"/>
  <c r="M208" i="12"/>
  <c r="Y208" i="12" s="1"/>
  <c r="M207" i="12"/>
  <c r="Y207" i="12" s="1"/>
  <c r="M206" i="12"/>
  <c r="Y206" i="12" s="1"/>
  <c r="M205" i="12"/>
  <c r="Y205" i="12" s="1"/>
  <c r="M204" i="12"/>
  <c r="Y204" i="12" s="1"/>
  <c r="M203" i="12"/>
  <c r="Y203" i="12" s="1"/>
  <c r="M202" i="12"/>
  <c r="Y202" i="12" s="1"/>
  <c r="M201" i="12"/>
  <c r="Y201" i="12" s="1"/>
  <c r="M200" i="12"/>
  <c r="Y200" i="12" s="1"/>
  <c r="M199" i="12"/>
  <c r="Y199" i="12" s="1"/>
  <c r="M198" i="12"/>
  <c r="Y198" i="12" s="1"/>
  <c r="M197" i="12"/>
  <c r="Y197" i="12" s="1"/>
  <c r="M196" i="12"/>
  <c r="Y196" i="12" s="1"/>
  <c r="M195" i="12"/>
  <c r="Y195" i="12" s="1"/>
  <c r="M194" i="12"/>
  <c r="Y194" i="12" s="1"/>
  <c r="M193" i="12"/>
  <c r="Y193" i="12" s="1"/>
  <c r="M192" i="12"/>
  <c r="Y192" i="12" s="1"/>
  <c r="M191" i="12"/>
  <c r="Y191" i="12" s="1"/>
  <c r="M190" i="12"/>
  <c r="Y190" i="12" s="1"/>
  <c r="M189" i="12"/>
  <c r="Y189" i="12" s="1"/>
  <c r="M188" i="12"/>
  <c r="Y188" i="12" s="1"/>
  <c r="M187" i="12"/>
  <c r="Y187" i="12" s="1"/>
  <c r="M186" i="12"/>
  <c r="Y186" i="12" s="1"/>
  <c r="M185" i="12"/>
  <c r="Y185" i="12" s="1"/>
  <c r="M184" i="12"/>
  <c r="Y184" i="12" s="1"/>
  <c r="M183" i="12"/>
  <c r="Y183" i="12" s="1"/>
  <c r="M182" i="12"/>
  <c r="Y182" i="12" s="1"/>
  <c r="M181" i="12"/>
  <c r="Y181" i="12" s="1"/>
  <c r="M180" i="12"/>
  <c r="Y180" i="12" s="1"/>
  <c r="M179" i="12"/>
  <c r="Y179" i="12" s="1"/>
  <c r="M178" i="12"/>
  <c r="Y178" i="12" s="1"/>
  <c r="M177" i="12"/>
  <c r="Y177" i="12" s="1"/>
  <c r="M176" i="12"/>
  <c r="Y176" i="12" s="1"/>
  <c r="M175" i="12"/>
  <c r="Y175" i="12" s="1"/>
  <c r="M174" i="12"/>
  <c r="Y174" i="12" s="1"/>
  <c r="M173" i="12"/>
  <c r="Y173" i="12" s="1"/>
  <c r="M172" i="12"/>
  <c r="Y172" i="12" s="1"/>
  <c r="M171" i="12"/>
  <c r="Y171" i="12" s="1"/>
  <c r="M170" i="12"/>
  <c r="Y170" i="12" s="1"/>
  <c r="M169" i="12"/>
  <c r="Y169" i="12" s="1"/>
  <c r="M168" i="12"/>
  <c r="Y168" i="12" s="1"/>
  <c r="M167" i="12"/>
  <c r="Y167" i="12" s="1"/>
  <c r="M166" i="12"/>
  <c r="Y166" i="12" s="1"/>
  <c r="M165" i="12"/>
  <c r="Y165" i="12" s="1"/>
  <c r="M164" i="12"/>
  <c r="Y164" i="12" s="1"/>
  <c r="M163" i="12"/>
  <c r="Y163" i="12" s="1"/>
  <c r="M162" i="12"/>
  <c r="Y162" i="12" s="1"/>
  <c r="M161" i="12"/>
  <c r="Y161" i="12" s="1"/>
  <c r="M160" i="12"/>
  <c r="Y160" i="12" s="1"/>
  <c r="M159" i="12"/>
  <c r="Y159" i="12" s="1"/>
  <c r="M158" i="12"/>
  <c r="Y158" i="12" s="1"/>
  <c r="M157" i="12"/>
  <c r="Y157" i="12" s="1"/>
  <c r="M156" i="12"/>
  <c r="Y156" i="12" s="1"/>
  <c r="M155" i="12"/>
  <c r="Y155" i="12" s="1"/>
  <c r="M154" i="12"/>
  <c r="Y154" i="12" s="1"/>
  <c r="M153" i="12"/>
  <c r="Y153" i="12" s="1"/>
  <c r="M152" i="12"/>
  <c r="Y152" i="12" s="1"/>
  <c r="M151" i="12"/>
  <c r="Y151" i="12" s="1"/>
  <c r="M150" i="12"/>
  <c r="Y150" i="12" s="1"/>
  <c r="M149" i="12"/>
  <c r="Y149" i="12" s="1"/>
  <c r="M148" i="12"/>
  <c r="Y148" i="12" s="1"/>
  <c r="M147" i="12"/>
  <c r="Y147" i="12" s="1"/>
  <c r="M146" i="12"/>
  <c r="Y146" i="12" s="1"/>
  <c r="M145" i="12"/>
  <c r="Y145" i="12" s="1"/>
  <c r="M144" i="12"/>
  <c r="Y144" i="12" s="1"/>
  <c r="M143" i="12"/>
  <c r="Y143" i="12" s="1"/>
  <c r="M142" i="12"/>
  <c r="Y142" i="12" s="1"/>
  <c r="M141" i="12"/>
  <c r="Y141" i="12" s="1"/>
  <c r="M140" i="12"/>
  <c r="Y140" i="12" s="1"/>
  <c r="M139" i="12"/>
  <c r="Y139" i="12" s="1"/>
  <c r="M138" i="12"/>
  <c r="Y138" i="12" s="1"/>
  <c r="M137" i="12"/>
  <c r="Y137" i="12" s="1"/>
  <c r="M136" i="12"/>
  <c r="Y136" i="12" s="1"/>
  <c r="M135" i="12"/>
  <c r="Y135" i="12" s="1"/>
  <c r="M134" i="12"/>
  <c r="Y134" i="12" s="1"/>
  <c r="M133" i="12"/>
  <c r="Y133" i="12" s="1"/>
  <c r="M132" i="12"/>
  <c r="Y132" i="12" s="1"/>
  <c r="M131" i="12"/>
  <c r="Y131" i="12" s="1"/>
  <c r="M130" i="12"/>
  <c r="Y130" i="12" s="1"/>
  <c r="M129" i="12"/>
  <c r="Y129" i="12" s="1"/>
  <c r="M128" i="12"/>
  <c r="Y128" i="12" s="1"/>
  <c r="M127" i="12"/>
  <c r="Y127" i="12" s="1"/>
  <c r="M126" i="12"/>
  <c r="Y126" i="12" s="1"/>
  <c r="M125" i="12"/>
  <c r="Y125" i="12" s="1"/>
  <c r="M124" i="12"/>
  <c r="Y124" i="12" s="1"/>
  <c r="M123" i="12"/>
  <c r="Y123" i="12" s="1"/>
  <c r="M122" i="12"/>
  <c r="Y122" i="12" s="1"/>
  <c r="M121" i="12"/>
  <c r="Y121" i="12" s="1"/>
  <c r="M120" i="12"/>
  <c r="Y120" i="12" s="1"/>
  <c r="M119" i="12"/>
  <c r="Y119" i="12" s="1"/>
  <c r="M118" i="12"/>
  <c r="Y118" i="12" s="1"/>
  <c r="M117" i="12"/>
  <c r="Y117" i="12" s="1"/>
  <c r="M116" i="12"/>
  <c r="Y116" i="12" s="1"/>
  <c r="M115" i="12"/>
  <c r="Y115" i="12" s="1"/>
  <c r="M114" i="12"/>
  <c r="Y114" i="12" s="1"/>
  <c r="M113" i="12"/>
  <c r="Y113" i="12" s="1"/>
  <c r="M112" i="12"/>
  <c r="Y112" i="12" s="1"/>
  <c r="M111" i="12"/>
  <c r="Y111" i="12" s="1"/>
  <c r="M110" i="12"/>
  <c r="Y110" i="12" s="1"/>
  <c r="M109" i="12"/>
  <c r="Y109" i="12" s="1"/>
  <c r="M108" i="12"/>
  <c r="Y108" i="12" s="1"/>
  <c r="M107" i="12"/>
  <c r="Y107" i="12" s="1"/>
  <c r="M106" i="12"/>
  <c r="Y106" i="12" s="1"/>
  <c r="M105" i="12"/>
  <c r="Y105" i="12" s="1"/>
  <c r="M104" i="12"/>
  <c r="Y104" i="12" s="1"/>
  <c r="M103" i="12"/>
  <c r="Y103" i="12" s="1"/>
  <c r="M102" i="12"/>
  <c r="Y102" i="12" s="1"/>
  <c r="M101" i="12"/>
  <c r="Y101" i="12" s="1"/>
  <c r="M100" i="12"/>
  <c r="Y100" i="12" s="1"/>
  <c r="M99" i="12"/>
  <c r="Y99" i="12" s="1"/>
  <c r="M98" i="12"/>
  <c r="Y98" i="12" s="1"/>
  <c r="M97" i="12"/>
  <c r="Y97" i="12" s="1"/>
  <c r="M96" i="12"/>
  <c r="Y96" i="12" s="1"/>
  <c r="M95" i="12"/>
  <c r="Y95" i="12" s="1"/>
  <c r="M94" i="12"/>
  <c r="Y94" i="12" s="1"/>
  <c r="M93" i="12"/>
  <c r="Y93" i="12" s="1"/>
  <c r="M92" i="12"/>
  <c r="Y92" i="12" s="1"/>
  <c r="M91" i="12"/>
  <c r="Y91" i="12" s="1"/>
  <c r="M90" i="12"/>
  <c r="Y90" i="12" s="1"/>
  <c r="M89" i="12"/>
  <c r="Y89" i="12" s="1"/>
  <c r="M88" i="12"/>
  <c r="Y88" i="12" s="1"/>
  <c r="M87" i="12"/>
  <c r="Y87" i="12" s="1"/>
  <c r="M86" i="12"/>
  <c r="Y86" i="12" s="1"/>
  <c r="M85" i="12"/>
  <c r="Y85" i="12" s="1"/>
  <c r="M84" i="12"/>
  <c r="Y84" i="12" s="1"/>
  <c r="M83" i="12"/>
  <c r="Y83" i="12" s="1"/>
  <c r="M82" i="12"/>
  <c r="Y82" i="12" s="1"/>
  <c r="M81" i="12"/>
  <c r="Y81" i="12" s="1"/>
  <c r="M80" i="12"/>
  <c r="Y80" i="12" s="1"/>
  <c r="M79" i="12"/>
  <c r="Y79" i="12" s="1"/>
  <c r="M78" i="12"/>
  <c r="Y78" i="12" s="1"/>
  <c r="M77" i="12"/>
  <c r="Y77" i="12" s="1"/>
  <c r="M76" i="12"/>
  <c r="Y76" i="12" s="1"/>
  <c r="M75" i="12"/>
  <c r="Y75" i="12" s="1"/>
  <c r="M74" i="12"/>
  <c r="Y74" i="12" s="1"/>
  <c r="M73" i="12"/>
  <c r="Y73" i="12" s="1"/>
  <c r="M72" i="12"/>
  <c r="Y72" i="12" s="1"/>
  <c r="M71" i="12"/>
  <c r="Y71" i="12" s="1"/>
  <c r="M70" i="12"/>
  <c r="Y70" i="12" s="1"/>
  <c r="M69" i="12"/>
  <c r="Y69" i="12" s="1"/>
  <c r="M68" i="12"/>
  <c r="Y68" i="12" s="1"/>
  <c r="M67" i="12"/>
  <c r="Y67" i="12" s="1"/>
  <c r="M66" i="12"/>
  <c r="Y66" i="12" s="1"/>
  <c r="M65" i="12"/>
  <c r="Y65" i="12" s="1"/>
  <c r="M64" i="12"/>
  <c r="Y64" i="12" s="1"/>
  <c r="M63" i="12"/>
  <c r="Y63" i="12" s="1"/>
  <c r="K26" i="13"/>
  <c r="E12" i="13"/>
  <c r="E9" i="13"/>
  <c r="E10" i="13"/>
  <c r="L498" i="12" l="1"/>
  <c r="L500" i="12" l="1"/>
  <c r="L502" i="12" l="1"/>
  <c r="S494" i="12" l="1"/>
  <c r="S496" i="12"/>
  <c r="S498" i="12"/>
  <c r="S500" i="12"/>
  <c r="Q500" i="12" l="1"/>
  <c r="Q494" i="12"/>
  <c r="Q496" i="12"/>
  <c r="Q498" i="12"/>
  <c r="O498" i="12" l="1"/>
  <c r="O500" i="12"/>
  <c r="O494" i="12"/>
  <c r="O496" i="12"/>
  <c r="T494" i="12" l="1"/>
  <c r="T496" i="12"/>
  <c r="T498" i="12"/>
  <c r="T500" i="12"/>
  <c r="T495" i="12" l="1"/>
  <c r="T497" i="12" l="1"/>
  <c r="T499" i="12" l="1"/>
  <c r="T501" i="12" l="1"/>
  <c r="T502" i="12" l="1"/>
  <c r="K505" i="12"/>
  <c r="F4" i="16" l="1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3" i="16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" i="15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3" i="14"/>
  <c r="F4" i="14" l="1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3" i="14"/>
  <c r="G492" i="12" l="1"/>
  <c r="D37" i="12"/>
  <c r="D12" i="12" l="1"/>
  <c r="F12" i="12"/>
  <c r="J12" i="12" l="1"/>
  <c r="H12" i="12"/>
  <c r="D72" i="14"/>
  <c r="D57" i="14"/>
  <c r="D56" i="14"/>
  <c r="D51" i="14"/>
  <c r="D50" i="14"/>
  <c r="D26" i="14"/>
  <c r="D31" i="14"/>
  <c r="D11" i="14"/>
  <c r="D10" i="14"/>
  <c r="D17" i="16"/>
  <c r="D6" i="16"/>
  <c r="D7" i="15"/>
  <c r="F110" i="13"/>
  <c r="F105" i="13"/>
  <c r="C12" i="3"/>
  <c r="C9" i="3"/>
  <c r="C10" i="3"/>
  <c r="C11" i="3"/>
  <c r="C8" i="3"/>
  <c r="C7" i="3"/>
  <c r="D35" i="12"/>
  <c r="D34" i="12"/>
  <c r="D42" i="12"/>
  <c r="D41" i="12"/>
  <c r="D33" i="12"/>
  <c r="D32" i="12"/>
  <c r="D43" i="12"/>
  <c r="D13" i="12"/>
  <c r="D11" i="12"/>
  <c r="D10" i="12"/>
  <c r="D462" i="12"/>
  <c r="D43" i="16"/>
  <c r="I485" i="12" s="1"/>
  <c r="J485" i="12" s="1"/>
  <c r="F485" i="12"/>
  <c r="H485" i="12"/>
  <c r="D490" i="12"/>
  <c r="D488" i="12"/>
  <c r="D32" i="15"/>
  <c r="D478" i="12"/>
  <c r="K12" i="12" l="1"/>
  <c r="K485" i="12"/>
  <c r="D423" i="12"/>
  <c r="D414" i="12"/>
  <c r="D417" i="12" s="1"/>
  <c r="D408" i="12"/>
  <c r="D412" i="12" s="1"/>
  <c r="D405" i="12"/>
  <c r="D197" i="12"/>
  <c r="D198" i="12"/>
  <c r="D196" i="12"/>
  <c r="D192" i="12"/>
  <c r="D186" i="12"/>
  <c r="D99" i="13"/>
  <c r="D98" i="13"/>
  <c r="D97" i="13"/>
  <c r="D96" i="13"/>
  <c r="E99" i="13"/>
  <c r="E98" i="13"/>
  <c r="E97" i="13"/>
  <c r="E96" i="13"/>
  <c r="E79" i="13"/>
  <c r="E78" i="13"/>
  <c r="E77" i="13"/>
  <c r="E76" i="13"/>
  <c r="E69" i="13"/>
  <c r="E68" i="13"/>
  <c r="E67" i="13"/>
  <c r="D69" i="13"/>
  <c r="D68" i="13"/>
  <c r="D67" i="13"/>
  <c r="E66" i="13"/>
  <c r="D46" i="13"/>
  <c r="D49" i="13"/>
  <c r="D48" i="13"/>
  <c r="D47" i="13"/>
  <c r="D45" i="13"/>
  <c r="G39" i="13"/>
  <c r="G38" i="13"/>
  <c r="G37" i="13"/>
  <c r="G36" i="13"/>
  <c r="F39" i="13"/>
  <c r="F38" i="13"/>
  <c r="F37" i="13"/>
  <c r="F36" i="13"/>
  <c r="G35" i="13"/>
  <c r="D411" i="12" l="1"/>
  <c r="D416" i="12"/>
  <c r="D409" i="12"/>
  <c r="D415" i="12"/>
  <c r="D418" i="12"/>
  <c r="D410" i="12"/>
  <c r="H28" i="13"/>
  <c r="H27" i="13"/>
  <c r="H26" i="13"/>
  <c r="H25" i="13"/>
  <c r="F25" i="13"/>
  <c r="F26" i="13"/>
  <c r="H24" i="13"/>
  <c r="E28" i="13"/>
  <c r="E27" i="13"/>
  <c r="E26" i="13"/>
  <c r="E25" i="13"/>
  <c r="D18" i="13"/>
  <c r="D17" i="13"/>
  <c r="D16" i="13"/>
  <c r="D15" i="13"/>
  <c r="D14" i="13"/>
  <c r="D8" i="13"/>
  <c r="D7" i="13"/>
  <c r="D6" i="13"/>
  <c r="E8" i="13"/>
  <c r="E7" i="13"/>
  <c r="E6" i="13"/>
  <c r="H8" i="13"/>
  <c r="H7" i="13"/>
  <c r="H6" i="13"/>
  <c r="G8" i="13"/>
  <c r="G7" i="13"/>
  <c r="G6" i="13"/>
  <c r="F8" i="13"/>
  <c r="F7" i="13"/>
  <c r="F6" i="13"/>
  <c r="D5" i="13"/>
  <c r="H5" i="13"/>
  <c r="G5" i="13"/>
  <c r="F5" i="13"/>
  <c r="E5" i="13"/>
  <c r="G4" i="13"/>
  <c r="H4" i="13"/>
  <c r="E4" i="13"/>
  <c r="F4" i="13"/>
  <c r="I477" i="12" l="1"/>
  <c r="D13" i="16" l="1"/>
  <c r="D14" i="16" l="1"/>
  <c r="D466" i="12" l="1"/>
  <c r="D3" i="16"/>
  <c r="D6" i="14" l="1"/>
  <c r="E33" i="12" l="1"/>
  <c r="D82" i="14" l="1"/>
  <c r="D21" i="14"/>
  <c r="D5" i="14"/>
  <c r="D39" i="12"/>
  <c r="I32" i="12"/>
  <c r="J32" i="12" s="1"/>
  <c r="E32" i="12" l="1"/>
  <c r="D95" i="14"/>
  <c r="D33" i="15"/>
  <c r="I43" i="12" s="1"/>
  <c r="D458" i="12"/>
  <c r="D455" i="12"/>
  <c r="D452" i="12"/>
  <c r="D433" i="12"/>
  <c r="D443" i="12"/>
  <c r="D430" i="12"/>
  <c r="D384" i="12"/>
  <c r="D251" i="12"/>
  <c r="D266" i="12"/>
  <c r="D268" i="12" s="1"/>
  <c r="D259" i="12"/>
  <c r="D260" i="12"/>
  <c r="D261" i="12"/>
  <c r="D248" i="12"/>
  <c r="D238" i="12"/>
  <c r="D232" i="12"/>
  <c r="F476" i="12"/>
  <c r="H476" i="12"/>
  <c r="D163" i="12"/>
  <c r="D164" i="12" s="1"/>
  <c r="D104" i="12"/>
  <c r="F109" i="13"/>
  <c r="F108" i="13"/>
  <c r="F107" i="13"/>
  <c r="F106" i="13"/>
  <c r="E110" i="13"/>
  <c r="E109" i="13"/>
  <c r="E108" i="13"/>
  <c r="E107" i="13"/>
  <c r="E106" i="13"/>
  <c r="E105" i="13"/>
  <c r="E86" i="13"/>
  <c r="G69" i="13"/>
  <c r="G68" i="13"/>
  <c r="G67" i="13"/>
  <c r="G66" i="13"/>
  <c r="G65" i="13"/>
  <c r="F69" i="13"/>
  <c r="F68" i="13"/>
  <c r="F67" i="13"/>
  <c r="F66" i="13"/>
  <c r="F65" i="13"/>
  <c r="H49" i="13"/>
  <c r="H48" i="13"/>
  <c r="H47" i="13"/>
  <c r="H46" i="13"/>
  <c r="H45" i="13"/>
  <c r="G49" i="13"/>
  <c r="G48" i="13"/>
  <c r="G47" i="13"/>
  <c r="G46" i="13"/>
  <c r="G45" i="13"/>
  <c r="D254" i="12"/>
  <c r="D127" i="12"/>
  <c r="D124" i="12"/>
  <c r="D65" i="12"/>
  <c r="D68" i="12"/>
  <c r="H68" i="12" s="1"/>
  <c r="E68" i="12"/>
  <c r="D83" i="12"/>
  <c r="D86" i="12"/>
  <c r="D77" i="12"/>
  <c r="D74" i="12"/>
  <c r="I41" i="12"/>
  <c r="F68" i="12" l="1"/>
  <c r="K68" i="12" s="1"/>
  <c r="E46" i="12"/>
  <c r="D66" i="12"/>
  <c r="D5" i="15"/>
  <c r="D105" i="14"/>
  <c r="E274" i="12"/>
  <c r="E264" i="12"/>
  <c r="H271" i="12"/>
  <c r="D69" i="14"/>
  <c r="D44" i="14"/>
  <c r="D8" i="14"/>
  <c r="D35" i="16"/>
  <c r="G199" i="12" s="1"/>
  <c r="D14" i="14" l="1"/>
  <c r="D471" i="12" l="1"/>
  <c r="D468" i="12"/>
  <c r="D427" i="12"/>
  <c r="D377" i="12"/>
  <c r="D316" i="12"/>
  <c r="D19" i="16" l="1"/>
  <c r="G348" i="12" s="1"/>
  <c r="D18" i="16"/>
  <c r="D8" i="16"/>
  <c r="D113" i="14"/>
  <c r="D29" i="14"/>
  <c r="D7" i="14"/>
  <c r="E317" i="12"/>
  <c r="E316" i="12"/>
  <c r="E37" i="12" l="1"/>
  <c r="E36" i="12"/>
  <c r="I42" i="12"/>
  <c r="D27" i="15"/>
  <c r="D4" i="15"/>
  <c r="I479" i="12"/>
  <c r="F479" i="12"/>
  <c r="D114" i="14"/>
  <c r="E489" i="12"/>
  <c r="E305" i="12"/>
  <c r="E302" i="12"/>
  <c r="E294" i="12"/>
  <c r="E290" i="12"/>
  <c r="E281" i="12"/>
  <c r="E277" i="12"/>
  <c r="D9" i="15"/>
  <c r="D263" i="12"/>
  <c r="D264" i="12" s="1"/>
  <c r="H479" i="12" l="1"/>
  <c r="J479" i="12"/>
  <c r="E475" i="12"/>
  <c r="K479" i="12" l="1"/>
  <c r="D110" i="13"/>
  <c r="J111" i="13"/>
  <c r="D109" i="13"/>
  <c r="D108" i="13"/>
  <c r="D107" i="13"/>
  <c r="D106" i="13"/>
  <c r="D105" i="13"/>
  <c r="E238" i="12"/>
  <c r="E232" i="12"/>
  <c r="D17" i="14"/>
  <c r="E170" i="12" l="1"/>
  <c r="I106" i="13"/>
  <c r="E174" i="12"/>
  <c r="E178" i="12"/>
  <c r="E182" i="12"/>
  <c r="I110" i="13"/>
  <c r="I109" i="13"/>
  <c r="I107" i="13"/>
  <c r="I105" i="13"/>
  <c r="I108" i="13"/>
  <c r="D12" i="14"/>
  <c r="E83" i="12"/>
  <c r="E86" i="12"/>
  <c r="E74" i="12"/>
  <c r="E77" i="12"/>
  <c r="E65" i="12"/>
  <c r="G31" i="12"/>
  <c r="D112" i="14"/>
  <c r="D111" i="14"/>
  <c r="D110" i="14"/>
  <c r="D109" i="14"/>
  <c r="D108" i="14"/>
  <c r="D107" i="14"/>
  <c r="D106" i="14"/>
  <c r="D104" i="14"/>
  <c r="D103" i="14"/>
  <c r="D102" i="14"/>
  <c r="D101" i="14"/>
  <c r="D100" i="14"/>
  <c r="D99" i="14"/>
  <c r="D98" i="14"/>
  <c r="E205" i="12" l="1"/>
  <c r="E215" i="12"/>
  <c r="E296" i="12"/>
  <c r="E419" i="12"/>
  <c r="E129" i="12"/>
  <c r="E119" i="12"/>
  <c r="E224" i="12"/>
  <c r="E314" i="12"/>
  <c r="E447" i="12"/>
  <c r="E491" i="12"/>
  <c r="E165" i="12"/>
  <c r="E472" i="12"/>
  <c r="E203" i="12"/>
  <c r="E201" i="12"/>
  <c r="E67" i="12"/>
  <c r="E334" i="12"/>
  <c r="V334" i="12" s="1"/>
  <c r="E346" i="12"/>
  <c r="V346" i="12" s="1"/>
  <c r="E358" i="12"/>
  <c r="E369" i="12"/>
  <c r="E184" i="12"/>
  <c r="E180" i="12"/>
  <c r="E176" i="12"/>
  <c r="E172" i="12"/>
  <c r="E457" i="12"/>
  <c r="E460" i="12"/>
  <c r="I111" i="13"/>
  <c r="D31" i="12" s="1"/>
  <c r="E96" i="12"/>
  <c r="E161" i="12"/>
  <c r="E151" i="12"/>
  <c r="E279" i="12"/>
  <c r="E283" i="12"/>
  <c r="E287" i="12"/>
  <c r="E102" i="12"/>
  <c r="E125" i="12"/>
  <c r="E137" i="12"/>
  <c r="E132" i="12"/>
  <c r="E114" i="12"/>
  <c r="E320" i="12"/>
  <c r="E109" i="12"/>
  <c r="E85" i="12"/>
  <c r="E209" i="12"/>
  <c r="E413" i="12"/>
  <c r="E212" i="12"/>
  <c r="E76" i="12"/>
  <c r="E437" i="12"/>
  <c r="E220" i="12"/>
  <c r="E292" i="12"/>
  <c r="E442" i="12"/>
  <c r="E228" i="12"/>
  <c r="E310" i="12"/>
  <c r="E451" i="12"/>
  <c r="E454" i="12"/>
  <c r="E469" i="12"/>
  <c r="E465" i="12"/>
  <c r="D97" i="14"/>
  <c r="D96" i="14"/>
  <c r="D94" i="14"/>
  <c r="D29" i="15"/>
  <c r="I481" i="12" s="1"/>
  <c r="D30" i="15"/>
  <c r="I482" i="12" s="1"/>
  <c r="D31" i="15"/>
  <c r="I483" i="12" s="1"/>
  <c r="D429" i="12"/>
  <c r="D27" i="16"/>
  <c r="D26" i="16"/>
  <c r="D16" i="16"/>
  <c r="D4" i="16"/>
  <c r="D28" i="15"/>
  <c r="I486" i="12" s="1"/>
  <c r="D42" i="16"/>
  <c r="G34" i="12" s="1"/>
  <c r="I35" i="12"/>
  <c r="D9" i="14"/>
  <c r="H41" i="12"/>
  <c r="D3" i="14"/>
  <c r="E38" i="12" l="1"/>
  <c r="E42" i="12"/>
  <c r="E34" i="12"/>
  <c r="J35" i="12"/>
  <c r="E89" i="12"/>
  <c r="E241" i="12"/>
  <c r="E247" i="12"/>
  <c r="E258" i="12"/>
  <c r="E235" i="12"/>
  <c r="E253" i="12"/>
  <c r="E140" i="12"/>
  <c r="E135" i="12"/>
  <c r="E106" i="12"/>
  <c r="E100" i="12"/>
  <c r="E84" i="12"/>
  <c r="E66" i="12"/>
  <c r="E75" i="12"/>
  <c r="E71" i="12"/>
  <c r="E80" i="12"/>
  <c r="H40" i="12"/>
  <c r="J41" i="12"/>
  <c r="D93" i="14"/>
  <c r="D92" i="14"/>
  <c r="D91" i="14"/>
  <c r="D41" i="16"/>
  <c r="E45" i="12" l="1"/>
  <c r="D9" i="12"/>
  <c r="G48" i="12"/>
  <c r="I47" i="12"/>
  <c r="E47" i="12"/>
  <c r="D40" i="16" l="1"/>
  <c r="G488" i="12" s="1"/>
  <c r="D19" i="14"/>
  <c r="D491" i="12"/>
  <c r="D489" i="12"/>
  <c r="D29" i="16"/>
  <c r="G452" i="12" s="1"/>
  <c r="D64" i="14"/>
  <c r="D30" i="16"/>
  <c r="G470" i="12" s="1"/>
  <c r="D440" i="12"/>
  <c r="D60" i="14"/>
  <c r="D59" i="14"/>
  <c r="E459" i="12" l="1"/>
  <c r="E446" i="12"/>
  <c r="E445" i="12"/>
  <c r="G449" i="12"/>
  <c r="G458" i="12"/>
  <c r="G455" i="12"/>
  <c r="G467" i="12"/>
  <c r="E441" i="12"/>
  <c r="E440" i="12"/>
  <c r="E453" i="12"/>
  <c r="E456" i="12"/>
  <c r="F491" i="12"/>
  <c r="K491" i="12" s="1"/>
  <c r="F489" i="12"/>
  <c r="K489" i="12" s="1"/>
  <c r="D58" i="14" l="1"/>
  <c r="D445" i="12"/>
  <c r="D439" i="12"/>
  <c r="D447" i="12"/>
  <c r="D425" i="12"/>
  <c r="G430" i="12"/>
  <c r="G428" i="12"/>
  <c r="G426" i="12"/>
  <c r="G425" i="12"/>
  <c r="D28" i="16"/>
  <c r="D25" i="16"/>
  <c r="G423" i="12" s="1"/>
  <c r="D434" i="12"/>
  <c r="D24" i="16"/>
  <c r="G414" i="12" s="1"/>
  <c r="D39" i="16"/>
  <c r="D90" i="14"/>
  <c r="D464" i="12"/>
  <c r="D89" i="14"/>
  <c r="D88" i="14"/>
  <c r="D87" i="14"/>
  <c r="D22" i="16"/>
  <c r="G405" i="12" s="1"/>
  <c r="H405" i="12" s="1"/>
  <c r="J405" i="12"/>
  <c r="D23" i="16"/>
  <c r="G406" i="12" s="1"/>
  <c r="D21" i="16"/>
  <c r="G404" i="12" s="1"/>
  <c r="D20" i="15"/>
  <c r="I480" i="12" s="1"/>
  <c r="E493" i="12"/>
  <c r="I478" i="12"/>
  <c r="F478" i="12"/>
  <c r="D19" i="15"/>
  <c r="J477" i="12" s="1"/>
  <c r="D18" i="15"/>
  <c r="I476" i="12" s="1"/>
  <c r="J476" i="12" s="1"/>
  <c r="K476" i="12" s="1"/>
  <c r="F477" i="12"/>
  <c r="H477" i="12"/>
  <c r="D10" i="15"/>
  <c r="I397" i="12" s="1"/>
  <c r="D398" i="12"/>
  <c r="D397" i="12"/>
  <c r="D17" i="15"/>
  <c r="I388" i="12" s="1"/>
  <c r="D16" i="15"/>
  <c r="I390" i="12" s="1"/>
  <c r="D391" i="12"/>
  <c r="D390" i="12"/>
  <c r="F390" i="12" s="1"/>
  <c r="D393" i="12"/>
  <c r="D389" i="12"/>
  <c r="D14" i="15"/>
  <c r="I386" i="12" s="1"/>
  <c r="D15" i="15"/>
  <c r="I376" i="12" s="1"/>
  <c r="I381" i="12"/>
  <c r="D13" i="15"/>
  <c r="I382" i="12" s="1"/>
  <c r="D383" i="12"/>
  <c r="D11" i="15"/>
  <c r="I377" i="12" s="1"/>
  <c r="D378" i="12"/>
  <c r="I371" i="12"/>
  <c r="D8" i="15"/>
  <c r="I373" i="12" s="1"/>
  <c r="D373" i="12"/>
  <c r="D372" i="12"/>
  <c r="D371" i="12"/>
  <c r="G335" i="12"/>
  <c r="D40" i="14"/>
  <c r="D304" i="12"/>
  <c r="D305" i="12" s="1"/>
  <c r="D298" i="12"/>
  <c r="D299" i="12" s="1"/>
  <c r="D285" i="12"/>
  <c r="D288" i="12" s="1"/>
  <c r="D86" i="14"/>
  <c r="D85" i="14"/>
  <c r="D84" i="14"/>
  <c r="D81" i="14"/>
  <c r="D80" i="14"/>
  <c r="D83" i="14"/>
  <c r="I493" i="12"/>
  <c r="K477" i="12" l="1"/>
  <c r="E269" i="12"/>
  <c r="E463" i="12"/>
  <c r="E265" i="12"/>
  <c r="E266" i="12"/>
  <c r="E267" i="12"/>
  <c r="E272" i="12"/>
  <c r="E404" i="12"/>
  <c r="E405" i="12"/>
  <c r="F405" i="12" s="1"/>
  <c r="K405" i="12" s="1"/>
  <c r="E406" i="12"/>
  <c r="E434" i="12"/>
  <c r="D287" i="12"/>
  <c r="F287" i="12" s="1"/>
  <c r="K287" i="12" s="1"/>
  <c r="I391" i="12"/>
  <c r="I389" i="12"/>
  <c r="I375" i="12"/>
  <c r="G421" i="12"/>
  <c r="E333" i="12"/>
  <c r="V333" i="12" s="1"/>
  <c r="E368" i="12"/>
  <c r="E345" i="12"/>
  <c r="V345" i="12" s="1"/>
  <c r="E357" i="12"/>
  <c r="E286" i="12"/>
  <c r="E299" i="12"/>
  <c r="D394" i="12"/>
  <c r="G462" i="12"/>
  <c r="G461" i="12"/>
  <c r="G408" i="12"/>
  <c r="I398" i="12"/>
  <c r="I387" i="12"/>
  <c r="D461" i="12"/>
  <c r="D432" i="12"/>
  <c r="D437" i="12"/>
  <c r="D444" i="12"/>
  <c r="H478" i="12"/>
  <c r="I396" i="12"/>
  <c r="I383" i="12"/>
  <c r="I392" i="12"/>
  <c r="I393" i="12"/>
  <c r="I384" i="12"/>
  <c r="I394" i="12"/>
  <c r="I378" i="12"/>
  <c r="G359" i="12"/>
  <c r="G323" i="12"/>
  <c r="J390" i="12"/>
  <c r="K390" i="12" s="1"/>
  <c r="I372" i="12"/>
  <c r="D274" i="12" l="1"/>
  <c r="D269" i="12"/>
  <c r="G260" i="12"/>
  <c r="G261" i="12"/>
  <c r="D243" i="12"/>
  <c r="G248" i="12"/>
  <c r="D230" i="12"/>
  <c r="D37" i="16"/>
  <c r="G225" i="12" s="1"/>
  <c r="D36" i="16"/>
  <c r="G210" i="12" s="1"/>
  <c r="G213" i="12"/>
  <c r="D200" i="12"/>
  <c r="D201" i="12" s="1"/>
  <c r="D190" i="12"/>
  <c r="D187" i="12"/>
  <c r="D20" i="14"/>
  <c r="D10" i="16"/>
  <c r="G173" i="12" s="1"/>
  <c r="G181" i="12"/>
  <c r="D177" i="12"/>
  <c r="D38" i="16"/>
  <c r="G163" i="12" s="1"/>
  <c r="D162" i="12"/>
  <c r="D165" i="12" s="1"/>
  <c r="D34" i="16"/>
  <c r="G141" i="12" s="1"/>
  <c r="D79" i="14"/>
  <c r="D78" i="14"/>
  <c r="D77" i="14"/>
  <c r="D76" i="14"/>
  <c r="D75" i="14"/>
  <c r="D9" i="16"/>
  <c r="G124" i="12" s="1"/>
  <c r="G118" i="12"/>
  <c r="D31" i="16"/>
  <c r="D7" i="16"/>
  <c r="D68" i="14"/>
  <c r="D125" i="12"/>
  <c r="H125" i="12" s="1"/>
  <c r="D348" i="12"/>
  <c r="D349" i="12" s="1"/>
  <c r="D350" i="12" s="1"/>
  <c r="D335" i="12"/>
  <c r="D323" i="12"/>
  <c r="E85" i="13"/>
  <c r="E89" i="13"/>
  <c r="F89" i="13"/>
  <c r="E88" i="13"/>
  <c r="F88" i="13"/>
  <c r="E87" i="13"/>
  <c r="D301" i="12"/>
  <c r="D302" i="12" s="1"/>
  <c r="D276" i="12"/>
  <c r="D278" i="12" s="1"/>
  <c r="F85" i="13"/>
  <c r="D308" i="12" s="1"/>
  <c r="D310" i="12" s="1"/>
  <c r="D386" i="12"/>
  <c r="I67" i="13"/>
  <c r="D375" i="12"/>
  <c r="I57" i="13"/>
  <c r="E49" i="13"/>
  <c r="E48" i="13"/>
  <c r="E47" i="13"/>
  <c r="F47" i="13" s="1"/>
  <c r="E46" i="13"/>
  <c r="D210" i="12" s="1"/>
  <c r="D211" i="12" s="1"/>
  <c r="E45" i="13"/>
  <c r="F45" i="13" s="1"/>
  <c r="D131" i="12"/>
  <c r="D133" i="12" s="1"/>
  <c r="D113" i="12"/>
  <c r="D142" i="12"/>
  <c r="D149" i="12" s="1"/>
  <c r="D169" i="12"/>
  <c r="D170" i="12" s="1"/>
  <c r="D171" i="12" s="1"/>
  <c r="D101" i="12"/>
  <c r="D95" i="12"/>
  <c r="D108" i="12"/>
  <c r="I16" i="13"/>
  <c r="G83" i="12"/>
  <c r="D33" i="16"/>
  <c r="D32" i="16"/>
  <c r="D20" i="16"/>
  <c r="D15" i="16"/>
  <c r="D12" i="16"/>
  <c r="D11" i="16"/>
  <c r="G192" i="12" s="1"/>
  <c r="D5" i="16"/>
  <c r="G77" i="12" s="1"/>
  <c r="D26" i="15"/>
  <c r="I39" i="12" s="1"/>
  <c r="J39" i="12" s="1"/>
  <c r="D25" i="15"/>
  <c r="D24" i="15"/>
  <c r="D23" i="15"/>
  <c r="D22" i="15"/>
  <c r="D21" i="15"/>
  <c r="J478" i="12"/>
  <c r="K478" i="12" s="1"/>
  <c r="D12" i="15"/>
  <c r="D6" i="15"/>
  <c r="I198" i="12" s="1"/>
  <c r="I167" i="12"/>
  <c r="D3" i="15"/>
  <c r="I93" i="12" s="1"/>
  <c r="D74" i="14"/>
  <c r="D73" i="14"/>
  <c r="D71" i="14"/>
  <c r="D70" i="14"/>
  <c r="D67" i="14"/>
  <c r="D66" i="14"/>
  <c r="D65" i="14"/>
  <c r="D63" i="14"/>
  <c r="D62" i="14"/>
  <c r="D61" i="14"/>
  <c r="D55" i="14"/>
  <c r="D54" i="14"/>
  <c r="D53" i="14"/>
  <c r="D52" i="14"/>
  <c r="D49" i="14"/>
  <c r="D48" i="14"/>
  <c r="D47" i="14"/>
  <c r="D46" i="14"/>
  <c r="D45" i="14"/>
  <c r="D43" i="14"/>
  <c r="D42" i="14"/>
  <c r="D41" i="14"/>
  <c r="D39" i="14"/>
  <c r="D38" i="14"/>
  <c r="D37" i="14"/>
  <c r="D36" i="14"/>
  <c r="D35" i="14"/>
  <c r="D34" i="14"/>
  <c r="D33" i="14"/>
  <c r="D32" i="14"/>
  <c r="D30" i="14"/>
  <c r="D28" i="14"/>
  <c r="D27" i="14"/>
  <c r="D25" i="14"/>
  <c r="D24" i="14"/>
  <c r="D23" i="14"/>
  <c r="D22" i="14"/>
  <c r="D18" i="14"/>
  <c r="D16" i="14"/>
  <c r="D15" i="14"/>
  <c r="D13" i="14"/>
  <c r="D4" i="14"/>
  <c r="E262" i="12" l="1"/>
  <c r="E263" i="12"/>
  <c r="E270" i="12"/>
  <c r="E226" i="12"/>
  <c r="E251" i="12"/>
  <c r="F251" i="12" s="1"/>
  <c r="E273" i="12"/>
  <c r="E450" i="12"/>
  <c r="E436" i="12"/>
  <c r="E271" i="12"/>
  <c r="F271" i="12" s="1"/>
  <c r="K271" i="12" s="1"/>
  <c r="G104" i="12"/>
  <c r="G251" i="12"/>
  <c r="H251" i="12" s="1"/>
  <c r="F40" i="12"/>
  <c r="I40" i="12"/>
  <c r="J40" i="12" s="1"/>
  <c r="E268" i="12"/>
  <c r="E41" i="12"/>
  <c r="F41" i="12" s="1"/>
  <c r="K41" i="12" s="1"/>
  <c r="D103" i="12"/>
  <c r="D94" i="12"/>
  <c r="D213" i="12"/>
  <c r="D214" i="12" s="1"/>
  <c r="E341" i="12"/>
  <c r="V341" i="12" s="1"/>
  <c r="E329" i="12"/>
  <c r="V329" i="12" s="1"/>
  <c r="D167" i="12"/>
  <c r="E337" i="12"/>
  <c r="V337" i="12" s="1"/>
  <c r="E325" i="12"/>
  <c r="V325" i="12" s="1"/>
  <c r="E361" i="12"/>
  <c r="E350" i="12"/>
  <c r="E340" i="12"/>
  <c r="V340" i="12" s="1"/>
  <c r="E353" i="12"/>
  <c r="E364" i="12"/>
  <c r="E328" i="12"/>
  <c r="V328" i="12" s="1"/>
  <c r="E354" i="12"/>
  <c r="E342" i="12"/>
  <c r="V342" i="12" s="1"/>
  <c r="E365" i="12"/>
  <c r="E330" i="12"/>
  <c r="V330" i="12" s="1"/>
  <c r="E240" i="12"/>
  <c r="E188" i="12"/>
  <c r="E246" i="12"/>
  <c r="E257" i="12"/>
  <c r="E191" i="12"/>
  <c r="E234" i="12"/>
  <c r="E252" i="12"/>
  <c r="E194" i="12"/>
  <c r="E327" i="12"/>
  <c r="V327" i="12" s="1"/>
  <c r="E339" i="12"/>
  <c r="V339" i="12" s="1"/>
  <c r="E366" i="12"/>
  <c r="E331" i="12"/>
  <c r="V331" i="12" s="1"/>
  <c r="E343" i="12"/>
  <c r="V343" i="12" s="1"/>
  <c r="E355" i="12"/>
  <c r="E367" i="12"/>
  <c r="E344" i="12"/>
  <c r="V344" i="12" s="1"/>
  <c r="E356" i="12"/>
  <c r="E332" i="12"/>
  <c r="V332" i="12" s="1"/>
  <c r="D204" i="12"/>
  <c r="D202" i="12"/>
  <c r="D203" i="12" s="1"/>
  <c r="E237" i="12"/>
  <c r="E231" i="12"/>
  <c r="E255" i="12"/>
  <c r="E244" i="12"/>
  <c r="E249" i="12"/>
  <c r="E362" i="12"/>
  <c r="E351" i="12"/>
  <c r="E171" i="12"/>
  <c r="E179" i="12"/>
  <c r="E183" i="12"/>
  <c r="E175" i="12"/>
  <c r="E338" i="12"/>
  <c r="V338" i="12" s="1"/>
  <c r="E326" i="12"/>
  <c r="V326" i="12" s="1"/>
  <c r="D136" i="12"/>
  <c r="D138" i="12" s="1"/>
  <c r="E239" i="12"/>
  <c r="E187" i="12"/>
  <c r="E256" i="12"/>
  <c r="E233" i="12"/>
  <c r="E245" i="12"/>
  <c r="E193" i="12"/>
  <c r="E250" i="12"/>
  <c r="E190" i="12"/>
  <c r="E211" i="12"/>
  <c r="E208" i="12"/>
  <c r="E352" i="12"/>
  <c r="E363" i="12"/>
  <c r="I97" i="13"/>
  <c r="D359" i="12"/>
  <c r="D360" i="12" s="1"/>
  <c r="D361" i="12" s="1"/>
  <c r="F87" i="13"/>
  <c r="I87" i="13" s="1"/>
  <c r="D293" i="12"/>
  <c r="D295" i="12" s="1"/>
  <c r="D387" i="12"/>
  <c r="D280" i="12"/>
  <c r="D282" i="12" s="1"/>
  <c r="F86" i="13"/>
  <c r="D289" i="12"/>
  <c r="D291" i="12" s="1"/>
  <c r="D376" i="12"/>
  <c r="E490" i="12"/>
  <c r="F490" i="12" s="1"/>
  <c r="E110" i="12"/>
  <c r="E120" i="12"/>
  <c r="E115" i="12"/>
  <c r="E148" i="12"/>
  <c r="E158" i="12"/>
  <c r="E145" i="12"/>
  <c r="E155" i="12"/>
  <c r="E146" i="12"/>
  <c r="E156" i="12"/>
  <c r="E149" i="12"/>
  <c r="E159" i="12"/>
  <c r="E127" i="12"/>
  <c r="F127" i="12" s="1"/>
  <c r="E104" i="12"/>
  <c r="E98" i="12"/>
  <c r="E154" i="12"/>
  <c r="E144" i="12"/>
  <c r="E160" i="12"/>
  <c r="E150" i="12"/>
  <c r="E153" i="12"/>
  <c r="E143" i="12"/>
  <c r="E147" i="12"/>
  <c r="E157" i="12"/>
  <c r="E138" i="12"/>
  <c r="E133" i="12"/>
  <c r="E164" i="12"/>
  <c r="E126" i="12"/>
  <c r="E103" i="12"/>
  <c r="E97" i="12"/>
  <c r="E121" i="12"/>
  <c r="E111" i="12"/>
  <c r="E87" i="12"/>
  <c r="E116" i="12"/>
  <c r="E139" i="12"/>
  <c r="E166" i="12"/>
  <c r="E134" i="12"/>
  <c r="E128" i="12"/>
  <c r="E112" i="12"/>
  <c r="E122" i="12"/>
  <c r="E117" i="12"/>
  <c r="E105" i="12"/>
  <c r="E88" i="12"/>
  <c r="E99" i="12"/>
  <c r="E73" i="12"/>
  <c r="E82" i="12"/>
  <c r="E64" i="12"/>
  <c r="E78" i="12"/>
  <c r="E69" i="12"/>
  <c r="E79" i="12"/>
  <c r="E70" i="12"/>
  <c r="G402" i="12"/>
  <c r="G400" i="12"/>
  <c r="F165" i="12"/>
  <c r="H165" i="12"/>
  <c r="D207" i="12"/>
  <c r="D208" i="12" s="1"/>
  <c r="G443" i="12"/>
  <c r="G438" i="12"/>
  <c r="G432" i="12"/>
  <c r="G433" i="12"/>
  <c r="E439" i="12"/>
  <c r="E444" i="12"/>
  <c r="E468" i="12"/>
  <c r="E471" i="12"/>
  <c r="E464" i="12"/>
  <c r="E415" i="12"/>
  <c r="E409" i="12"/>
  <c r="E416" i="12"/>
  <c r="E410" i="12"/>
  <c r="E412" i="12"/>
  <c r="E418" i="12"/>
  <c r="E403" i="12"/>
  <c r="E401" i="12"/>
  <c r="E417" i="12"/>
  <c r="E411" i="12"/>
  <c r="E424" i="12"/>
  <c r="E422" i="12"/>
  <c r="E431" i="12"/>
  <c r="E429" i="12"/>
  <c r="E427" i="12"/>
  <c r="G189" i="12"/>
  <c r="G177" i="12"/>
  <c r="I380" i="12"/>
  <c r="I379" i="12"/>
  <c r="G169" i="12"/>
  <c r="G131" i="12"/>
  <c r="G186" i="12"/>
  <c r="G284" i="12"/>
  <c r="G280" i="12"/>
  <c r="G293" i="12"/>
  <c r="G289" i="12"/>
  <c r="G285" i="12"/>
  <c r="G304" i="12"/>
  <c r="G301" i="12"/>
  <c r="G298" i="12"/>
  <c r="I318" i="12"/>
  <c r="I312" i="12"/>
  <c r="I308" i="12"/>
  <c r="I91" i="12"/>
  <c r="I92" i="12"/>
  <c r="I195" i="12"/>
  <c r="I196" i="12"/>
  <c r="I197" i="12"/>
  <c r="E313" i="12"/>
  <c r="E319" i="12"/>
  <c r="E309" i="12"/>
  <c r="E315" i="12"/>
  <c r="E311" i="12"/>
  <c r="E321" i="12"/>
  <c r="E306" i="12"/>
  <c r="E295" i="12"/>
  <c r="E278" i="12"/>
  <c r="E303" i="12"/>
  <c r="E288" i="12"/>
  <c r="E300" i="12"/>
  <c r="E291" i="12"/>
  <c r="E282" i="12"/>
  <c r="E218" i="12"/>
  <c r="E222" i="12"/>
  <c r="E219" i="12"/>
  <c r="E223" i="12"/>
  <c r="E227" i="12"/>
  <c r="G254" i="12"/>
  <c r="G162" i="12"/>
  <c r="G127" i="12"/>
  <c r="H127" i="12" s="1"/>
  <c r="G217" i="12"/>
  <c r="G221" i="12"/>
  <c r="G232" i="12"/>
  <c r="G238" i="12"/>
  <c r="G98" i="12"/>
  <c r="G86" i="12"/>
  <c r="G95" i="12"/>
  <c r="G136" i="12"/>
  <c r="G101" i="12"/>
  <c r="G207" i="12"/>
  <c r="H269" i="12"/>
  <c r="F269" i="12"/>
  <c r="G81" i="12"/>
  <c r="G230" i="12"/>
  <c r="G236" i="12"/>
  <c r="G243" i="12"/>
  <c r="F125" i="12"/>
  <c r="K125" i="12" s="1"/>
  <c r="D152" i="12"/>
  <c r="D159" i="12" s="1"/>
  <c r="G63" i="12"/>
  <c r="G65" i="12"/>
  <c r="G74" i="12"/>
  <c r="G108" i="12"/>
  <c r="G72" i="12"/>
  <c r="G113" i="12"/>
  <c r="D129" i="12"/>
  <c r="H129" i="12" s="1"/>
  <c r="D123" i="12"/>
  <c r="D126" i="12"/>
  <c r="D75" i="12"/>
  <c r="H124" i="12"/>
  <c r="F124" i="12"/>
  <c r="D84" i="12"/>
  <c r="H84" i="12" s="1"/>
  <c r="I76" i="13"/>
  <c r="I47" i="13"/>
  <c r="I37" i="13"/>
  <c r="I14" i="12"/>
  <c r="H85" i="12"/>
  <c r="F85" i="12"/>
  <c r="H76" i="12"/>
  <c r="F76" i="12"/>
  <c r="D166" i="12"/>
  <c r="H163" i="12"/>
  <c r="F163" i="12"/>
  <c r="D431" i="12"/>
  <c r="K127" i="12" l="1"/>
  <c r="K163" i="12"/>
  <c r="K124" i="12"/>
  <c r="K165" i="12"/>
  <c r="F488" i="12"/>
  <c r="K490" i="12"/>
  <c r="E488" i="12" s="1"/>
  <c r="K251" i="12"/>
  <c r="K269" i="12"/>
  <c r="K40" i="12"/>
  <c r="F126" i="12"/>
  <c r="F129" i="12"/>
  <c r="K129" i="12" s="1"/>
  <c r="D128" i="12"/>
  <c r="H128" i="12" s="1"/>
  <c r="H126" i="12"/>
  <c r="F35" i="12"/>
  <c r="F83" i="12"/>
  <c r="H83" i="12"/>
  <c r="K85" i="12"/>
  <c r="F84" i="12"/>
  <c r="K84" i="12" s="1"/>
  <c r="H74" i="12"/>
  <c r="K76" i="12"/>
  <c r="H75" i="12"/>
  <c r="F74" i="12"/>
  <c r="H166" i="12"/>
  <c r="F166" i="12"/>
  <c r="K166" i="12" s="1"/>
  <c r="F164" i="12"/>
  <c r="H164" i="12"/>
  <c r="H35" i="12"/>
  <c r="K164" i="12" l="1"/>
  <c r="K126" i="12"/>
  <c r="G123" i="12"/>
  <c r="F128" i="12"/>
  <c r="K128" i="12" s="1"/>
  <c r="K35" i="12"/>
  <c r="F75" i="12"/>
  <c r="K75" i="12" s="1"/>
  <c r="K83" i="12"/>
  <c r="K74" i="12"/>
  <c r="F49" i="13"/>
  <c r="F48" i="13"/>
  <c r="F46" i="13"/>
  <c r="I4" i="13"/>
  <c r="D63" i="12" s="1"/>
  <c r="F67" i="12"/>
  <c r="H67" i="12"/>
  <c r="E162" i="12" l="1"/>
  <c r="E123" i="12"/>
  <c r="K67" i="12"/>
  <c r="F66" i="12"/>
  <c r="H66" i="12"/>
  <c r="K66" i="12" l="1"/>
  <c r="D44" i="12"/>
  <c r="D45" i="12" s="1"/>
  <c r="D46" i="12" l="1"/>
  <c r="J44" i="12"/>
  <c r="H44" i="12"/>
  <c r="F44" i="12"/>
  <c r="J43" i="12"/>
  <c r="F36" i="12"/>
  <c r="H42" i="12"/>
  <c r="H37" i="12"/>
  <c r="H36" i="12"/>
  <c r="J34" i="12"/>
  <c r="H34" i="12"/>
  <c r="F34" i="12"/>
  <c r="H33" i="12"/>
  <c r="H32" i="12"/>
  <c r="F32" i="12"/>
  <c r="F46" i="12" l="1"/>
  <c r="H46" i="12"/>
  <c r="K34" i="12"/>
  <c r="K32" i="12"/>
  <c r="K44" i="12"/>
  <c r="K36" i="12"/>
  <c r="J42" i="12"/>
  <c r="F42" i="12"/>
  <c r="F37" i="12"/>
  <c r="K37" i="12" s="1"/>
  <c r="F33" i="12"/>
  <c r="K33" i="12" s="1"/>
  <c r="K46" i="12" l="1"/>
  <c r="F45" i="12"/>
  <c r="E43" i="12" s="1"/>
  <c r="F43" i="12" s="1"/>
  <c r="H45" i="12"/>
  <c r="G43" i="12" s="1"/>
  <c r="H43" i="12" s="1"/>
  <c r="K42" i="12"/>
  <c r="K45" i="12" l="1"/>
  <c r="K43" i="12"/>
  <c r="E214" i="12" l="1"/>
  <c r="H157" i="12" l="1"/>
  <c r="H158" i="12"/>
  <c r="H160" i="12"/>
  <c r="H147" i="12"/>
  <c r="H148" i="12"/>
  <c r="H149" i="12"/>
  <c r="H150" i="12"/>
  <c r="F160" i="12"/>
  <c r="K160" i="12" s="1"/>
  <c r="F158" i="12"/>
  <c r="K158" i="12" s="1"/>
  <c r="F157" i="12"/>
  <c r="K157" i="12" s="1"/>
  <c r="F150" i="12"/>
  <c r="K150" i="12" s="1"/>
  <c r="F149" i="12"/>
  <c r="K149" i="12" s="1"/>
  <c r="F148" i="12"/>
  <c r="F147" i="12"/>
  <c r="G466" i="12"/>
  <c r="D448" i="12"/>
  <c r="D395" i="12"/>
  <c r="H261" i="12"/>
  <c r="F261" i="12"/>
  <c r="K261" i="12" s="1"/>
  <c r="F273" i="12"/>
  <c r="K273" i="12" s="1"/>
  <c r="H272" i="12"/>
  <c r="F272" i="12"/>
  <c r="K272" i="12" s="1"/>
  <c r="H270" i="12"/>
  <c r="F270" i="12"/>
  <c r="K270" i="12" s="1"/>
  <c r="D267" i="12"/>
  <c r="D262" i="12"/>
  <c r="K147" i="12" l="1"/>
  <c r="K148" i="12"/>
  <c r="H268" i="12"/>
  <c r="F268" i="12"/>
  <c r="H264" i="12"/>
  <c r="D265" i="12"/>
  <c r="H265" i="12" s="1"/>
  <c r="F274" i="12"/>
  <c r="K274" i="12" s="1"/>
  <c r="F262" i="12"/>
  <c r="K262" i="12" s="1"/>
  <c r="H267" i="12"/>
  <c r="F267" i="12"/>
  <c r="K267" i="12" s="1"/>
  <c r="F266" i="12"/>
  <c r="F263" i="12"/>
  <c r="H266" i="12"/>
  <c r="H263" i="12"/>
  <c r="K268" i="12" l="1"/>
  <c r="K263" i="12"/>
  <c r="K266" i="12"/>
  <c r="F264" i="12"/>
  <c r="K264" i="12" s="1"/>
  <c r="F265" i="12"/>
  <c r="K265" i="12" s="1"/>
  <c r="G276" i="12" l="1"/>
  <c r="D173" i="12"/>
  <c r="H238" i="12" l="1"/>
  <c r="H232" i="12"/>
  <c r="F232" i="12"/>
  <c r="K232" i="12" s="1"/>
  <c r="D185" i="12"/>
  <c r="F238" i="12"/>
  <c r="K238" i="12" s="1"/>
  <c r="D118" i="12"/>
  <c r="I29" i="13"/>
  <c r="I24" i="13"/>
  <c r="D236" i="12" l="1"/>
  <c r="D229" i="12" s="1"/>
  <c r="J14" i="12"/>
  <c r="J10" i="12"/>
  <c r="J11" i="12"/>
  <c r="J13" i="12"/>
  <c r="H14" i="12"/>
  <c r="F14" i="12"/>
  <c r="F13" i="12"/>
  <c r="H11" i="12"/>
  <c r="F11" i="12"/>
  <c r="D374" i="12" l="1"/>
  <c r="K14" i="12"/>
  <c r="K11" i="12"/>
  <c r="H10" i="12"/>
  <c r="K10" i="12" s="1"/>
  <c r="H13" i="12"/>
  <c r="K13" i="12" s="1"/>
  <c r="J9" i="12"/>
  <c r="J15" i="12" s="1"/>
  <c r="D322" i="12" l="1"/>
  <c r="Y322" i="12" s="1"/>
  <c r="H9" i="12"/>
  <c r="H15" i="12" s="1"/>
  <c r="D221" i="12"/>
  <c r="D222" i="12" s="1"/>
  <c r="D223" i="12" s="1"/>
  <c r="I14" i="13"/>
  <c r="D91" i="12" s="1"/>
  <c r="D324" i="12" s="1"/>
  <c r="Y324" i="12" s="1"/>
  <c r="I28" i="13"/>
  <c r="I27" i="13"/>
  <c r="I18" i="13"/>
  <c r="I17" i="13"/>
  <c r="I6" i="13" s="1"/>
  <c r="I15" i="13"/>
  <c r="J100" i="13"/>
  <c r="I99" i="13"/>
  <c r="I98" i="13"/>
  <c r="I96" i="13"/>
  <c r="I95" i="13"/>
  <c r="J90" i="13"/>
  <c r="J80" i="13"/>
  <c r="J70" i="13"/>
  <c r="I69" i="13"/>
  <c r="I68" i="13"/>
  <c r="I66" i="13"/>
  <c r="I65" i="13"/>
  <c r="J60" i="13"/>
  <c r="I59" i="13"/>
  <c r="I58" i="13"/>
  <c r="I56" i="13"/>
  <c r="I55" i="13"/>
  <c r="J50" i="13"/>
  <c r="J40" i="13"/>
  <c r="I39" i="13"/>
  <c r="I38" i="13"/>
  <c r="I36" i="13"/>
  <c r="I35" i="13"/>
  <c r="J30" i="13"/>
  <c r="J19" i="13"/>
  <c r="J9" i="13"/>
  <c r="I8" i="13" l="1"/>
  <c r="I7" i="13"/>
  <c r="D92" i="12"/>
  <c r="I5" i="13"/>
  <c r="D72" i="12" s="1"/>
  <c r="F223" i="12"/>
  <c r="H223" i="12"/>
  <c r="D93" i="12"/>
  <c r="I26" i="13"/>
  <c r="D284" i="12"/>
  <c r="I25" i="13"/>
  <c r="D225" i="12"/>
  <c r="D226" i="12" s="1"/>
  <c r="D227" i="12" s="1"/>
  <c r="I89" i="13"/>
  <c r="I78" i="13"/>
  <c r="I88" i="13"/>
  <c r="I75" i="13"/>
  <c r="I77" i="13"/>
  <c r="I79" i="13"/>
  <c r="I46" i="13"/>
  <c r="I49" i="13"/>
  <c r="I45" i="13"/>
  <c r="I60" i="13"/>
  <c r="I70" i="13"/>
  <c r="I48" i="13"/>
  <c r="I100" i="13"/>
  <c r="I40" i="13"/>
  <c r="K223" i="12" l="1"/>
  <c r="D318" i="12"/>
  <c r="D320" i="12" s="1"/>
  <c r="H320" i="12" s="1"/>
  <c r="H227" i="12"/>
  <c r="F227" i="12"/>
  <c r="K227" i="12" s="1"/>
  <c r="D81" i="12"/>
  <c r="H159" i="12"/>
  <c r="F159" i="12"/>
  <c r="I80" i="13"/>
  <c r="I30" i="13"/>
  <c r="D151" i="12"/>
  <c r="D146" i="12"/>
  <c r="D145" i="12"/>
  <c r="D144" i="12"/>
  <c r="D143" i="12"/>
  <c r="I86" i="13"/>
  <c r="D312" i="12" s="1"/>
  <c r="I85" i="13"/>
  <c r="D154" i="12"/>
  <c r="D161" i="12"/>
  <c r="D155" i="12"/>
  <c r="D153" i="12"/>
  <c r="D156" i="12"/>
  <c r="I9" i="13"/>
  <c r="I50" i="13"/>
  <c r="I19" i="13"/>
  <c r="K159" i="12" l="1"/>
  <c r="F320" i="12"/>
  <c r="K320" i="12" s="1"/>
  <c r="D314" i="12"/>
  <c r="I90" i="13"/>
  <c r="D319" i="12" s="1"/>
  <c r="H161" i="12"/>
  <c r="F161" i="12"/>
  <c r="F143" i="12"/>
  <c r="H143" i="12"/>
  <c r="F144" i="12"/>
  <c r="H144" i="12"/>
  <c r="H145" i="12"/>
  <c r="F145" i="12"/>
  <c r="K145" i="12" s="1"/>
  <c r="F156" i="12"/>
  <c r="H156" i="12"/>
  <c r="F146" i="12"/>
  <c r="H146" i="12"/>
  <c r="F155" i="12"/>
  <c r="H155" i="12"/>
  <c r="F154" i="12"/>
  <c r="H154" i="12"/>
  <c r="F153" i="12"/>
  <c r="H153" i="12"/>
  <c r="H151" i="12"/>
  <c r="F151" i="12"/>
  <c r="K151" i="12" s="1"/>
  <c r="D13" i="3"/>
  <c r="K161" i="12" l="1"/>
  <c r="K155" i="12"/>
  <c r="K143" i="12"/>
  <c r="K146" i="12"/>
  <c r="K144" i="12"/>
  <c r="K153" i="12"/>
  <c r="K156" i="12"/>
  <c r="K154" i="12"/>
  <c r="H316" i="12"/>
  <c r="F316" i="12"/>
  <c r="K316" i="12" l="1"/>
  <c r="H425" i="12"/>
  <c r="G420" i="12"/>
  <c r="D402" i="12"/>
  <c r="D403" i="12" s="1"/>
  <c r="D400" i="12"/>
  <c r="D401" i="12" s="1"/>
  <c r="D296" i="12" l="1"/>
  <c r="D283" i="12"/>
  <c r="D279" i="12"/>
  <c r="F283" i="12" l="1"/>
  <c r="K283" i="12" s="1"/>
  <c r="F296" i="12"/>
  <c r="K296" i="12" s="1"/>
  <c r="D290" i="12"/>
  <c r="D292" i="12"/>
  <c r="F292" i="12" s="1"/>
  <c r="K292" i="12" s="1"/>
  <c r="F279" i="12"/>
  <c r="K279" i="12" s="1"/>
  <c r="F486" i="12" l="1"/>
  <c r="J486" i="12" l="1"/>
  <c r="H486" i="12"/>
  <c r="K486" i="12" s="1"/>
  <c r="G487" i="12"/>
  <c r="E487" i="12"/>
  <c r="J382" i="12" l="1"/>
  <c r="F382" i="12"/>
  <c r="K382" i="12" l="1"/>
  <c r="D130" i="12"/>
  <c r="H98" i="12"/>
  <c r="H104" i="12"/>
  <c r="F104" i="12"/>
  <c r="K104" i="12" s="1"/>
  <c r="F98" i="12"/>
  <c r="K98" i="12" s="1"/>
  <c r="I484" i="12" l="1"/>
  <c r="J406" i="12"/>
  <c r="J259" i="12"/>
  <c r="J404" i="12" l="1"/>
  <c r="F181" i="12"/>
  <c r="H181" i="12"/>
  <c r="D182" i="12"/>
  <c r="K181" i="12" l="1"/>
  <c r="D183" i="12"/>
  <c r="H183" i="12" s="1"/>
  <c r="H182" i="12"/>
  <c r="F182" i="12"/>
  <c r="F183" i="12"/>
  <c r="K183" i="12" s="1"/>
  <c r="K182" i="12" l="1"/>
  <c r="J93" i="12"/>
  <c r="J92" i="12"/>
  <c r="J91" i="12"/>
  <c r="J493" i="12"/>
  <c r="H493" i="12"/>
  <c r="F493" i="12"/>
  <c r="J492" i="12"/>
  <c r="H492" i="12"/>
  <c r="F492" i="12"/>
  <c r="J488" i="12"/>
  <c r="H488" i="12"/>
  <c r="K488" i="12" s="1"/>
  <c r="J487" i="12"/>
  <c r="H487" i="12"/>
  <c r="F487" i="12"/>
  <c r="K487" i="12" s="1"/>
  <c r="J484" i="12"/>
  <c r="H484" i="12"/>
  <c r="F484" i="12"/>
  <c r="J483" i="12"/>
  <c r="H483" i="12"/>
  <c r="F483" i="12"/>
  <c r="K483" i="12" s="1"/>
  <c r="J482" i="12"/>
  <c r="H482" i="12"/>
  <c r="F482" i="12"/>
  <c r="K482" i="12" s="1"/>
  <c r="J481" i="12"/>
  <c r="H481" i="12"/>
  <c r="F481" i="12"/>
  <c r="K481" i="12" s="1"/>
  <c r="J480" i="12"/>
  <c r="K480" i="12" s="1"/>
  <c r="G480" i="12"/>
  <c r="H475" i="12"/>
  <c r="F475" i="12"/>
  <c r="K475" i="12" s="1"/>
  <c r="H474" i="12"/>
  <c r="F474" i="12"/>
  <c r="D469" i="12"/>
  <c r="H467" i="12"/>
  <c r="F467" i="12"/>
  <c r="K467" i="12" s="1"/>
  <c r="D465" i="12"/>
  <c r="D463" i="12"/>
  <c r="F464" i="12" s="1"/>
  <c r="K464" i="12" s="1"/>
  <c r="H462" i="12"/>
  <c r="F462" i="12"/>
  <c r="D460" i="12"/>
  <c r="D459" i="12"/>
  <c r="H458" i="12"/>
  <c r="F458" i="12"/>
  <c r="K458" i="12" s="1"/>
  <c r="D457" i="12"/>
  <c r="D456" i="12"/>
  <c r="H455" i="12"/>
  <c r="F455" i="12"/>
  <c r="D454" i="12"/>
  <c r="D453" i="12"/>
  <c r="H452" i="12"/>
  <c r="F452" i="12"/>
  <c r="D451" i="12"/>
  <c r="D450" i="12"/>
  <c r="H449" i="12"/>
  <c r="F449" i="12"/>
  <c r="H433" i="12"/>
  <c r="F433" i="12"/>
  <c r="K433" i="12" s="1"/>
  <c r="H429" i="12"/>
  <c r="H428" i="12"/>
  <c r="F428" i="12"/>
  <c r="H427" i="12"/>
  <c r="H426" i="12"/>
  <c r="F426" i="12"/>
  <c r="K426" i="12" s="1"/>
  <c r="D422" i="12"/>
  <c r="H421" i="12"/>
  <c r="F421" i="12"/>
  <c r="K421" i="12" s="1"/>
  <c r="H401" i="12"/>
  <c r="H400" i="12"/>
  <c r="F400" i="12"/>
  <c r="J398" i="12"/>
  <c r="H398" i="12"/>
  <c r="F398" i="12"/>
  <c r="J397" i="12"/>
  <c r="H397" i="12"/>
  <c r="F397" i="12"/>
  <c r="J396" i="12"/>
  <c r="H396" i="12"/>
  <c r="F396" i="12"/>
  <c r="K396" i="12" s="1"/>
  <c r="F391" i="12"/>
  <c r="F387" i="12"/>
  <c r="J386" i="12"/>
  <c r="H386" i="12"/>
  <c r="F386" i="12"/>
  <c r="D385" i="12"/>
  <c r="J383" i="12"/>
  <c r="F383" i="12"/>
  <c r="K383" i="12" s="1"/>
  <c r="D381" i="12"/>
  <c r="F381" i="12" s="1"/>
  <c r="J380" i="12"/>
  <c r="H380" i="12"/>
  <c r="F380" i="12"/>
  <c r="K380" i="12" s="1"/>
  <c r="J379" i="12"/>
  <c r="F379" i="12"/>
  <c r="K379" i="12" s="1"/>
  <c r="J378" i="12"/>
  <c r="H378" i="12"/>
  <c r="F378" i="12"/>
  <c r="K378" i="12" s="1"/>
  <c r="J377" i="12"/>
  <c r="F377" i="12"/>
  <c r="F376" i="12"/>
  <c r="J372" i="12"/>
  <c r="H372" i="12"/>
  <c r="F372" i="12"/>
  <c r="J371" i="12"/>
  <c r="H371" i="12"/>
  <c r="F371" i="12"/>
  <c r="K371" i="12" s="1"/>
  <c r="F308" i="12"/>
  <c r="H298" i="12"/>
  <c r="F298" i="12"/>
  <c r="K298" i="12" s="1"/>
  <c r="D286" i="12"/>
  <c r="H285" i="12"/>
  <c r="F285" i="12"/>
  <c r="K285" i="12" s="1"/>
  <c r="D277" i="12"/>
  <c r="H276" i="12"/>
  <c r="F276" i="12"/>
  <c r="H260" i="12"/>
  <c r="G259" i="12" s="1"/>
  <c r="F260" i="12"/>
  <c r="K260" i="12" s="1"/>
  <c r="D249" i="12"/>
  <c r="D244" i="12"/>
  <c r="D237" i="12"/>
  <c r="D235" i="12"/>
  <c r="H235" i="12" s="1"/>
  <c r="D233" i="12"/>
  <c r="D234" i="12" s="1"/>
  <c r="H234" i="12" s="1"/>
  <c r="D231" i="12"/>
  <c r="H230" i="12"/>
  <c r="F230" i="12"/>
  <c r="D217" i="12"/>
  <c r="D228" i="12"/>
  <c r="H228" i="12" s="1"/>
  <c r="D209" i="12"/>
  <c r="H209" i="12" s="1"/>
  <c r="H208" i="12"/>
  <c r="H207" i="12"/>
  <c r="F207" i="12"/>
  <c r="D206" i="12"/>
  <c r="D205" i="12"/>
  <c r="H200" i="12"/>
  <c r="F200" i="12"/>
  <c r="F198" i="12"/>
  <c r="F196" i="12"/>
  <c r="D193" i="12"/>
  <c r="D194" i="12" s="1"/>
  <c r="D184" i="12"/>
  <c r="H184" i="12" s="1"/>
  <c r="D178" i="12"/>
  <c r="D179" i="12" s="1"/>
  <c r="D174" i="12"/>
  <c r="D175" i="12" s="1"/>
  <c r="D172" i="12"/>
  <c r="H172" i="12" s="1"/>
  <c r="H169" i="12"/>
  <c r="F169" i="12"/>
  <c r="K169" i="12" s="1"/>
  <c r="D168" i="12"/>
  <c r="J162" i="12"/>
  <c r="D140" i="12"/>
  <c r="F136" i="12"/>
  <c r="D135" i="12"/>
  <c r="G107" i="12"/>
  <c r="H101" i="12"/>
  <c r="D100" i="12"/>
  <c r="H100" i="12" s="1"/>
  <c r="D97" i="12"/>
  <c r="H97" i="12" s="1"/>
  <c r="D96" i="12"/>
  <c r="H96" i="12" s="1"/>
  <c r="H95" i="12"/>
  <c r="F95" i="12"/>
  <c r="K95" i="12" s="1"/>
  <c r="F92" i="12"/>
  <c r="H91" i="12"/>
  <c r="D90" i="12"/>
  <c r="K455" i="12" l="1"/>
  <c r="K492" i="12"/>
  <c r="K449" i="12"/>
  <c r="K200" i="12"/>
  <c r="K462" i="12"/>
  <c r="K452" i="12"/>
  <c r="K428" i="12"/>
  <c r="K397" i="12"/>
  <c r="K372" i="12"/>
  <c r="K386" i="12"/>
  <c r="K398" i="12"/>
  <c r="K400" i="12"/>
  <c r="K230" i="12"/>
  <c r="K474" i="12"/>
  <c r="K484" i="12"/>
  <c r="K207" i="12"/>
  <c r="K276" i="12"/>
  <c r="K377" i="12"/>
  <c r="H135" i="12"/>
  <c r="I395" i="12"/>
  <c r="J395" i="12" s="1"/>
  <c r="K395" i="12" s="1"/>
  <c r="G448" i="12"/>
  <c r="H448" i="12" s="1"/>
  <c r="I90" i="12"/>
  <c r="J90" i="12" s="1"/>
  <c r="F291" i="12"/>
  <c r="K291" i="12" s="1"/>
  <c r="J473" i="12"/>
  <c r="F418" i="12"/>
  <c r="K418" i="12" s="1"/>
  <c r="H259" i="12"/>
  <c r="H217" i="12"/>
  <c r="H214" i="12"/>
  <c r="F237" i="12"/>
  <c r="K237" i="12" s="1"/>
  <c r="F422" i="12"/>
  <c r="K422" i="12" s="1"/>
  <c r="D388" i="12"/>
  <c r="J388" i="12" s="1"/>
  <c r="F228" i="12"/>
  <c r="K228" i="12" s="1"/>
  <c r="F348" i="12"/>
  <c r="F244" i="12"/>
  <c r="K244" i="12" s="1"/>
  <c r="F440" i="12"/>
  <c r="K440" i="12" s="1"/>
  <c r="J94" i="12"/>
  <c r="H293" i="12"/>
  <c r="F131" i="12"/>
  <c r="H402" i="12"/>
  <c r="F434" i="12"/>
  <c r="K434" i="12" s="1"/>
  <c r="F436" i="12"/>
  <c r="K436" i="12" s="1"/>
  <c r="F469" i="12"/>
  <c r="K469" i="12" s="1"/>
  <c r="J308" i="12"/>
  <c r="H323" i="12"/>
  <c r="D297" i="12"/>
  <c r="F450" i="12"/>
  <c r="K450" i="12" s="1"/>
  <c r="F454" i="12"/>
  <c r="K454" i="12" s="1"/>
  <c r="F65" i="12"/>
  <c r="H77" i="12"/>
  <c r="H133" i="12"/>
  <c r="F213" i="12"/>
  <c r="D215" i="12"/>
  <c r="H215" i="12" s="1"/>
  <c r="H192" i="12"/>
  <c r="F323" i="12"/>
  <c r="F456" i="12"/>
  <c r="K456" i="12" s="1"/>
  <c r="H213" i="12"/>
  <c r="H387" i="12"/>
  <c r="H438" i="12"/>
  <c r="F459" i="12"/>
  <c r="K459" i="12" s="1"/>
  <c r="F96" i="12"/>
  <c r="K96" i="12" s="1"/>
  <c r="H131" i="12"/>
  <c r="F177" i="12"/>
  <c r="D180" i="12"/>
  <c r="H180" i="12" s="1"/>
  <c r="F209" i="12"/>
  <c r="K209" i="12" s="1"/>
  <c r="F231" i="12"/>
  <c r="K231" i="12" s="1"/>
  <c r="F236" i="12"/>
  <c r="D239" i="12"/>
  <c r="D240" i="12" s="1"/>
  <c r="D241" i="12"/>
  <c r="H241" i="12" s="1"/>
  <c r="F243" i="12"/>
  <c r="D245" i="12"/>
  <c r="D246" i="12" s="1"/>
  <c r="D247" i="12"/>
  <c r="F247" i="12" s="1"/>
  <c r="K247" i="12" s="1"/>
  <c r="H304" i="12"/>
  <c r="F414" i="12"/>
  <c r="F417" i="12"/>
  <c r="K417" i="12" s="1"/>
  <c r="F430" i="12"/>
  <c r="F445" i="12"/>
  <c r="K445" i="12" s="1"/>
  <c r="F468" i="12"/>
  <c r="K468" i="12" s="1"/>
  <c r="F77" i="12"/>
  <c r="D132" i="12"/>
  <c r="H132" i="12" s="1"/>
  <c r="H177" i="12"/>
  <c r="J196" i="12"/>
  <c r="K196" i="12" s="1"/>
  <c r="J198" i="12"/>
  <c r="K198" i="12" s="1"/>
  <c r="F234" i="12"/>
  <c r="K234" i="12" s="1"/>
  <c r="F235" i="12"/>
  <c r="K235" i="12" s="1"/>
  <c r="H236" i="12"/>
  <c r="H243" i="12"/>
  <c r="J389" i="12"/>
  <c r="J394" i="12"/>
  <c r="H414" i="12"/>
  <c r="H430" i="12"/>
  <c r="F441" i="12"/>
  <c r="K441" i="12" s="1"/>
  <c r="F463" i="12"/>
  <c r="K463" i="12" s="1"/>
  <c r="F189" i="12"/>
  <c r="F208" i="12"/>
  <c r="K208" i="12" s="1"/>
  <c r="F249" i="12"/>
  <c r="K249" i="12" s="1"/>
  <c r="H280" i="12"/>
  <c r="F389" i="12"/>
  <c r="F394" i="12"/>
  <c r="H443" i="12"/>
  <c r="H431" i="12"/>
  <c r="F431" i="12"/>
  <c r="F100" i="12"/>
  <c r="K100" i="12" s="1"/>
  <c r="F173" i="12"/>
  <c r="H189" i="12"/>
  <c r="H202" i="12"/>
  <c r="F225" i="12"/>
  <c r="F278" i="12"/>
  <c r="K278" i="12" s="1"/>
  <c r="F290" i="12"/>
  <c r="K290" i="12" s="1"/>
  <c r="F299" i="12"/>
  <c r="K299" i="12" s="1"/>
  <c r="H376" i="12"/>
  <c r="F384" i="12"/>
  <c r="D399" i="12"/>
  <c r="F402" i="12"/>
  <c r="D407" i="12"/>
  <c r="F416" i="12"/>
  <c r="K416" i="12" s="1"/>
  <c r="D419" i="12"/>
  <c r="F419" i="12" s="1"/>
  <c r="K419" i="12" s="1"/>
  <c r="F435" i="12"/>
  <c r="K435" i="12" s="1"/>
  <c r="F439" i="12"/>
  <c r="K439" i="12" s="1"/>
  <c r="F451" i="12"/>
  <c r="K451" i="12" s="1"/>
  <c r="F453" i="12"/>
  <c r="K453" i="12" s="1"/>
  <c r="F460" i="12"/>
  <c r="K460" i="12" s="1"/>
  <c r="K493" i="12"/>
  <c r="F172" i="12"/>
  <c r="K172" i="12" s="1"/>
  <c r="H173" i="12"/>
  <c r="D176" i="12"/>
  <c r="H204" i="12"/>
  <c r="F233" i="12"/>
  <c r="K233" i="12" s="1"/>
  <c r="H348" i="12"/>
  <c r="F427" i="12"/>
  <c r="K427" i="12" s="1"/>
  <c r="F429" i="12"/>
  <c r="K429" i="12" s="1"/>
  <c r="F437" i="12"/>
  <c r="K437" i="12" s="1"/>
  <c r="F438" i="12"/>
  <c r="F457" i="12"/>
  <c r="K457" i="12" s="1"/>
  <c r="H470" i="12"/>
  <c r="H403" i="12"/>
  <c r="F86" i="12"/>
  <c r="F184" i="12"/>
  <c r="K184" i="12" s="1"/>
  <c r="F277" i="12"/>
  <c r="K277" i="12" s="1"/>
  <c r="F286" i="12"/>
  <c r="K286" i="12" s="1"/>
  <c r="J384" i="12"/>
  <c r="F415" i="12"/>
  <c r="K415" i="12" s="1"/>
  <c r="E473" i="12"/>
  <c r="F473" i="12" s="1"/>
  <c r="H194" i="12"/>
  <c r="F194" i="12"/>
  <c r="D102" i="12"/>
  <c r="F186" i="12"/>
  <c r="H203" i="12"/>
  <c r="F203" i="12"/>
  <c r="D107" i="12"/>
  <c r="D109" i="12"/>
  <c r="D111" i="12" s="1"/>
  <c r="D112" i="12" s="1"/>
  <c r="F108" i="12"/>
  <c r="D114" i="12"/>
  <c r="D116" i="12" s="1"/>
  <c r="F113" i="12"/>
  <c r="K113" i="12" s="1"/>
  <c r="D119" i="12"/>
  <c r="D121" i="12" s="1"/>
  <c r="F118" i="12"/>
  <c r="K118" i="12" s="1"/>
  <c r="H142" i="12"/>
  <c r="F142" i="12"/>
  <c r="H162" i="12"/>
  <c r="F162" i="12"/>
  <c r="K162" i="12" s="1"/>
  <c r="J167" i="12"/>
  <c r="H186" i="12"/>
  <c r="F197" i="12"/>
  <c r="D195" i="12"/>
  <c r="J195" i="12" s="1"/>
  <c r="D212" i="12"/>
  <c r="F210" i="12"/>
  <c r="H375" i="12"/>
  <c r="F375" i="12"/>
  <c r="J375" i="12"/>
  <c r="D71" i="12"/>
  <c r="D106" i="12"/>
  <c r="D64" i="12"/>
  <c r="F93" i="12"/>
  <c r="H93" i="12"/>
  <c r="F135" i="12"/>
  <c r="H174" i="12"/>
  <c r="F174" i="12"/>
  <c r="K174" i="12" s="1"/>
  <c r="H178" i="12"/>
  <c r="F178" i="12"/>
  <c r="H190" i="12"/>
  <c r="F190" i="12"/>
  <c r="D191" i="12"/>
  <c r="J197" i="12"/>
  <c r="H205" i="12"/>
  <c r="F205" i="12"/>
  <c r="H210" i="12"/>
  <c r="H140" i="12"/>
  <c r="F140" i="12"/>
  <c r="K140" i="12" s="1"/>
  <c r="F63" i="12"/>
  <c r="F101" i="12"/>
  <c r="K101" i="12" s="1"/>
  <c r="H65" i="12"/>
  <c r="H63" i="12"/>
  <c r="D69" i="12"/>
  <c r="F91" i="12"/>
  <c r="K91" i="12" s="1"/>
  <c r="H92" i="12"/>
  <c r="K92" i="12" s="1"/>
  <c r="F97" i="12"/>
  <c r="K97" i="12" s="1"/>
  <c r="D99" i="12"/>
  <c r="H108" i="12"/>
  <c r="H113" i="12"/>
  <c r="H118" i="12"/>
  <c r="H136" i="12"/>
  <c r="K136" i="12" s="1"/>
  <c r="D137" i="12"/>
  <c r="D141" i="12"/>
  <c r="H152" i="12"/>
  <c r="F152" i="12"/>
  <c r="H193" i="12"/>
  <c r="F193" i="12"/>
  <c r="H201" i="12"/>
  <c r="F201" i="12"/>
  <c r="D250" i="12"/>
  <c r="D242" i="12"/>
  <c r="D253" i="12"/>
  <c r="F253" i="12" s="1"/>
  <c r="K253" i="12" s="1"/>
  <c r="F248" i="12"/>
  <c r="D258" i="12"/>
  <c r="F258" i="12" s="1"/>
  <c r="K258" i="12" s="1"/>
  <c r="D256" i="12"/>
  <c r="D255" i="12"/>
  <c r="F255" i="12" s="1"/>
  <c r="K255" i="12" s="1"/>
  <c r="F254" i="12"/>
  <c r="H254" i="12"/>
  <c r="J312" i="12"/>
  <c r="H373" i="12"/>
  <c r="F373" i="12"/>
  <c r="D370" i="12"/>
  <c r="J373" i="12"/>
  <c r="J393" i="12"/>
  <c r="D392" i="12"/>
  <c r="F393" i="12"/>
  <c r="D199" i="12"/>
  <c r="J199" i="12" s="1"/>
  <c r="F204" i="12"/>
  <c r="H248" i="12"/>
  <c r="F289" i="12"/>
  <c r="F301" i="12"/>
  <c r="D358" i="12"/>
  <c r="D353" i="12"/>
  <c r="D352" i="12"/>
  <c r="D357" i="12" s="1"/>
  <c r="H349" i="12"/>
  <c r="D355" i="12"/>
  <c r="H355" i="12" s="1"/>
  <c r="D351" i="12"/>
  <c r="D356" i="12" s="1"/>
  <c r="F349" i="12"/>
  <c r="D354" i="12"/>
  <c r="F192" i="12"/>
  <c r="F202" i="12"/>
  <c r="H225" i="12"/>
  <c r="F217" i="12"/>
  <c r="D218" i="12"/>
  <c r="D219" i="12" s="1"/>
  <c r="D220" i="12"/>
  <c r="D275" i="12"/>
  <c r="F282" i="12"/>
  <c r="K282" i="12" s="1"/>
  <c r="D281" i="12"/>
  <c r="F281" i="12" s="1"/>
  <c r="K281" i="12" s="1"/>
  <c r="F280" i="12"/>
  <c r="F288" i="12"/>
  <c r="K288" i="12" s="1"/>
  <c r="H289" i="12"/>
  <c r="F295" i="12"/>
  <c r="K295" i="12" s="1"/>
  <c r="D294" i="12"/>
  <c r="F294" i="12" s="1"/>
  <c r="K294" i="12" s="1"/>
  <c r="F293" i="12"/>
  <c r="D300" i="12"/>
  <c r="F300" i="12" s="1"/>
  <c r="K300" i="12" s="1"/>
  <c r="H301" i="12"/>
  <c r="F304" i="12"/>
  <c r="F385" i="12"/>
  <c r="H335" i="12"/>
  <c r="D336" i="12"/>
  <c r="F335" i="12"/>
  <c r="H359" i="12"/>
  <c r="F359" i="12"/>
  <c r="D347" i="12"/>
  <c r="D309" i="12"/>
  <c r="H308" i="12"/>
  <c r="D311" i="12"/>
  <c r="J381" i="12"/>
  <c r="K381" i="12" s="1"/>
  <c r="J391" i="12"/>
  <c r="K391" i="12" s="1"/>
  <c r="D424" i="12"/>
  <c r="F424" i="12" s="1"/>
  <c r="K424" i="12" s="1"/>
  <c r="F423" i="12"/>
  <c r="J376" i="12"/>
  <c r="J387" i="12"/>
  <c r="H423" i="12"/>
  <c r="H461" i="12"/>
  <c r="F401" i="12"/>
  <c r="K401" i="12" s="1"/>
  <c r="H408" i="12"/>
  <c r="D413" i="12"/>
  <c r="F413" i="12" s="1"/>
  <c r="K413" i="12" s="1"/>
  <c r="F412" i="12"/>
  <c r="K412" i="12" s="1"/>
  <c r="F411" i="12"/>
  <c r="K411" i="12" s="1"/>
  <c r="F410" i="12"/>
  <c r="K410" i="12" s="1"/>
  <c r="F409" i="12"/>
  <c r="K409" i="12" s="1"/>
  <c r="F408" i="12"/>
  <c r="D420" i="12"/>
  <c r="F446" i="12"/>
  <c r="K446" i="12" s="1"/>
  <c r="F465" i="12"/>
  <c r="K465" i="12" s="1"/>
  <c r="F443" i="12"/>
  <c r="D337" i="12" l="1"/>
  <c r="Y337" i="12" s="1"/>
  <c r="Y336" i="12"/>
  <c r="K194" i="12"/>
  <c r="K393" i="12"/>
  <c r="K204" i="12"/>
  <c r="K201" i="12"/>
  <c r="K205" i="12"/>
  <c r="K108" i="12"/>
  <c r="K408" i="12"/>
  <c r="K431" i="12"/>
  <c r="K430" i="12"/>
  <c r="K387" i="12"/>
  <c r="K186" i="12"/>
  <c r="K178" i="12"/>
  <c r="K359" i="12"/>
  <c r="K348" i="12"/>
  <c r="K93" i="12"/>
  <c r="K384" i="12"/>
  <c r="K193" i="12"/>
  <c r="K142" i="12"/>
  <c r="K308" i="12"/>
  <c r="K402" i="12"/>
  <c r="K213" i="12"/>
  <c r="K473" i="12"/>
  <c r="K376" i="12"/>
  <c r="K217" i="12"/>
  <c r="K197" i="12"/>
  <c r="K394" i="12"/>
  <c r="K236" i="12"/>
  <c r="K202" i="12"/>
  <c r="K192" i="12"/>
  <c r="K293" i="12"/>
  <c r="K349" i="12"/>
  <c r="K189" i="12"/>
  <c r="K389" i="12"/>
  <c r="K304" i="12"/>
  <c r="K152" i="12"/>
  <c r="K135" i="12"/>
  <c r="K177" i="12"/>
  <c r="K373" i="12"/>
  <c r="I370" i="12" s="1"/>
  <c r="J370" i="12" s="1"/>
  <c r="K414" i="12"/>
  <c r="K254" i="12"/>
  <c r="K375" i="12"/>
  <c r="K173" i="12"/>
  <c r="K301" i="12"/>
  <c r="K323" i="12"/>
  <c r="K131" i="12"/>
  <c r="K423" i="12"/>
  <c r="K243" i="12"/>
  <c r="K443" i="12"/>
  <c r="K225" i="12"/>
  <c r="K280" i="12"/>
  <c r="K289" i="12"/>
  <c r="K210" i="12"/>
  <c r="K335" i="12"/>
  <c r="K248" i="12"/>
  <c r="K190" i="12"/>
  <c r="K203" i="12"/>
  <c r="K438" i="12"/>
  <c r="F357" i="12"/>
  <c r="H357" i="12"/>
  <c r="F310" i="12"/>
  <c r="H310" i="12"/>
  <c r="F219" i="12"/>
  <c r="H219" i="12"/>
  <c r="F170" i="12"/>
  <c r="F171" i="12"/>
  <c r="H121" i="12"/>
  <c r="F121" i="12"/>
  <c r="F116" i="12"/>
  <c r="H116" i="12"/>
  <c r="H111" i="12"/>
  <c r="F111" i="12"/>
  <c r="H356" i="12"/>
  <c r="E141" i="12"/>
  <c r="F141" i="12" s="1"/>
  <c r="G297" i="12"/>
  <c r="H297" i="12" s="1"/>
  <c r="G399" i="12"/>
  <c r="H399" i="12" s="1"/>
  <c r="E425" i="12"/>
  <c r="G407" i="12"/>
  <c r="H407" i="12" s="1"/>
  <c r="I374" i="12"/>
  <c r="J374" i="12" s="1"/>
  <c r="E284" i="12"/>
  <c r="F284" i="12" s="1"/>
  <c r="E275" i="12"/>
  <c r="F275" i="12" s="1"/>
  <c r="G275" i="12"/>
  <c r="F220" i="12"/>
  <c r="H220" i="12"/>
  <c r="F226" i="12"/>
  <c r="H226" i="12"/>
  <c r="F218" i="12"/>
  <c r="H218" i="12"/>
  <c r="E407" i="12"/>
  <c r="F407" i="12" s="1"/>
  <c r="F240" i="12"/>
  <c r="H240" i="12"/>
  <c r="G229" i="12" s="1"/>
  <c r="H229" i="12" s="1"/>
  <c r="F246" i="12"/>
  <c r="H246" i="12"/>
  <c r="F388" i="12"/>
  <c r="K388" i="12" s="1"/>
  <c r="F214" i="12"/>
  <c r="K214" i="12" s="1"/>
  <c r="G130" i="12"/>
  <c r="K77" i="12"/>
  <c r="D134" i="12"/>
  <c r="F134" i="12" s="1"/>
  <c r="F133" i="12"/>
  <c r="K133" i="12" s="1"/>
  <c r="H86" i="12"/>
  <c r="K86" i="12" s="1"/>
  <c r="E259" i="12"/>
  <c r="F259" i="12" s="1"/>
  <c r="K259" i="12" s="1"/>
  <c r="F245" i="12"/>
  <c r="K245" i="12" s="1"/>
  <c r="H170" i="12"/>
  <c r="F442" i="12"/>
  <c r="K442" i="12" s="1"/>
  <c r="F241" i="12"/>
  <c r="K241" i="12" s="1"/>
  <c r="K65" i="12"/>
  <c r="F180" i="12"/>
  <c r="K180" i="12" s="1"/>
  <c r="F215" i="12"/>
  <c r="K215" i="12" s="1"/>
  <c r="I385" i="12"/>
  <c r="J385" i="12" s="1"/>
  <c r="K385" i="12" s="1"/>
  <c r="F239" i="12"/>
  <c r="K239" i="12" s="1"/>
  <c r="F470" i="12"/>
  <c r="K470" i="12" s="1"/>
  <c r="E448" i="12"/>
  <c r="F448" i="12" s="1"/>
  <c r="K448" i="12" s="1"/>
  <c r="F404" i="12"/>
  <c r="F132" i="12"/>
  <c r="K132" i="12" s="1"/>
  <c r="F461" i="12"/>
  <c r="K461" i="12" s="1"/>
  <c r="F403" i="12"/>
  <c r="H466" i="12"/>
  <c r="F176" i="12"/>
  <c r="H176" i="12"/>
  <c r="J141" i="12"/>
  <c r="H141" i="12"/>
  <c r="H311" i="12"/>
  <c r="F311" i="12"/>
  <c r="K311" i="12" s="1"/>
  <c r="H350" i="12"/>
  <c r="F350" i="12"/>
  <c r="H358" i="12"/>
  <c r="F358" i="12"/>
  <c r="F179" i="12"/>
  <c r="H179" i="12"/>
  <c r="H71" i="12"/>
  <c r="F71" i="12"/>
  <c r="H212" i="12"/>
  <c r="F212" i="12"/>
  <c r="K212" i="12" s="1"/>
  <c r="H114" i="12"/>
  <c r="F114" i="12"/>
  <c r="K114" i="12" s="1"/>
  <c r="D139" i="12"/>
  <c r="F138" i="12"/>
  <c r="H138" i="12"/>
  <c r="F64" i="12"/>
  <c r="H64" i="12"/>
  <c r="D224" i="12"/>
  <c r="F221" i="12"/>
  <c r="H221" i="12"/>
  <c r="H119" i="12"/>
  <c r="F119" i="12"/>
  <c r="H115" i="12"/>
  <c r="D117" i="12"/>
  <c r="F115" i="12"/>
  <c r="H110" i="12"/>
  <c r="F110" i="12"/>
  <c r="K110" i="12" s="1"/>
  <c r="H309" i="12"/>
  <c r="F309" i="12"/>
  <c r="H318" i="12"/>
  <c r="D321" i="12"/>
  <c r="F318" i="12"/>
  <c r="H352" i="12"/>
  <c r="F352" i="12"/>
  <c r="K352" i="12" s="1"/>
  <c r="D216" i="12"/>
  <c r="J392" i="12"/>
  <c r="F392" i="12"/>
  <c r="K392" i="12" s="1"/>
  <c r="F99" i="12"/>
  <c r="H99" i="12"/>
  <c r="D334" i="12"/>
  <c r="Y334" i="12" s="1"/>
  <c r="D328" i="12"/>
  <c r="Y328" i="12" s="1"/>
  <c r="D331" i="12"/>
  <c r="Y331" i="12" s="1"/>
  <c r="D326" i="12"/>
  <c r="Y326" i="12" s="1"/>
  <c r="F324" i="12"/>
  <c r="D330" i="12"/>
  <c r="Y330" i="12" s="1"/>
  <c r="D327" i="12"/>
  <c r="Y327" i="12" s="1"/>
  <c r="D329" i="12"/>
  <c r="D325" i="12"/>
  <c r="Y325" i="12" s="1"/>
  <c r="H324" i="12"/>
  <c r="E90" i="12"/>
  <c r="F90" i="12" s="1"/>
  <c r="H195" i="12"/>
  <c r="F195" i="12"/>
  <c r="H120" i="12"/>
  <c r="D122" i="12"/>
  <c r="F120" i="12"/>
  <c r="F102" i="12"/>
  <c r="H102" i="12"/>
  <c r="D363" i="12"/>
  <c r="D368" i="12" s="1"/>
  <c r="H360" i="12"/>
  <c r="D366" i="12"/>
  <c r="D362" i="12"/>
  <c r="D367" i="12" s="1"/>
  <c r="F360" i="12"/>
  <c r="D365" i="12"/>
  <c r="D364" i="12"/>
  <c r="D369" i="12"/>
  <c r="F302" i="12"/>
  <c r="K302" i="12" s="1"/>
  <c r="D303" i="12"/>
  <c r="F303" i="12" s="1"/>
  <c r="K303" i="12" s="1"/>
  <c r="D257" i="12"/>
  <c r="F256" i="12"/>
  <c r="K256" i="12" s="1"/>
  <c r="F137" i="12"/>
  <c r="H137" i="12"/>
  <c r="H72" i="12"/>
  <c r="D73" i="12"/>
  <c r="D80" i="12"/>
  <c r="D78" i="12"/>
  <c r="F72" i="12"/>
  <c r="H106" i="12"/>
  <c r="F106" i="12"/>
  <c r="H167" i="12"/>
  <c r="F167" i="12"/>
  <c r="K167" i="12" s="1"/>
  <c r="F187" i="12"/>
  <c r="D188" i="12"/>
  <c r="H187" i="12"/>
  <c r="E420" i="12"/>
  <c r="F420" i="12" s="1"/>
  <c r="H420" i="12"/>
  <c r="H354" i="12"/>
  <c r="F354" i="12"/>
  <c r="F370" i="12"/>
  <c r="F250" i="12"/>
  <c r="K250" i="12" s="1"/>
  <c r="D252" i="12"/>
  <c r="H107" i="12"/>
  <c r="F69" i="12"/>
  <c r="D70" i="12"/>
  <c r="H69" i="12"/>
  <c r="F191" i="12"/>
  <c r="H191" i="12"/>
  <c r="G90" i="12"/>
  <c r="H90" i="12" s="1"/>
  <c r="D105" i="12"/>
  <c r="H103" i="12"/>
  <c r="F103" i="12"/>
  <c r="F355" i="12"/>
  <c r="K355" i="12" s="1"/>
  <c r="F447" i="12"/>
  <c r="K447" i="12" s="1"/>
  <c r="F444" i="12"/>
  <c r="K444" i="12" s="1"/>
  <c r="D339" i="12"/>
  <c r="Y339" i="12" s="1"/>
  <c r="H336" i="12"/>
  <c r="D343" i="12"/>
  <c r="Y343" i="12" s="1"/>
  <c r="D338" i="12"/>
  <c r="Y338" i="12" s="1"/>
  <c r="F336" i="12"/>
  <c r="D342" i="12"/>
  <c r="Y342" i="12" s="1"/>
  <c r="D341" i="12"/>
  <c r="D340" i="12"/>
  <c r="Y340" i="12" s="1"/>
  <c r="D346" i="12"/>
  <c r="Y346" i="12" s="1"/>
  <c r="D306" i="12"/>
  <c r="F306" i="12" s="1"/>
  <c r="K306" i="12" s="1"/>
  <c r="F305" i="12"/>
  <c r="K305" i="12" s="1"/>
  <c r="F351" i="12"/>
  <c r="H351" i="12"/>
  <c r="H353" i="12"/>
  <c r="F353" i="12"/>
  <c r="K353" i="12" s="1"/>
  <c r="H432" i="12"/>
  <c r="J318" i="12"/>
  <c r="D313" i="12"/>
  <c r="D317" i="12" s="1"/>
  <c r="H312" i="12"/>
  <c r="D315" i="12"/>
  <c r="D307" i="12"/>
  <c r="F312" i="12"/>
  <c r="K63" i="12"/>
  <c r="F175" i="12"/>
  <c r="H175" i="12"/>
  <c r="D87" i="12"/>
  <c r="H81" i="12"/>
  <c r="D82" i="12"/>
  <c r="F81" i="12"/>
  <c r="D89" i="12"/>
  <c r="D62" i="12"/>
  <c r="F374" i="12"/>
  <c r="H374" i="12"/>
  <c r="F211" i="12"/>
  <c r="H211" i="12"/>
  <c r="H109" i="12"/>
  <c r="F109" i="12"/>
  <c r="K109" i="12" s="1"/>
  <c r="D345" i="12" l="1"/>
  <c r="Y345" i="12" s="1"/>
  <c r="Y341" i="12"/>
  <c r="D333" i="12"/>
  <c r="Y333" i="12" s="1"/>
  <c r="Y329" i="12"/>
  <c r="K141" i="12"/>
  <c r="K309" i="12"/>
  <c r="K106" i="12"/>
  <c r="K350" i="12"/>
  <c r="K312" i="12"/>
  <c r="K103" i="12"/>
  <c r="K358" i="12"/>
  <c r="K195" i="12"/>
  <c r="K336" i="12"/>
  <c r="K360" i="12"/>
  <c r="K111" i="12"/>
  <c r="K90" i="12"/>
  <c r="K318" i="12"/>
  <c r="K119" i="12"/>
  <c r="K170" i="12"/>
  <c r="K374" i="12"/>
  <c r="K354" i="12"/>
  <c r="K120" i="12"/>
  <c r="K220" i="12"/>
  <c r="K137" i="12"/>
  <c r="K351" i="12"/>
  <c r="K219" i="12"/>
  <c r="K221" i="12"/>
  <c r="K310" i="12"/>
  <c r="K246" i="12"/>
  <c r="K175" i="12"/>
  <c r="K407" i="12"/>
  <c r="K218" i="12"/>
  <c r="K176" i="12"/>
  <c r="K99" i="12"/>
  <c r="K420" i="12"/>
  <c r="K179" i="12"/>
  <c r="K187" i="12"/>
  <c r="K191" i="12"/>
  <c r="K357" i="12"/>
  <c r="K240" i="12"/>
  <c r="K138" i="12"/>
  <c r="K324" i="12"/>
  <c r="K211" i="12"/>
  <c r="K226" i="12"/>
  <c r="K116" i="12"/>
  <c r="K102" i="12"/>
  <c r="K115" i="12"/>
  <c r="K403" i="12"/>
  <c r="E399" i="12" s="1"/>
  <c r="F399" i="12" s="1"/>
  <c r="K399" i="12" s="1"/>
  <c r="K121" i="12"/>
  <c r="K370" i="12"/>
  <c r="H317" i="12"/>
  <c r="F317" i="12"/>
  <c r="H368" i="12"/>
  <c r="F368" i="12"/>
  <c r="K368" i="12" s="1"/>
  <c r="H345" i="12"/>
  <c r="F345" i="12"/>
  <c r="H333" i="12"/>
  <c r="F333" i="12"/>
  <c r="K333" i="12" s="1"/>
  <c r="H314" i="12"/>
  <c r="F314" i="12"/>
  <c r="F356" i="12"/>
  <c r="K356" i="12" s="1"/>
  <c r="F425" i="12"/>
  <c r="K425" i="12" s="1"/>
  <c r="I307" i="12"/>
  <c r="J307" i="12" s="1"/>
  <c r="J494" i="12" s="1"/>
  <c r="E297" i="12"/>
  <c r="F297" i="12" s="1"/>
  <c r="K297" i="12" s="1"/>
  <c r="H199" i="12"/>
  <c r="G216" i="12"/>
  <c r="H216" i="12" s="1"/>
  <c r="E229" i="12"/>
  <c r="G206" i="12"/>
  <c r="H206" i="12" s="1"/>
  <c r="F222" i="12"/>
  <c r="H222" i="12"/>
  <c r="F224" i="12"/>
  <c r="H224" i="12"/>
  <c r="F257" i="12"/>
  <c r="H257" i="12"/>
  <c r="F252" i="12"/>
  <c r="H252" i="12"/>
  <c r="H134" i="12"/>
  <c r="K134" i="12" s="1"/>
  <c r="H171" i="12"/>
  <c r="K171" i="12" s="1"/>
  <c r="H404" i="12"/>
  <c r="K404" i="12" s="1"/>
  <c r="K64" i="12"/>
  <c r="D472" i="12"/>
  <c r="F472" i="12" s="1"/>
  <c r="K472" i="12" s="1"/>
  <c r="F471" i="12"/>
  <c r="K471" i="12" s="1"/>
  <c r="F432" i="12"/>
  <c r="K432" i="12" s="1"/>
  <c r="K72" i="12"/>
  <c r="K69" i="12"/>
  <c r="F89" i="12"/>
  <c r="H89" i="12"/>
  <c r="H188" i="12"/>
  <c r="G185" i="12" s="1"/>
  <c r="H185" i="12" s="1"/>
  <c r="F188" i="12"/>
  <c r="K188" i="12" s="1"/>
  <c r="H363" i="12"/>
  <c r="F363" i="12"/>
  <c r="F326" i="12"/>
  <c r="H326" i="12"/>
  <c r="K81" i="12"/>
  <c r="H307" i="12"/>
  <c r="D344" i="12"/>
  <c r="Y344" i="12" s="1"/>
  <c r="H341" i="12"/>
  <c r="F341" i="12"/>
  <c r="H343" i="12"/>
  <c r="F343" i="12"/>
  <c r="H105" i="12"/>
  <c r="G94" i="12" s="1"/>
  <c r="H94" i="12" s="1"/>
  <c r="F105" i="12"/>
  <c r="H78" i="12"/>
  <c r="F78" i="12"/>
  <c r="D79" i="12"/>
  <c r="F361" i="12"/>
  <c r="H361" i="12"/>
  <c r="H362" i="12"/>
  <c r="F362" i="12"/>
  <c r="K362" i="12" s="1"/>
  <c r="H327" i="12"/>
  <c r="F327" i="12"/>
  <c r="H331" i="12"/>
  <c r="F331" i="12"/>
  <c r="H321" i="12"/>
  <c r="F321" i="12"/>
  <c r="H117" i="12"/>
  <c r="F117" i="12"/>
  <c r="H139" i="12"/>
  <c r="H130" i="12" s="1"/>
  <c r="F139" i="12"/>
  <c r="H87" i="12"/>
  <c r="F87" i="12"/>
  <c r="D88" i="12"/>
  <c r="H313" i="12"/>
  <c r="F313" i="12"/>
  <c r="F337" i="12"/>
  <c r="H337" i="12"/>
  <c r="H364" i="12"/>
  <c r="F364" i="12"/>
  <c r="K364" i="12" s="1"/>
  <c r="F329" i="12"/>
  <c r="H329" i="12"/>
  <c r="D332" i="12"/>
  <c r="Y332" i="12" s="1"/>
  <c r="H82" i="12"/>
  <c r="F82" i="12"/>
  <c r="H315" i="12"/>
  <c r="F315" i="12"/>
  <c r="H346" i="12"/>
  <c r="F346" i="12"/>
  <c r="H342" i="12"/>
  <c r="F342" i="12"/>
  <c r="H70" i="12"/>
  <c r="F70" i="12"/>
  <c r="H80" i="12"/>
  <c r="F80" i="12"/>
  <c r="H366" i="12"/>
  <c r="F366" i="12"/>
  <c r="H330" i="12"/>
  <c r="F330" i="12"/>
  <c r="K330" i="12" s="1"/>
  <c r="F328" i="12"/>
  <c r="H328" i="12"/>
  <c r="H112" i="12"/>
  <c r="F112" i="12"/>
  <c r="H338" i="12"/>
  <c r="F338" i="12"/>
  <c r="H122" i="12"/>
  <c r="F122" i="12"/>
  <c r="K122" i="12" s="1"/>
  <c r="G62" i="12"/>
  <c r="H62" i="12" s="1"/>
  <c r="H340" i="12"/>
  <c r="F340" i="12"/>
  <c r="H339" i="12"/>
  <c r="F339" i="12"/>
  <c r="F73" i="12"/>
  <c r="H73" i="12"/>
  <c r="H369" i="12"/>
  <c r="F369" i="12"/>
  <c r="H365" i="12"/>
  <c r="F365" i="12"/>
  <c r="K365" i="12" s="1"/>
  <c r="H325" i="12"/>
  <c r="F325" i="12"/>
  <c r="H334" i="12"/>
  <c r="F334" i="12"/>
  <c r="H319" i="12"/>
  <c r="F319" i="12"/>
  <c r="K71" i="12"/>
  <c r="K139" i="12" l="1"/>
  <c r="K363" i="12"/>
  <c r="K117" i="12"/>
  <c r="K338" i="12"/>
  <c r="K345" i="12"/>
  <c r="K340" i="12"/>
  <c r="K334" i="12"/>
  <c r="K313" i="12"/>
  <c r="K321" i="12"/>
  <c r="K314" i="12"/>
  <c r="K315" i="12"/>
  <c r="K112" i="12"/>
  <c r="K342" i="12"/>
  <c r="K339" i="12"/>
  <c r="K327" i="12"/>
  <c r="K325" i="12"/>
  <c r="K346" i="12"/>
  <c r="K319" i="12"/>
  <c r="K329" i="12"/>
  <c r="K369" i="12"/>
  <c r="K343" i="12"/>
  <c r="K317" i="12"/>
  <c r="K337" i="12"/>
  <c r="K252" i="12"/>
  <c r="K224" i="12"/>
  <c r="K257" i="12"/>
  <c r="K222" i="12"/>
  <c r="K341" i="12"/>
  <c r="K326" i="12"/>
  <c r="K361" i="12"/>
  <c r="K328" i="12"/>
  <c r="K366" i="12"/>
  <c r="K331" i="12"/>
  <c r="E94" i="12"/>
  <c r="F94" i="12" s="1"/>
  <c r="K94" i="12" s="1"/>
  <c r="K105" i="12"/>
  <c r="H123" i="12"/>
  <c r="G242" i="12"/>
  <c r="H242" i="12" s="1"/>
  <c r="F229" i="12"/>
  <c r="K229" i="12" s="1"/>
  <c r="G168" i="12"/>
  <c r="H168" i="12" s="1"/>
  <c r="E206" i="12"/>
  <c r="F206" i="12" s="1"/>
  <c r="K206" i="12" s="1"/>
  <c r="E185" i="12"/>
  <c r="F185" i="12" s="1"/>
  <c r="K185" i="12" s="1"/>
  <c r="E466" i="12"/>
  <c r="F466" i="12" s="1"/>
  <c r="K466" i="12" s="1"/>
  <c r="E168" i="12"/>
  <c r="F168" i="12" s="1"/>
  <c r="K70" i="12"/>
  <c r="E130" i="12"/>
  <c r="F130" i="12" s="1"/>
  <c r="K130" i="12" s="1"/>
  <c r="E199" i="12"/>
  <c r="F199" i="12" s="1"/>
  <c r="K199" i="12" s="1"/>
  <c r="K80" i="12"/>
  <c r="H406" i="12"/>
  <c r="K87" i="12"/>
  <c r="K82" i="12"/>
  <c r="K78" i="12"/>
  <c r="K89" i="12"/>
  <c r="H367" i="12"/>
  <c r="G347" i="12" s="1"/>
  <c r="H347" i="12" s="1"/>
  <c r="F367" i="12"/>
  <c r="K367" i="12" s="1"/>
  <c r="H88" i="12"/>
  <c r="F88" i="12"/>
  <c r="F79" i="12"/>
  <c r="H79" i="12"/>
  <c r="K73" i="12"/>
  <c r="H332" i="12"/>
  <c r="F332" i="12"/>
  <c r="F406" i="12"/>
  <c r="H344" i="12"/>
  <c r="F344" i="12"/>
  <c r="K168" i="12" l="1"/>
  <c r="K344" i="12"/>
  <c r="K332" i="12"/>
  <c r="K406" i="12"/>
  <c r="F123" i="12"/>
  <c r="K123" i="12" s="1"/>
  <c r="E216" i="12"/>
  <c r="F216" i="12" s="1"/>
  <c r="K216" i="12" s="1"/>
  <c r="G322" i="12"/>
  <c r="E322" i="12"/>
  <c r="V322" i="12" s="1"/>
  <c r="E242" i="12"/>
  <c r="F242" i="12" s="1"/>
  <c r="K242" i="12" s="1"/>
  <c r="E107" i="12"/>
  <c r="F107" i="12" s="1"/>
  <c r="E307" i="12"/>
  <c r="F307" i="12" s="1"/>
  <c r="K307" i="12" s="1"/>
  <c r="E62" i="12"/>
  <c r="F62" i="12" s="1"/>
  <c r="E347" i="12"/>
  <c r="F347" i="12" s="1"/>
  <c r="K347" i="12" s="1"/>
  <c r="K88" i="12"/>
  <c r="K79" i="12"/>
  <c r="H322" i="12" l="1"/>
  <c r="W322" i="12"/>
  <c r="K107" i="12"/>
  <c r="F322" i="12"/>
  <c r="K322" i="12" s="1"/>
  <c r="K62" i="12"/>
  <c r="F494" i="12" l="1"/>
  <c r="F48" i="12"/>
  <c r="J47" i="12"/>
  <c r="H47" i="12"/>
  <c r="F47" i="12"/>
  <c r="H48" i="12" l="1"/>
  <c r="K48" i="12" s="1"/>
  <c r="K47" i="12"/>
  <c r="E7" i="3" l="1"/>
  <c r="E10" i="3" l="1"/>
  <c r="E11" i="3"/>
  <c r="E9" i="3"/>
  <c r="E8" i="3"/>
  <c r="C13" i="3"/>
  <c r="H39" i="12" l="1"/>
  <c r="F39" i="12"/>
  <c r="D38" i="12"/>
  <c r="H31" i="12"/>
  <c r="K31" i="12" s="1"/>
  <c r="E13" i="3"/>
  <c r="K39" i="12" l="1"/>
  <c r="H38" i="12"/>
  <c r="F38" i="12"/>
  <c r="D30" i="12"/>
  <c r="K38" i="12" l="1"/>
  <c r="I30" i="12"/>
  <c r="J30" i="12" s="1"/>
  <c r="J49" i="12" s="1"/>
  <c r="G30" i="12"/>
  <c r="E30" i="12"/>
  <c r="E9" i="12" l="1"/>
  <c r="F9" i="12" s="1"/>
  <c r="F15" i="12" s="1"/>
  <c r="H30" i="12"/>
  <c r="H49" i="12" s="1"/>
  <c r="K9" i="12" l="1"/>
  <c r="K15" i="12" s="1"/>
  <c r="F30" i="12"/>
  <c r="F49" i="12" s="1"/>
  <c r="K16" i="12" l="1"/>
  <c r="K17" i="12" s="1"/>
  <c r="K30" i="12"/>
  <c r="K49" i="12" s="1"/>
  <c r="K18" i="12" l="1"/>
  <c r="K19" i="12" s="1"/>
  <c r="K50" i="12"/>
  <c r="K51" i="12" s="1"/>
  <c r="K52" i="12" s="1"/>
  <c r="K53" i="12" s="1"/>
  <c r="K54" i="12" s="1"/>
  <c r="K55" i="12" s="1"/>
  <c r="K56" i="12" s="1"/>
  <c r="K57" i="12" s="1"/>
  <c r="K20" i="12" l="1"/>
  <c r="K21" i="12" s="1"/>
  <c r="K58" i="12"/>
  <c r="K59" i="12" s="1"/>
  <c r="B19" i="3" l="1"/>
  <c r="K22" i="12"/>
  <c r="K23" i="12" s="1"/>
  <c r="D19" i="3" l="1"/>
  <c r="E19" i="3" s="1"/>
  <c r="K24" i="12"/>
  <c r="K25" i="12" s="1"/>
  <c r="B18" i="3" l="1"/>
  <c r="D18" i="3"/>
  <c r="E18" i="3" s="1"/>
  <c r="H275" i="12"/>
  <c r="H284" i="12"/>
  <c r="K284" i="12" s="1"/>
  <c r="K275" i="12" l="1"/>
  <c r="K494" i="12" s="1"/>
  <c r="H494" i="12"/>
  <c r="K495" i="12" l="1"/>
  <c r="K496" i="12" s="1"/>
  <c r="K497" i="12" s="1"/>
  <c r="K498" i="12" s="1"/>
  <c r="K499" i="12" s="1"/>
  <c r="K500" i="12" s="1"/>
  <c r="K501" i="12" s="1"/>
  <c r="K502" i="12" s="1"/>
  <c r="K504" i="12" s="1"/>
  <c r="K507" i="12" s="1"/>
  <c r="B20" i="3" l="1"/>
  <c r="D20" i="3" l="1"/>
  <c r="E20" i="3" s="1"/>
  <c r="E21" i="3" s="1"/>
  <c r="D21" i="3" l="1"/>
</calcChain>
</file>

<file path=xl/sharedStrings.xml><?xml version="1.0" encoding="utf-8"?>
<sst xmlns="http://schemas.openxmlformats.org/spreadsheetml/2006/main" count="1498" uniqueCount="442">
  <si>
    <t>#</t>
  </si>
  <si>
    <t>samuSaos dasaxeleba</t>
  </si>
  <si>
    <t>gan/ba</t>
  </si>
  <si>
    <t>raod.</t>
  </si>
  <si>
    <t>masala, erT</t>
  </si>
  <si>
    <t>masala, sul</t>
  </si>
  <si>
    <t>xelf, erT</t>
  </si>
  <si>
    <t>xelf, sul</t>
  </si>
  <si>
    <t>jami</t>
  </si>
  <si>
    <t>m3</t>
  </si>
  <si>
    <t>m2</t>
  </si>
  <si>
    <t>rkinabetonis karkasi</t>
  </si>
  <si>
    <t>t</t>
  </si>
  <si>
    <t>armatura a500</t>
  </si>
  <si>
    <t>damxmare masala</t>
  </si>
  <si>
    <t>zednadebi xarji</t>
  </si>
  <si>
    <t>mogeba</t>
  </si>
  <si>
    <t>dRg</t>
  </si>
  <si>
    <t>mTliani</t>
  </si>
  <si>
    <t>sarTuli</t>
  </si>
  <si>
    <t>samS. farTi</t>
  </si>
  <si>
    <t>sasarg. farTi</t>
  </si>
  <si>
    <t>%</t>
  </si>
  <si>
    <t>saxuravi</t>
  </si>
  <si>
    <t>1ლ/m2</t>
  </si>
  <si>
    <t>sacxovrebeli saxlis winaswari xarjTaRricxva</t>
  </si>
  <si>
    <t>xarjTaRricxva</t>
  </si>
  <si>
    <t>konstruqciuli nawili</t>
  </si>
  <si>
    <t>$</t>
  </si>
  <si>
    <t>dRiuri muSebi</t>
  </si>
  <si>
    <t>kac/dRe</t>
  </si>
  <si>
    <t>1$/m2</t>
  </si>
  <si>
    <t>saZirkveli</t>
  </si>
  <si>
    <t>moms. erT</t>
  </si>
  <si>
    <t>moms, sul</t>
  </si>
  <si>
    <t>karkasis mowyoba</t>
  </si>
  <si>
    <t>TariRi</t>
  </si>
  <si>
    <t>usafrTxoebis xarji</t>
  </si>
  <si>
    <t>betoni b-25</t>
  </si>
  <si>
    <t>Tve</t>
  </si>
  <si>
    <t>grZ.m</t>
  </si>
  <si>
    <t>yalibi</t>
  </si>
  <si>
    <t>teqnika</t>
  </si>
  <si>
    <t>armatura a240</t>
  </si>
  <si>
    <t>q. TbilisSi, lisi</t>
  </si>
  <si>
    <t>Sveleris mowyoba</t>
  </si>
  <si>
    <t xml:space="preserve"> TeTri karkasi</t>
  </si>
  <si>
    <t>blokis wyoba 20</t>
  </si>
  <si>
    <t>bloki 20-iani</t>
  </si>
  <si>
    <t>c</t>
  </si>
  <si>
    <t>qviSa</t>
  </si>
  <si>
    <t>cementi m300</t>
  </si>
  <si>
    <t>blokis wyoba 20  niS 0.00</t>
  </si>
  <si>
    <t>fasadis mopirkeTeba aguriT</t>
  </si>
  <si>
    <t>aguri dekoratiuli</t>
  </si>
  <si>
    <t>cali</t>
  </si>
  <si>
    <t>kar-fanjrebis ferdilis mopirkeTeba aguriT</t>
  </si>
  <si>
    <t>ferdilis mopirkeTeba aguriT, niS. 0.00</t>
  </si>
  <si>
    <t>ferdilis mopirkeTeba parapetze</t>
  </si>
  <si>
    <t>niS 0.00</t>
  </si>
  <si>
    <t>fanjris bazaltis sacremle</t>
  </si>
  <si>
    <t>sacremle, niS. 0.00</t>
  </si>
  <si>
    <t>bazaltis fila 05</t>
  </si>
  <si>
    <t>webo/cementi</t>
  </si>
  <si>
    <t>sacremle, niS. 10.5</t>
  </si>
  <si>
    <t>kar-fanjrebis amolesva Signidan</t>
  </si>
  <si>
    <t>lesva, niS. 0.00</t>
  </si>
  <si>
    <t>kar-fanjrebis izolacia</t>
  </si>
  <si>
    <t>izolacia niS. 0.00</t>
  </si>
  <si>
    <t>sadarbazos SefiTxvna</t>
  </si>
  <si>
    <t>fiTxi</t>
  </si>
  <si>
    <t>SefiTxvna niS. 0.00</t>
  </si>
  <si>
    <t>sadarbazos Rebva</t>
  </si>
  <si>
    <t>Rebva, niS. -2.55</t>
  </si>
  <si>
    <t>saRebavi</t>
  </si>
  <si>
    <t>litri</t>
  </si>
  <si>
    <t>Rebva, niS. 0.00</t>
  </si>
  <si>
    <t>Rebva, niS. 3.20/6.40/9.60</t>
  </si>
  <si>
    <t xml:space="preserve">blokis wyoba 10sm tualetebi </t>
  </si>
  <si>
    <t>blokis wyoba niS. 0.00</t>
  </si>
  <si>
    <t>bloki 10-iani</t>
  </si>
  <si>
    <t>blokis wyoba 10 niS. 0.00</t>
  </si>
  <si>
    <t>Tunuqi</t>
  </si>
  <si>
    <t>membrana</t>
  </si>
  <si>
    <t>meTlaxi aivnebze</t>
  </si>
  <si>
    <t>meTlaxi niS. 0.00</t>
  </si>
  <si>
    <t>meTlaxi sadarbazoSi</t>
  </si>
  <si>
    <t>k/granitis plintusi</t>
  </si>
  <si>
    <t>plintusi niS. 0.00</t>
  </si>
  <si>
    <t>iatakebis moWimva</t>
  </si>
  <si>
    <t>Savi qviSa</t>
  </si>
  <si>
    <t>cementi m400</t>
  </si>
  <si>
    <t>iatakebis moWimva niS 0.00</t>
  </si>
  <si>
    <t>T/m mopirkeTeba kedlebi</t>
  </si>
  <si>
    <t>T/m niS, 0.00</t>
  </si>
  <si>
    <t>T/muyaos fila</t>
  </si>
  <si>
    <t>profili cd</t>
  </si>
  <si>
    <t>profili ud</t>
  </si>
  <si>
    <t>minabamba</t>
  </si>
  <si>
    <t>agrafi</t>
  </si>
  <si>
    <t>Surufi tn25</t>
  </si>
  <si>
    <t>Surufi tn35</t>
  </si>
  <si>
    <t>T/m mopirkeTeba tixrebi</t>
  </si>
  <si>
    <t>profili uv</t>
  </si>
  <si>
    <t>profili cv</t>
  </si>
  <si>
    <t>liTonis binis kari</t>
  </si>
  <si>
    <t>kari. niS. 0.00</t>
  </si>
  <si>
    <t>kari. niS. 3.20/6.40/9.60</t>
  </si>
  <si>
    <t>liTonis sadarbazos kari</t>
  </si>
  <si>
    <t>kari niS. 0.00</t>
  </si>
  <si>
    <t>saxuravze gasasvleli gisosi</t>
  </si>
  <si>
    <t>gisosi</t>
  </si>
  <si>
    <t>saevakuacio kari</t>
  </si>
  <si>
    <t>liTonis aivnis moajiri</t>
  </si>
  <si>
    <t>moajiri, niS. 0.00</t>
  </si>
  <si>
    <t>liTonis kibis moajiri</t>
  </si>
  <si>
    <t>liTonis kibis moajiri kedelze misamagrebeli</t>
  </si>
  <si>
    <t>moajiri, niS. 3.20/6.40/9.60</t>
  </si>
  <si>
    <t>sak. Saxta niS. 0.00</t>
  </si>
  <si>
    <t>sak. Saxta niS. 3.20/6.40/9.60</t>
  </si>
  <si>
    <t>gaTbobis milebis daqselva</t>
  </si>
  <si>
    <t>bina</t>
  </si>
  <si>
    <t>gaTboba, niS. 0.00</t>
  </si>
  <si>
    <t>gaTbobis mili</t>
  </si>
  <si>
    <t>kanalizaciis daqselva</t>
  </si>
  <si>
    <t>ventilaciis daqselva</t>
  </si>
  <si>
    <t>Sida eldaqselva</t>
  </si>
  <si>
    <t>wert.</t>
  </si>
  <si>
    <t>eldaqselva, niS. 0.00</t>
  </si>
  <si>
    <t>kabeli 3*2.5</t>
  </si>
  <si>
    <t>kabeli 3*1.5</t>
  </si>
  <si>
    <t>kabeli 2*1.5</t>
  </si>
  <si>
    <t>internetis kabeli</t>
  </si>
  <si>
    <t>aivnis sanaTebi</t>
  </si>
  <si>
    <t>sanaTi, niS. 0.00</t>
  </si>
  <si>
    <t>sanaTi</t>
  </si>
  <si>
    <t>sanaTi, niS. 3.20/6.40/9.60</t>
  </si>
  <si>
    <t>sadarbazos sanaTi</t>
  </si>
  <si>
    <t>sadarbazos daqselva</t>
  </si>
  <si>
    <t>Telasis kabeli</t>
  </si>
  <si>
    <t>kabeli 2*2.5</t>
  </si>
  <si>
    <t>wylis centraluri dgari</t>
  </si>
  <si>
    <t>wylis mili</t>
  </si>
  <si>
    <t>wylis dgari, niS. 0.00</t>
  </si>
  <si>
    <t>wylis daqselva binebSi</t>
  </si>
  <si>
    <t>daqselva, niS. 0.00</t>
  </si>
  <si>
    <t>liftebi</t>
  </si>
  <si>
    <t>lifti</t>
  </si>
  <si>
    <t>asaZromi kibe</t>
  </si>
  <si>
    <t>samisamarTo saxanZro signalizaciis mowyoba</t>
  </si>
  <si>
    <t>saxanZro mildgarebis sistemis mowyoba</t>
  </si>
  <si>
    <t>saxanZro saventilacio danadgarebis mowyoba</t>
  </si>
  <si>
    <t>sadarbazo</t>
  </si>
  <si>
    <t>domofonis mowyoba</t>
  </si>
  <si>
    <t>monoliTis kedlebis damuSaveba</t>
  </si>
  <si>
    <t>kibis mopirkeTeba</t>
  </si>
  <si>
    <t>blokis wyoba 20  niS 3.20/6.40/9.60</t>
  </si>
  <si>
    <t>vitraJi niS. 3.20/6.40/9.60</t>
  </si>
  <si>
    <t>vitraJi niS. -2.55</t>
  </si>
  <si>
    <t>fasadis mopirkeTeba aguriT niS 3.20/6.40/9.60</t>
  </si>
  <si>
    <t>ferdilis mopirkeTeba aguriT, niS. 3.20/6.40/9.60</t>
  </si>
  <si>
    <t>fasadis daTbuneba/SefiTxvna/Rebva</t>
  </si>
  <si>
    <t>niS 3.20/6.40/9.60</t>
  </si>
  <si>
    <t>sacremle, niS. -2.55</t>
  </si>
  <si>
    <t>sacremle, niS. 3.20/6.40/9.60</t>
  </si>
  <si>
    <t>lesva, niS. -2.55</t>
  </si>
  <si>
    <t>lesva, niS. 3.20/6.40/9.60</t>
  </si>
  <si>
    <t>lesva, niS.3.20/6.40/9.60</t>
  </si>
  <si>
    <t>SefiTxvna niS. -2.55</t>
  </si>
  <si>
    <t>SefiTxvna niS. 3.20/6.40/9.60</t>
  </si>
  <si>
    <t>blokis wyoba niS. 3.20/6.40/9.60</t>
  </si>
  <si>
    <t>blokis wyoba 10 niS. 3.20/6.40/9.60</t>
  </si>
  <si>
    <t>mwvane saxuravis mowyoba</t>
  </si>
  <si>
    <t>meTlaxi niS. 3.20/6.40/9.60</t>
  </si>
  <si>
    <t>meTlaxi niS. -2.55</t>
  </si>
  <si>
    <t>plintusi niS. -2.55</t>
  </si>
  <si>
    <t>plintusi niS. 3.20/6.40/9.60</t>
  </si>
  <si>
    <t>iatakebis moWimva niS -2.55</t>
  </si>
  <si>
    <t>T/m niS, 3.20/6.40/9.60</t>
  </si>
  <si>
    <t>iatakebis moWimva niS 3.20/6.40/9.60</t>
  </si>
  <si>
    <t>kari. niS. -2.55</t>
  </si>
  <si>
    <t>liTonis aivnis gisosi</t>
  </si>
  <si>
    <t>gaTboba, niS. 3.20/6.40/9.60</t>
  </si>
  <si>
    <t>daqselva, niS. 3.20/6.40/9.60</t>
  </si>
  <si>
    <t>fasadis mopirkeTeba aguriT niS -2.30</t>
  </si>
  <si>
    <t>kuTxovanis mowyoba</t>
  </si>
  <si>
    <t>liftis Saxtis mopirkeTeba aguriT</t>
  </si>
  <si>
    <t>sak. Saxtis mowyoba/lifti</t>
  </si>
  <si>
    <t>internetis kabelis daqselva</t>
  </si>
  <si>
    <t>gazis saqvabe</t>
  </si>
  <si>
    <t>გრძ/მ</t>
  </si>
  <si>
    <t>zRudari</t>
  </si>
  <si>
    <t>ცალი</t>
  </si>
  <si>
    <t>მ2</t>
  </si>
  <si>
    <t>რეტრო kabeli 2*1.5</t>
  </si>
  <si>
    <t>betoni b-7.5</t>
  </si>
  <si>
    <t>inertuli masala</t>
  </si>
  <si>
    <t>20 iani bloki</t>
  </si>
  <si>
    <t>niS.\</t>
  </si>
  <si>
    <t>fasadi</t>
  </si>
  <si>
    <t>binebis gamyofi</t>
  </si>
  <si>
    <t>vada</t>
  </si>
  <si>
    <t>m/plastmasi</t>
  </si>
  <si>
    <t>aguri</t>
  </si>
  <si>
    <t>daTbuneba/Rebva</t>
  </si>
  <si>
    <t>ferdili</t>
  </si>
  <si>
    <t>bazalti</t>
  </si>
  <si>
    <t>10 iani bloki</t>
  </si>
  <si>
    <t>sadabazo</t>
  </si>
  <si>
    <t>aivani</t>
  </si>
  <si>
    <t>sak.Saxta binebi</t>
  </si>
  <si>
    <t>sak.Saxta sadarbazo</t>
  </si>
  <si>
    <t>tualeti</t>
  </si>
  <si>
    <t>lesva</t>
  </si>
  <si>
    <t>SefiTvna</t>
  </si>
  <si>
    <t>Rebva</t>
  </si>
  <si>
    <t>kari</t>
  </si>
  <si>
    <t>binis kari</t>
  </si>
  <si>
    <t>kibis ujredis kari</t>
  </si>
  <si>
    <t>sadarbazos kari</t>
  </si>
  <si>
    <t>sakm.kari</t>
  </si>
  <si>
    <t>მოაჯირი</t>
  </si>
  <si>
    <t>აივანი</t>
  </si>
  <si>
    <t>ცხაური</t>
  </si>
  <si>
    <t>k/graniti</t>
  </si>
  <si>
    <t>plintusi</t>
  </si>
  <si>
    <t>მოჭიმვა</t>
  </si>
  <si>
    <t>ბინები</t>
  </si>
  <si>
    <t>T/muyao</t>
  </si>
  <si>
    <t>kedeli</t>
  </si>
  <si>
    <t>tixari</t>
  </si>
  <si>
    <t>Weri</t>
  </si>
  <si>
    <t>qvabulis samuSao</t>
  </si>
  <si>
    <t>qvabulis mowyoba</t>
  </si>
  <si>
    <t>qvabulis amoReba</t>
  </si>
  <si>
    <t>liftis Saxtis ormos amoReba</t>
  </si>
  <si>
    <t>svetis ormos amoReba</t>
  </si>
  <si>
    <t>kodaliT muSaoba</t>
  </si>
  <si>
    <t>qvabuli</t>
  </si>
  <si>
    <t>Savi karkasi</t>
  </si>
  <si>
    <t>TeTri karkasi</t>
  </si>
  <si>
    <t>liftis aguri</t>
  </si>
  <si>
    <t>betonis faqtura</t>
  </si>
  <si>
    <t>mdf</t>
  </si>
  <si>
    <t>მ3</t>
  </si>
  <si>
    <t>hidroizolacia, Roris da miwis gaSla</t>
  </si>
  <si>
    <t>ლიტრი</t>
  </si>
  <si>
    <t>saZirkvlis betonis kedlebis hidroizolacia</t>
  </si>
  <si>
    <r>
      <t>m</t>
    </r>
    <r>
      <rPr>
        <vertAlign val="superscript"/>
        <sz val="8"/>
        <rFont val="Avaza"/>
        <family val="2"/>
      </rPr>
      <t>2</t>
    </r>
  </si>
  <si>
    <t>სარტყელი</t>
  </si>
  <si>
    <t>ტონა</t>
  </si>
  <si>
    <t>სადარბაზო</t>
  </si>
  <si>
    <t xml:space="preserve"> vitraJi</t>
  </si>
  <si>
    <t>lifტი</t>
  </si>
  <si>
    <t>torecebis Savad lesva</t>
  </si>
  <si>
    <t>blokis wyoba 20  niS -2.30</t>
  </si>
  <si>
    <t>RorRi 10*20</t>
  </si>
  <si>
    <t>bazaltis fila 03</t>
  </si>
  <si>
    <t>bazaltis fila 02</t>
  </si>
  <si>
    <t>xis dasamuSavebeli xsnari</t>
  </si>
  <si>
    <t>ლ</t>
  </si>
  <si>
    <t>milkvadrati 60*80</t>
  </si>
  <si>
    <t>milkvadrati 100*100</t>
  </si>
  <si>
    <t>dubel Surufi k6</t>
  </si>
  <si>
    <t>orTqlizolacia</t>
  </si>
  <si>
    <t>mili kanalizaciis</t>
  </si>
  <si>
    <t>aqsesuari</t>
  </si>
  <si>
    <t>mili ventilaciis 3m</t>
  </si>
  <si>
    <t>mili ventilaciis 0.3m</t>
  </si>
  <si>
    <t>mili ventilaciis 2m</t>
  </si>
  <si>
    <t>sanaTi aivnis</t>
  </si>
  <si>
    <t>sanaTi sadarbazo</t>
  </si>
  <si>
    <t>wylis dgari</t>
  </si>
  <si>
    <t>mili 25</t>
  </si>
  <si>
    <t>milis gadasabmeli 25</t>
  </si>
  <si>
    <t>milis samagri 25</t>
  </si>
  <si>
    <t>milis muxli 25</t>
  </si>
  <si>
    <t>defleqtori</t>
  </si>
  <si>
    <t>Rirebuleba, erT</t>
  </si>
  <si>
    <t>m/p kar-fanjara</t>
  </si>
  <si>
    <t xml:space="preserve"> mdf-iT mowyoba</t>
  </si>
  <si>
    <t>saqvabis kari</t>
  </si>
  <si>
    <t>liTonis kibis ujredis kari</t>
  </si>
  <si>
    <t>internetis daqselva</t>
  </si>
  <si>
    <t>inertuli masalis tkepnis Semowmeba</t>
  </si>
  <si>
    <t>geodeziuri momsaxureba</t>
  </si>
  <si>
    <t>betonis kubikebis Semowmeba</t>
  </si>
  <si>
    <t>ბლოკი</t>
  </si>
  <si>
    <t>ზღუდარი</t>
  </si>
  <si>
    <t>აგური</t>
  </si>
  <si>
    <t>aguris ferdili</t>
  </si>
  <si>
    <t>bazaltis sacremlis mowyoba</t>
  </si>
  <si>
    <t>kar-fanjris ferdilebis amovseba</t>
  </si>
  <si>
    <t>საცრემლის მოწყობა</t>
  </si>
  <si>
    <t>saxuravze Tunuqis mowyoba</t>
  </si>
  <si>
    <t>k/granitis mowyoba</t>
  </si>
  <si>
    <t>k/granitis plintusis mowyoba</t>
  </si>
  <si>
    <t>bazaltis safexuris mowyoba</t>
  </si>
  <si>
    <t>T/muyaos kedlis mowyoba</t>
  </si>
  <si>
    <t>T/muyaos tixris  mowyoba</t>
  </si>
  <si>
    <t>gaTfobis milebis daqselva</t>
  </si>
  <si>
    <t>kanalizaciis qselis mowyoba</t>
  </si>
  <si>
    <t>ventilaciis qselis mowyoba</t>
  </si>
  <si>
    <t>eleqtroobis mowyoba</t>
  </si>
  <si>
    <t>aivnis sanaTis mowyoba</t>
  </si>
  <si>
    <t>sadarbazos sanaTis mowyoba</t>
  </si>
  <si>
    <t>Telasis kabelis mowyoba</t>
  </si>
  <si>
    <t>wylis centraluri dgaris mowyoba</t>
  </si>
  <si>
    <t>kedlis gaxvreta kondincionerisTvis</t>
  </si>
  <si>
    <t>Sida aivanze trapebis mowyoba</t>
  </si>
  <si>
    <t>fasadis daTfuneba</t>
  </si>
  <si>
    <t>SefiTxvna</t>
  </si>
  <si>
    <t>vitraJi  niS. 0.00</t>
  </si>
  <si>
    <t>aguris cxauris mowyoba</t>
  </si>
  <si>
    <t>aguris cxauris mowyoba aivnebze</t>
  </si>
  <si>
    <t>fasadis mopirkeTeba aguriT niS -2.30/0.00</t>
  </si>
  <si>
    <t>შავად ლესვა</t>
  </si>
  <si>
    <t>izolacia niS. -2.30</t>
  </si>
  <si>
    <t>izolacia niS. 3.20/6.40/9.60</t>
  </si>
  <si>
    <t>blokis wyoba 10 niS. -2.30</t>
  </si>
  <si>
    <t>Savi miwa</t>
  </si>
  <si>
    <t>semiWka Surufi</t>
  </si>
  <si>
    <t>სარდაფის kari</t>
  </si>
  <si>
    <t>. niS. 0.00</t>
  </si>
  <si>
    <t>. niS. 3.20/6.40/9.60</t>
  </si>
  <si>
    <t>liTonis aivnis moajiri ცხაური</t>
  </si>
  <si>
    <t xml:space="preserve">kari. </t>
  </si>
  <si>
    <t>კიბის მოაჯირი</t>
  </si>
  <si>
    <t xml:space="preserve">კედლის კიბის მოაჯირი </t>
  </si>
  <si>
    <t>moajiri, niS. -2.30</t>
  </si>
  <si>
    <t>moajiri, niS. -2.3/0.00</t>
  </si>
  <si>
    <t xml:space="preserve">საქვაბის კარი </t>
  </si>
  <si>
    <t>sak. Saxta niS. -2.30</t>
  </si>
  <si>
    <t>komunikaciis karis damzareba xis dgarebiT</t>
  </si>
  <si>
    <t>sakomunikacio liTonis kari xis dgarebiT</t>
  </si>
  <si>
    <t>ezos gamyofi xis tixrebi</t>
  </si>
  <si>
    <t>sadarbazos aluminis kari</t>
  </si>
  <si>
    <t>aluminis vitraJi</t>
  </si>
  <si>
    <t>kanalizaciis mowyoba binaSi</t>
  </si>
  <si>
    <t>kanalizaciis qselis mowyoba binaSi</t>
  </si>
  <si>
    <t>kanalizacia</t>
  </si>
  <si>
    <t>kanalizacia binaSi</t>
  </si>
  <si>
    <t xml:space="preserve">ventilacia </t>
  </si>
  <si>
    <t>ezos saniaRvris mowyoba</t>
  </si>
  <si>
    <t>saniaRvre Rari</t>
  </si>
  <si>
    <t>betoni</t>
  </si>
  <si>
    <t>ეზოს სანიაღვრე ღარის მოწყობა</t>
  </si>
  <si>
    <t>sanaTi, niS. -2.3</t>
  </si>
  <si>
    <t>eldaqselva, niS. 3.20/6.40/9.60</t>
  </si>
  <si>
    <t>kabeli</t>
  </si>
  <si>
    <t>eldaqselva, niS. -2.30</t>
  </si>
  <si>
    <t>რეტრო kabelis samagri</t>
  </si>
  <si>
    <t>kabeli 2*16</t>
  </si>
  <si>
    <t>retro sadeni</t>
  </si>
  <si>
    <t>retro sadenis samagri</t>
  </si>
  <si>
    <t>wylis dgari, niS. -2.30</t>
  </si>
  <si>
    <t>mili 50</t>
  </si>
  <si>
    <t>კიბის საფეხურის მოწყობა</t>
  </si>
  <si>
    <t>dRe</t>
  </si>
  <si>
    <t>ips 2sm ni</t>
  </si>
  <si>
    <t>saZirkvlis hidroizolacia</t>
  </si>
  <si>
    <t>ლითონის შველერის მოწყობა</t>
  </si>
  <si>
    <t>ინტერნეტის დაქსელვა</t>
  </si>
  <si>
    <t>betonis Semowmeba kubikebiT</t>
  </si>
  <si>
    <t>სართული</t>
  </si>
  <si>
    <t>liTonis furclis mowyoba</t>
  </si>
  <si>
    <t>hidrosaizolacio masala</t>
  </si>
  <si>
    <t>hidroizolaciis damxmare masala</t>
  </si>
  <si>
    <t>sartyeli</t>
  </si>
  <si>
    <t>blokis damxmare masala</t>
  </si>
  <si>
    <t>aguris damxmare masala</t>
  </si>
  <si>
    <t>aguris cxauri damxmare masala</t>
  </si>
  <si>
    <t>fasadis bade</t>
  </si>
  <si>
    <t>fasadis fiTxi</t>
  </si>
  <si>
    <t>grunti</t>
  </si>
  <si>
    <t>qvabamba 5 ni</t>
  </si>
  <si>
    <t>qvabamba 3 ni</t>
  </si>
  <si>
    <t>fasadis daTfunebis damxmare masala</t>
  </si>
  <si>
    <t>Savad lesva damxmare masala</t>
  </si>
  <si>
    <t>bazaltis sacremle damxmare masala</t>
  </si>
  <si>
    <t>giperiT lesvis damxmare masala</t>
  </si>
  <si>
    <t>SefiTxvnis damxmare masala</t>
  </si>
  <si>
    <t>Rebva damxmare masala</t>
  </si>
  <si>
    <t>jeoteqstili</t>
  </si>
  <si>
    <t>xis masala</t>
  </si>
  <si>
    <t>osb</t>
  </si>
  <si>
    <t>saxuravis damxmare masala</t>
  </si>
  <si>
    <t>k/graniti damxmare masala</t>
  </si>
  <si>
    <t>moWiva damxmare masala</t>
  </si>
  <si>
    <t>T/muyao damxmare masala</t>
  </si>
  <si>
    <t>Sida eldaqselva damxmare masala</t>
  </si>
  <si>
    <t>sadarbazos eldaqselva damxmare masala</t>
  </si>
  <si>
    <t>wylis daqselva damxmare masala</t>
  </si>
  <si>
    <t>bazaltis safexuris damxmare masala</t>
  </si>
  <si>
    <t>რკინა ბეტონის მოწყობა</t>
  </si>
  <si>
    <t>iqspiesi 3 ni</t>
  </si>
  <si>
    <t>iqspiesi 5 ni</t>
  </si>
  <si>
    <t>ipdm membrana</t>
  </si>
  <si>
    <t>sadrenaJe membrana</t>
  </si>
  <si>
    <t>sadarbazos saRebavi</t>
  </si>
  <si>
    <t>fasadis saRebavi</t>
  </si>
  <si>
    <t>webocementi 185</t>
  </si>
  <si>
    <t>webocementi 186</t>
  </si>
  <si>
    <t>qvabambis dubeli</t>
  </si>
  <si>
    <t>kibis safexuri</t>
  </si>
  <si>
    <t>Sveleri 22 ni</t>
  </si>
  <si>
    <t>ips 2 ni</t>
  </si>
  <si>
    <t>bitumis praimeri</t>
  </si>
  <si>
    <t>Savi karkasis damxmare masala</t>
  </si>
  <si>
    <t>შავი კარკასი</t>
  </si>
  <si>
    <t>ფილა</t>
  </si>
  <si>
    <t>ლიფტის შახტა</t>
  </si>
  <si>
    <t>მონ.კედელი</t>
  </si>
  <si>
    <t>დამატებები</t>
  </si>
  <si>
    <t>სახურავი</t>
  </si>
  <si>
    <t xml:space="preserve">k/graniti </t>
  </si>
  <si>
    <t>meTlaxis fila</t>
  </si>
  <si>
    <t>bazaltis safexuri</t>
  </si>
  <si>
    <t>tenti</t>
  </si>
  <si>
    <t>iqspiesi</t>
  </si>
  <si>
    <r>
      <t>m</t>
    </r>
    <r>
      <rPr>
        <vertAlign val="superscript"/>
        <sz val="8"/>
        <rFont val="Avaza"/>
        <family val="2"/>
      </rPr>
      <t>3</t>
    </r>
    <r>
      <rPr>
        <sz val="11"/>
        <color theme="1"/>
        <rFont val="Calibri"/>
        <family val="2"/>
        <scheme val="minor"/>
      </rPr>
      <t/>
    </r>
  </si>
  <si>
    <t xml:space="preserve">TunuqiT </t>
  </si>
  <si>
    <t>wylis dgari, niS. 3.20</t>
  </si>
  <si>
    <t>wylis dgari, niS. 6.40/9.60</t>
  </si>
  <si>
    <t xml:space="preserve">sadarbazos lesva </t>
  </si>
  <si>
    <t>fasadis mopirkeTeba aguriT niS 0.00.3.20/6.40/9.60</t>
  </si>
  <si>
    <t>blokis wyoba 10sm Saxtebi/aivnebi</t>
  </si>
  <si>
    <t>hidroizolacia wasasmeli</t>
  </si>
  <si>
    <t>wasasmeli hidroizolacia</t>
  </si>
  <si>
    <t>damxmare masala hidroizolacia</t>
  </si>
  <si>
    <t>armatura</t>
  </si>
  <si>
    <t>korpusis generaluri dasufTaveba</t>
  </si>
  <si>
    <t>მრიცხველების დაერთება</t>
  </si>
  <si>
    <t>lisi saxli - 12</t>
  </si>
  <si>
    <t>saxli #12</t>
  </si>
  <si>
    <t>amwis adgilis mosworeba</t>
  </si>
  <si>
    <t>9  10</t>
  </si>
  <si>
    <t>სახლი 9-10</t>
  </si>
  <si>
    <t>სახლი 13</t>
  </si>
  <si>
    <t>მასალა</t>
  </si>
  <si>
    <t>ხელფასი</t>
  </si>
  <si>
    <t>მომსახურება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</si>
</sst>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#,##0.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vaza"/>
      <family val="2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</font>
    <font>
      <b/>
      <sz val="10"/>
      <color theme="1"/>
      <name val="Avaza"/>
      <family val="2"/>
    </font>
    <font>
      <sz val="8"/>
      <name val="Arial"/>
      <family val="2"/>
    </font>
    <font>
      <sz val="8"/>
      <name val="Avaza"/>
      <family val="2"/>
    </font>
    <font>
      <b/>
      <sz val="10"/>
      <color theme="1"/>
      <name val="Arial"/>
      <family val="2"/>
    </font>
    <font>
      <b/>
      <sz val="11"/>
      <color theme="1"/>
      <name val="Avaza"/>
      <family val="2"/>
    </font>
    <font>
      <sz val="11"/>
      <color theme="1"/>
      <name val="Avaza"/>
      <family val="2"/>
    </font>
    <font>
      <b/>
      <sz val="8"/>
      <name val="Avaza"/>
      <family val="2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b/>
      <sz val="11"/>
      <name val="Avaza"/>
      <family val="2"/>
    </font>
    <font>
      <b/>
      <sz val="8"/>
      <name val="Arial"/>
      <family val="2"/>
    </font>
    <font>
      <sz val="10"/>
      <color theme="1"/>
      <name val="Avaza"/>
      <family val="2"/>
    </font>
    <font>
      <sz val="11"/>
      <color theme="1"/>
      <name val="Arial"/>
      <family val="2"/>
      <charset val="204"/>
    </font>
    <font>
      <sz val="10"/>
      <name val="Arial"/>
      <family val="2"/>
    </font>
    <font>
      <b/>
      <sz val="10"/>
      <name val="Avaza"/>
      <family val="2"/>
    </font>
    <font>
      <b/>
      <sz val="8"/>
      <color theme="1"/>
      <name val="Arial"/>
      <family val="2"/>
      <charset val="204"/>
    </font>
    <font>
      <b/>
      <sz val="8"/>
      <color theme="1"/>
      <name val="Avaza"/>
      <family val="2"/>
    </font>
    <font>
      <sz val="8"/>
      <color theme="1"/>
      <name val="Avaza"/>
      <family val="2"/>
    </font>
    <font>
      <sz val="8"/>
      <color theme="1"/>
      <name val="Arial"/>
      <family val="2"/>
    </font>
    <font>
      <vertAlign val="superscript"/>
      <sz val="8"/>
      <name val="Avaza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8">
    <xf numFmtId="0" fontId="0" fillId="0" borderId="0" xfId="0"/>
    <xf numFmtId="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0" fillId="0" borderId="0" xfId="0" applyFont="1"/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8" fillId="0" borderId="1" xfId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2" fontId="10" fillId="0" borderId="0" xfId="0" applyNumberFormat="1" applyFont="1"/>
    <xf numFmtId="43" fontId="8" fillId="2" borderId="1" xfId="2" applyFont="1" applyFill="1" applyBorder="1" applyAlignment="1">
      <alignment horizontal="center" vertical="center"/>
    </xf>
    <xf numFmtId="43" fontId="10" fillId="0" borderId="0" xfId="0" applyNumberFormat="1" applyFont="1"/>
    <xf numFmtId="0" fontId="11" fillId="0" borderId="1" xfId="0" applyFont="1" applyBorder="1" applyAlignment="1">
      <alignment horizontal="center" vertical="center"/>
    </xf>
    <xf numFmtId="10" fontId="12" fillId="0" borderId="1" xfId="1" applyNumberFormat="1" applyFont="1" applyFill="1" applyBorder="1" applyAlignment="1">
      <alignment horizontal="center" vertical="center"/>
    </xf>
    <xf numFmtId="4" fontId="7" fillId="0" borderId="1" xfId="0" applyNumberFormat="1" applyFont="1" applyBorder="1" applyAlignment="1">
      <alignment vertical="center"/>
    </xf>
    <xf numFmtId="4" fontId="7" fillId="0" borderId="1" xfId="0" applyNumberFormat="1" applyFont="1" applyBorder="1" applyAlignment="1">
      <alignment horizontal="center" vertical="center"/>
    </xf>
    <xf numFmtId="4" fontId="13" fillId="0" borderId="1" xfId="0" applyNumberFormat="1" applyFont="1" applyBorder="1" applyAlignment="1">
      <alignment horizontal="right" vertical="center"/>
    </xf>
    <xf numFmtId="10" fontId="12" fillId="0" borderId="1" xfId="0" applyNumberFormat="1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4" fontId="13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8" fillId="0" borderId="1" xfId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4" fontId="13" fillId="0" borderId="1" xfId="0" applyNumberFormat="1" applyFont="1" applyBorder="1" applyAlignment="1">
      <alignment vertical="center"/>
    </xf>
    <xf numFmtId="2" fontId="5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4" fontId="14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" fontId="0" fillId="0" borderId="0" xfId="0" applyNumberFormat="1"/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0" fillId="0" borderId="1" xfId="0" applyBorder="1"/>
    <xf numFmtId="2" fontId="25" fillId="0" borderId="1" xfId="0" applyNumberFormat="1" applyFont="1" applyBorder="1" applyAlignment="1">
      <alignment horizontal="center"/>
    </xf>
    <xf numFmtId="0" fontId="28" fillId="0" borderId="1" xfId="0" applyFont="1" applyBorder="1"/>
    <xf numFmtId="4" fontId="29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4" fontId="18" fillId="3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4" fontId="6" fillId="3" borderId="1" xfId="0" applyNumberFormat="1" applyFont="1" applyFill="1" applyBorder="1" applyAlignment="1">
      <alignment horizontal="center" vertical="center"/>
    </xf>
    <xf numFmtId="2" fontId="0" fillId="3" borderId="0" xfId="0" applyNumberFormat="1" applyFill="1"/>
    <xf numFmtId="0" fontId="9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4" fontId="23" fillId="0" borderId="1" xfId="0" applyNumberFormat="1" applyFont="1" applyBorder="1" applyAlignment="1">
      <alignment horizontal="center" vertical="center"/>
    </xf>
    <xf numFmtId="4" fontId="18" fillId="0" borderId="1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4" fontId="6" fillId="4" borderId="1" xfId="0" applyNumberFormat="1" applyFont="1" applyFill="1" applyBorder="1" applyAlignment="1">
      <alignment horizontal="center" vertical="center"/>
    </xf>
    <xf numFmtId="4" fontId="6" fillId="5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2" fontId="29" fillId="0" borderId="1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5" borderId="0" xfId="0" applyFill="1"/>
    <xf numFmtId="43" fontId="0" fillId="0" borderId="0" xfId="2" applyFont="1"/>
    <xf numFmtId="43" fontId="0" fillId="0" borderId="0" xfId="0" applyNumberForma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4" fontId="14" fillId="0" borderId="2" xfId="0" applyNumberFormat="1" applyFont="1" applyBorder="1" applyAlignment="1">
      <alignment horizontal="center" vertical="center"/>
    </xf>
    <xf numFmtId="0" fontId="27" fillId="0" borderId="9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7" fillId="0" borderId="11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2" fontId="4" fillId="3" borderId="6" xfId="0" applyNumberFormat="1" applyFont="1" applyFill="1" applyBorder="1" applyAlignment="1">
      <alignment horizontal="center" vertical="center"/>
    </xf>
    <xf numFmtId="2" fontId="4" fillId="3" borderId="7" xfId="0" applyNumberFormat="1" applyFont="1" applyFill="1" applyBorder="1" applyAlignment="1">
      <alignment horizontal="center" vertical="center"/>
    </xf>
    <xf numFmtId="2" fontId="4" fillId="3" borderId="8" xfId="0" applyNumberFormat="1" applyFont="1" applyFill="1" applyBorder="1" applyAlignment="1">
      <alignment horizontal="center" vertical="center"/>
    </xf>
    <xf numFmtId="4" fontId="6" fillId="3" borderId="6" xfId="0" applyNumberFormat="1" applyFont="1" applyFill="1" applyBorder="1" applyAlignment="1">
      <alignment horizontal="center" vertical="center"/>
    </xf>
    <xf numFmtId="4" fontId="6" fillId="3" borderId="7" xfId="0" applyNumberFormat="1" applyFont="1" applyFill="1" applyBorder="1" applyAlignment="1">
      <alignment horizontal="center" vertical="center"/>
    </xf>
    <xf numFmtId="4" fontId="6" fillId="3" borderId="8" xfId="0" applyNumberFormat="1" applyFont="1" applyFill="1" applyBorder="1" applyAlignment="1">
      <alignment horizontal="center" vertical="center"/>
    </xf>
    <xf numFmtId="43" fontId="0" fillId="5" borderId="0" xfId="0" applyNumberFormat="1" applyFill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ka\Desktop\c\&#4305;&#4312;&#4323;&#4335;&#4308;&#4322;&#4308;&#4305;&#4312;\&#4314;&#4312;&#4321;&#4312;\&#4314;&#4312;&#4321;&#4312;%209-10\&#4305;&#4312;&#4323;&#4335;&#4308;&#4322;&#4312;%20&#4314;&#4312;&#4321;&#4312;%209-10%2015.08.2025.xlsx" TargetMode="External"/><Relationship Id="rId1" Type="http://schemas.openxmlformats.org/officeDocument/2006/relationships/externalLinkPath" Target="/Users/Nika/Desktop/c/&#4305;&#4312;&#4323;&#4335;&#4308;&#4322;&#4308;&#4305;&#4312;/&#4314;&#4312;&#4321;&#4312;/&#4314;&#4312;&#4321;&#4312;%209-10/&#4305;&#4312;&#4323;&#4335;&#4308;&#4322;&#4312;%20&#4314;&#4312;&#4321;&#4312;%209-10%2015.08.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305;&#4312;&#4323;&#4335;&#4308;&#4322;&#4312;%20&#4321;&#4304;&#4334;&#4314;&#4312;%20%236%20un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ფართები"/>
      <sheetName val="ბიუჯეტი"/>
      <sheetName val="სამუშაო"/>
      <sheetName val="მასალა"/>
      <sheetName val="მომსახურება"/>
      <sheetName val="ხელფასი"/>
    </sheetNames>
    <sheetDataSet>
      <sheetData sheetId="0"/>
      <sheetData sheetId="1">
        <row r="5">
          <cell r="I5">
            <v>45969</v>
          </cell>
        </row>
        <row r="6">
          <cell r="B6" t="str">
            <v>samuSaos dasaxeleba</v>
          </cell>
          <cell r="C6" t="str">
            <v>gan/ba</v>
          </cell>
          <cell r="D6" t="str">
            <v>raod.</v>
          </cell>
          <cell r="E6" t="str">
            <v>masala, erT</v>
          </cell>
          <cell r="F6" t="str">
            <v>masala, sul</v>
          </cell>
          <cell r="G6" t="str">
            <v>xelf, erT</v>
          </cell>
          <cell r="H6" t="str">
            <v>xelf, sul</v>
          </cell>
          <cell r="I6" t="str">
            <v>moms. erT</v>
          </cell>
          <cell r="J6" t="str">
            <v>moms, sul</v>
          </cell>
          <cell r="K6" t="str">
            <v>jami</v>
          </cell>
        </row>
        <row r="7">
          <cell r="B7">
            <v>2</v>
          </cell>
          <cell r="C7">
            <v>3</v>
          </cell>
          <cell r="D7">
            <v>4</v>
          </cell>
          <cell r="E7">
            <v>5</v>
          </cell>
          <cell r="F7">
            <v>6</v>
          </cell>
          <cell r="G7">
            <v>7</v>
          </cell>
          <cell r="H7">
            <v>8</v>
          </cell>
          <cell r="I7">
            <v>9</v>
          </cell>
          <cell r="J7">
            <v>10</v>
          </cell>
          <cell r="K7">
            <v>11</v>
          </cell>
        </row>
        <row r="8">
          <cell r="B8" t="str">
            <v>qvabulis samuSao</v>
          </cell>
        </row>
        <row r="9">
          <cell r="B9" t="str">
            <v>qvabulis mowyoba</v>
          </cell>
          <cell r="C9" t="str">
            <v>m2</v>
          </cell>
          <cell r="D9">
            <v>6124.9154999999992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18.7</v>
          </cell>
          <cell r="J9">
            <v>114535.91984999998</v>
          </cell>
          <cell r="K9">
            <v>114535.91984999998</v>
          </cell>
        </row>
        <row r="10">
          <cell r="B10" t="str">
            <v>qvabulis amoReba</v>
          </cell>
          <cell r="C10" t="str">
            <v>m3</v>
          </cell>
          <cell r="D10">
            <v>4096.2999999999993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B11" t="str">
            <v>kranis da armaturis adgilis amoReba</v>
          </cell>
          <cell r="C11" t="str">
            <v>m3</v>
          </cell>
          <cell r="D11">
            <v>1575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B12" t="str">
            <v>liftis Saxtis ormos amoReba</v>
          </cell>
          <cell r="C12" t="str">
            <v>m3</v>
          </cell>
          <cell r="D12">
            <v>123.72749999999999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B13" t="str">
            <v>svetis ormos amoReba</v>
          </cell>
          <cell r="C13" t="str">
            <v>m3</v>
          </cell>
          <cell r="D13">
            <v>329.88799999999998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B14" t="str">
            <v>kodaliT muSaoba</v>
          </cell>
          <cell r="C14" t="str">
            <v>dRe</v>
          </cell>
          <cell r="D14">
            <v>20</v>
          </cell>
          <cell r="E14">
            <v>0</v>
          </cell>
          <cell r="F14">
            <v>0</v>
          </cell>
          <cell r="H14">
            <v>0</v>
          </cell>
          <cell r="I14">
            <v>1186.4406779661017</v>
          </cell>
          <cell r="J14">
            <v>23728.813559322036</v>
          </cell>
          <cell r="K14">
            <v>23728.813559322036</v>
          </cell>
        </row>
        <row r="15">
          <cell r="B15" t="str">
            <v>jami</v>
          </cell>
          <cell r="F15">
            <v>0</v>
          </cell>
          <cell r="H15">
            <v>0</v>
          </cell>
          <cell r="J15">
            <v>138264.73340932201</v>
          </cell>
          <cell r="K15">
            <v>138264.73340932201</v>
          </cell>
        </row>
        <row r="16">
          <cell r="B16" t="str">
            <v>zednadebi xarji</v>
          </cell>
          <cell r="C16">
            <v>7.3999999999999996E-2</v>
          </cell>
          <cell r="K16">
            <v>10231.590272289828</v>
          </cell>
        </row>
        <row r="17">
          <cell r="B17" t="str">
            <v>jami</v>
          </cell>
          <cell r="K17">
            <v>148496.32368161183</v>
          </cell>
        </row>
        <row r="18">
          <cell r="B18" t="str">
            <v>yalibi</v>
          </cell>
          <cell r="C18">
            <v>0.03</v>
          </cell>
          <cell r="K18">
            <v>4454.8897104483549</v>
          </cell>
        </row>
        <row r="19">
          <cell r="B19" t="str">
            <v>jami</v>
          </cell>
          <cell r="K19">
            <v>152951.21339206019</v>
          </cell>
        </row>
        <row r="20">
          <cell r="B20" t="str">
            <v>teqnika</v>
          </cell>
          <cell r="C20">
            <v>3.5000000000000003E-2</v>
          </cell>
          <cell r="K20">
            <v>5353.2924687221075</v>
          </cell>
        </row>
        <row r="21">
          <cell r="B21" t="str">
            <v>jami</v>
          </cell>
          <cell r="K21">
            <v>158304.50586078229</v>
          </cell>
        </row>
        <row r="22">
          <cell r="B22" t="str">
            <v>mogeba</v>
          </cell>
          <cell r="C22">
            <v>0.14000000000000001</v>
          </cell>
          <cell r="K22">
            <v>22162.630820509523</v>
          </cell>
        </row>
        <row r="23">
          <cell r="B23" t="str">
            <v>jami</v>
          </cell>
          <cell r="K23">
            <v>180467.1366812918</v>
          </cell>
        </row>
        <row r="24">
          <cell r="B24" t="str">
            <v>dRg</v>
          </cell>
          <cell r="C24">
            <v>0.18</v>
          </cell>
          <cell r="K24">
            <v>32484.084602632523</v>
          </cell>
        </row>
        <row r="25">
          <cell r="B25" t="str">
            <v>mTliani</v>
          </cell>
          <cell r="K25">
            <v>212951.22128392433</v>
          </cell>
        </row>
        <row r="27">
          <cell r="B27" t="str">
            <v>samuSaos dasaxeleba</v>
          </cell>
          <cell r="C27" t="str">
            <v>gan/ba</v>
          </cell>
          <cell r="D27" t="str">
            <v>raod.</v>
          </cell>
          <cell r="E27" t="str">
            <v>masala, erT</v>
          </cell>
          <cell r="F27" t="str">
            <v>masala, sul</v>
          </cell>
          <cell r="G27" t="str">
            <v>xelf, erT</v>
          </cell>
          <cell r="H27" t="str">
            <v>xelf, sul</v>
          </cell>
          <cell r="I27" t="str">
            <v>moms. erT</v>
          </cell>
          <cell r="J27" t="str">
            <v>moms, sul</v>
          </cell>
          <cell r="K27" t="str">
            <v>jami</v>
          </cell>
        </row>
        <row r="28">
          <cell r="B28">
            <v>2</v>
          </cell>
          <cell r="C28">
            <v>3</v>
          </cell>
          <cell r="D28">
            <v>4</v>
          </cell>
          <cell r="E28">
            <v>5</v>
          </cell>
          <cell r="F28">
            <v>6</v>
          </cell>
          <cell r="G28">
            <v>7</v>
          </cell>
          <cell r="H28">
            <v>8</v>
          </cell>
          <cell r="I28">
            <v>9</v>
          </cell>
          <cell r="J28">
            <v>10</v>
          </cell>
          <cell r="K28">
            <v>11</v>
          </cell>
        </row>
        <row r="29">
          <cell r="B29" t="str">
            <v>konstruqciuli nawili</v>
          </cell>
        </row>
        <row r="30">
          <cell r="B30" t="str">
            <v>rkinabetonis karkasi</v>
          </cell>
          <cell r="C30" t="str">
            <v>m2</v>
          </cell>
          <cell r="D30">
            <v>7571.646999999999</v>
          </cell>
          <cell r="E30">
            <v>136.76513253873637</v>
          </cell>
          <cell r="F30">
            <v>1035537.3054915254</v>
          </cell>
          <cell r="G30">
            <v>64.800762139333756</v>
          </cell>
          <cell r="H30">
            <v>490648.49624999997</v>
          </cell>
          <cell r="I30">
            <v>7.4784268697261469</v>
          </cell>
          <cell r="J30">
            <v>56624.008372881362</v>
          </cell>
          <cell r="K30">
            <v>1582809.810114407</v>
          </cell>
        </row>
        <row r="31">
          <cell r="B31" t="str">
            <v>karkasis mowyoba</v>
          </cell>
          <cell r="C31" t="str">
            <v>m2</v>
          </cell>
          <cell r="D31">
            <v>7571.646999999999</v>
          </cell>
          <cell r="F31">
            <v>0</v>
          </cell>
          <cell r="G31">
            <v>63.749999999999993</v>
          </cell>
          <cell r="H31">
            <v>482692.49624999991</v>
          </cell>
          <cell r="K31">
            <v>482692.49624999991</v>
          </cell>
        </row>
        <row r="32">
          <cell r="B32" t="str">
            <v>betoni b-7.5</v>
          </cell>
          <cell r="C32" t="str">
            <v>m3</v>
          </cell>
          <cell r="D32">
            <v>119.85000000000001</v>
          </cell>
          <cell r="E32">
            <v>173.72881355932205</v>
          </cell>
          <cell r="F32">
            <v>20821.398305084749</v>
          </cell>
          <cell r="H32">
            <v>0</v>
          </cell>
          <cell r="I32">
            <v>847.45762711864415</v>
          </cell>
          <cell r="J32">
            <v>5084.7457627118647</v>
          </cell>
          <cell r="K32">
            <v>25906.144067796613</v>
          </cell>
        </row>
        <row r="33">
          <cell r="B33" t="str">
            <v>betoni b-25</v>
          </cell>
          <cell r="C33" t="str">
            <v>m3</v>
          </cell>
          <cell r="D33">
            <v>1850.79</v>
          </cell>
          <cell r="E33">
            <v>219.49152542372883</v>
          </cell>
          <cell r="F33">
            <v>406232.72033898305</v>
          </cell>
          <cell r="H33">
            <v>0</v>
          </cell>
          <cell r="K33">
            <v>406232.72033898305</v>
          </cell>
        </row>
        <row r="34">
          <cell r="B34" t="str">
            <v>Sveleris mowyoba</v>
          </cell>
          <cell r="C34" t="str">
            <v>grZ.m</v>
          </cell>
          <cell r="D34">
            <v>312</v>
          </cell>
          <cell r="E34">
            <v>98.305084745762713</v>
          </cell>
          <cell r="F34">
            <v>30671.186440677968</v>
          </cell>
          <cell r="G34">
            <v>25.5</v>
          </cell>
          <cell r="H34">
            <v>7956</v>
          </cell>
          <cell r="I34">
            <v>8</v>
          </cell>
          <cell r="J34">
            <v>2496</v>
          </cell>
          <cell r="K34">
            <v>41123.186440677964</v>
          </cell>
        </row>
        <row r="35">
          <cell r="B35" t="str">
            <v>liTonis furclis mowyoba</v>
          </cell>
          <cell r="C35" t="str">
            <v>grZ.m</v>
          </cell>
          <cell r="D35">
            <v>109.12000000000002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177.96610169491527</v>
          </cell>
          <cell r="J35">
            <v>20919.661016949158</v>
          </cell>
          <cell r="K35">
            <v>20919.661016949158</v>
          </cell>
        </row>
        <row r="36">
          <cell r="B36" t="str">
            <v>armatura a240</v>
          </cell>
          <cell r="C36" t="str">
            <v>t</v>
          </cell>
          <cell r="D36">
            <v>19.740000000000002</v>
          </cell>
          <cell r="E36">
            <v>1931.2271186440678</v>
          </cell>
          <cell r="F36">
            <v>38122.423322033901</v>
          </cell>
          <cell r="H36">
            <v>0</v>
          </cell>
          <cell r="K36">
            <v>38122.423322033901</v>
          </cell>
        </row>
        <row r="37">
          <cell r="B37" t="str">
            <v>armatura a500</v>
          </cell>
          <cell r="C37" t="str">
            <v>t</v>
          </cell>
          <cell r="D37">
            <v>228.13875000000002</v>
          </cell>
          <cell r="E37">
            <v>1931.2271186440678</v>
          </cell>
          <cell r="F37">
            <v>440587.74081355933</v>
          </cell>
          <cell r="H37">
            <v>0</v>
          </cell>
          <cell r="K37">
            <v>440587.74081355933</v>
          </cell>
        </row>
        <row r="38">
          <cell r="B38" t="str">
            <v>Savi karkasis damxmare masala</v>
          </cell>
          <cell r="C38" t="str">
            <v>m2</v>
          </cell>
          <cell r="D38">
            <v>7571.646999999999</v>
          </cell>
          <cell r="E38">
            <v>10.16949152542373</v>
          </cell>
          <cell r="F38">
            <v>76999.8</v>
          </cell>
          <cell r="H38">
            <v>0</v>
          </cell>
          <cell r="K38">
            <v>76999.8</v>
          </cell>
        </row>
        <row r="39">
          <cell r="B39" t="str">
            <v>betonis Semowmeba kubikebiT</v>
          </cell>
          <cell r="C39" t="str">
            <v>cali</v>
          </cell>
          <cell r="D39">
            <v>277.61849999999998</v>
          </cell>
          <cell r="E39">
            <v>0</v>
          </cell>
          <cell r="F39">
            <v>0</v>
          </cell>
          <cell r="H39">
            <v>0</v>
          </cell>
          <cell r="I39">
            <v>42.372881355932208</v>
          </cell>
          <cell r="J39">
            <v>11763.495762711866</v>
          </cell>
          <cell r="K39">
            <v>11763.495762711866</v>
          </cell>
        </row>
        <row r="40">
          <cell r="B40" t="str">
            <v>geodeziuri momsaxureba</v>
          </cell>
          <cell r="C40" t="str">
            <v>cali</v>
          </cell>
          <cell r="D40">
            <v>27</v>
          </cell>
          <cell r="E40">
            <v>0</v>
          </cell>
          <cell r="F40">
            <v>0</v>
          </cell>
          <cell r="H40">
            <v>0</v>
          </cell>
          <cell r="I40">
            <v>466.10169491525426</v>
          </cell>
          <cell r="J40">
            <v>12584.745762711866</v>
          </cell>
          <cell r="K40">
            <v>12584.745762711866</v>
          </cell>
        </row>
        <row r="41">
          <cell r="B41" t="str">
            <v>RorRi 10*20</v>
          </cell>
          <cell r="C41" t="str">
            <v>m3</v>
          </cell>
          <cell r="D41">
            <v>124.73784000000001</v>
          </cell>
          <cell r="E41">
            <v>38.135593220338983</v>
          </cell>
          <cell r="F41">
            <v>4756.9515254237294</v>
          </cell>
          <cell r="H41">
            <v>0</v>
          </cell>
          <cell r="I41">
            <v>5.9322033898305087</v>
          </cell>
          <cell r="J41">
            <v>739.97023728813565</v>
          </cell>
          <cell r="K41">
            <v>5496.9217627118651</v>
          </cell>
        </row>
        <row r="42">
          <cell r="B42" t="str">
            <v>inertuli masala</v>
          </cell>
          <cell r="C42" t="str">
            <v>m3</v>
          </cell>
          <cell r="D42">
            <v>511.68000000000006</v>
          </cell>
          <cell r="E42">
            <v>33.898305084745765</v>
          </cell>
          <cell r="F42">
            <v>17345.084745762713</v>
          </cell>
          <cell r="H42">
            <v>0</v>
          </cell>
          <cell r="I42">
            <v>5.9322033898305087</v>
          </cell>
          <cell r="J42">
            <v>3035.3898305084749</v>
          </cell>
          <cell r="K42">
            <v>20380.47457627119</v>
          </cell>
        </row>
        <row r="43">
          <cell r="B43" t="str">
            <v>saZirkvlis betonis kedlebis hidroizolacia</v>
          </cell>
          <cell r="C43" t="str">
            <v>m2</v>
          </cell>
          <cell r="D43">
            <v>280.685</v>
          </cell>
          <cell r="E43">
            <v>2.6271186440677967</v>
          </cell>
          <cell r="F43">
            <v>737.39279661016951</v>
          </cell>
          <cell r="G43">
            <v>0</v>
          </cell>
          <cell r="H43">
            <v>0</v>
          </cell>
          <cell r="I43">
            <v>53.389830508474581</v>
          </cell>
          <cell r="J43">
            <v>14985.724576271188</v>
          </cell>
          <cell r="K43">
            <v>15723.117372881357</v>
          </cell>
        </row>
        <row r="44">
          <cell r="B44" t="str">
            <v>hidroizolacia wasasmeli</v>
          </cell>
          <cell r="C44" t="str">
            <v>m2</v>
          </cell>
          <cell r="D44">
            <v>280.685</v>
          </cell>
          <cell r="F44">
            <v>0</v>
          </cell>
          <cell r="G44">
            <v>0</v>
          </cell>
          <cell r="H44">
            <v>0</v>
          </cell>
          <cell r="J44">
            <v>0</v>
          </cell>
          <cell r="K44">
            <v>0</v>
          </cell>
        </row>
        <row r="45">
          <cell r="B45" t="str">
            <v>ips 2sm ni</v>
          </cell>
          <cell r="C45" t="str">
            <v>m2</v>
          </cell>
          <cell r="D45">
            <v>294.71924999999999</v>
          </cell>
          <cell r="E45">
            <v>1.6949152542372883</v>
          </cell>
          <cell r="F45">
            <v>499.52415254237292</v>
          </cell>
          <cell r="H45">
            <v>0</v>
          </cell>
          <cell r="K45">
            <v>499.52415254237292</v>
          </cell>
        </row>
        <row r="46">
          <cell r="B46" t="str">
            <v>damxmare masala hidroizolacia</v>
          </cell>
          <cell r="C46" t="str">
            <v>m2</v>
          </cell>
          <cell r="D46">
            <v>280.685</v>
          </cell>
          <cell r="E46">
            <v>0.84745762711864414</v>
          </cell>
          <cell r="F46">
            <v>237.86864406779662</v>
          </cell>
          <cell r="H46">
            <v>0</v>
          </cell>
          <cell r="K46">
            <v>237.86864406779662</v>
          </cell>
        </row>
        <row r="47">
          <cell r="B47" t="str">
            <v>usafrTxoebis xarji</v>
          </cell>
          <cell r="C47" t="str">
            <v>Tve</v>
          </cell>
          <cell r="D47">
            <v>2</v>
          </cell>
          <cell r="E47">
            <v>8050.8474576271192</v>
          </cell>
          <cell r="F47">
            <v>16101.694915254238</v>
          </cell>
          <cell r="H47">
            <v>0</v>
          </cell>
          <cell r="I47">
            <v>8050.8474576271192</v>
          </cell>
          <cell r="J47">
            <v>16101.694915254238</v>
          </cell>
          <cell r="K47">
            <v>32203.389830508477</v>
          </cell>
        </row>
        <row r="48">
          <cell r="B48" t="str">
            <v>dRiuri muSebi</v>
          </cell>
          <cell r="C48" t="str">
            <v>kac/dRe</v>
          </cell>
          <cell r="D48">
            <v>60</v>
          </cell>
          <cell r="F48">
            <v>0</v>
          </cell>
          <cell r="G48">
            <v>408</v>
          </cell>
          <cell r="H48">
            <v>24480</v>
          </cell>
          <cell r="I48">
            <v>0</v>
          </cell>
          <cell r="J48">
            <v>0</v>
          </cell>
          <cell r="K48">
            <v>24480</v>
          </cell>
        </row>
        <row r="49">
          <cell r="B49" t="str">
            <v>jami</v>
          </cell>
          <cell r="F49">
            <v>1052376.3932033898</v>
          </cell>
          <cell r="H49">
            <v>515128.49624999997</v>
          </cell>
          <cell r="J49">
            <v>87711.427864406782</v>
          </cell>
          <cell r="K49">
            <v>1655216.3173177969</v>
          </cell>
        </row>
        <row r="50">
          <cell r="B50" t="str">
            <v>zednadebi xarji</v>
          </cell>
          <cell r="C50">
            <v>7.3999999999999996E-2</v>
          </cell>
          <cell r="K50">
            <v>122486.00748151696</v>
          </cell>
        </row>
        <row r="51">
          <cell r="B51" t="str">
            <v>jami</v>
          </cell>
          <cell r="K51">
            <v>1777702.3247993139</v>
          </cell>
        </row>
        <row r="52">
          <cell r="B52" t="str">
            <v>yalibi</v>
          </cell>
          <cell r="C52">
            <v>4.65E-2</v>
          </cell>
          <cell r="K52">
            <v>82663.158103168098</v>
          </cell>
        </row>
        <row r="53">
          <cell r="B53" t="str">
            <v>jami</v>
          </cell>
          <cell r="K53">
            <v>1860365.4829024819</v>
          </cell>
        </row>
        <row r="54">
          <cell r="B54" t="str">
            <v>teqnika</v>
          </cell>
          <cell r="C54">
            <v>3.5000000000000003E-2</v>
          </cell>
          <cell r="K54">
            <v>65112.791901586876</v>
          </cell>
        </row>
        <row r="55">
          <cell r="B55" t="str">
            <v>jami</v>
          </cell>
          <cell r="K55">
            <v>1925478.2748040687</v>
          </cell>
        </row>
        <row r="56">
          <cell r="B56" t="str">
            <v>mogeba</v>
          </cell>
          <cell r="C56">
            <v>0.16500000000000001</v>
          </cell>
          <cell r="K56">
            <v>317703.91534267133</v>
          </cell>
        </row>
        <row r="57">
          <cell r="B57" t="str">
            <v>jami</v>
          </cell>
          <cell r="K57">
            <v>2243182.1901467401</v>
          </cell>
        </row>
        <row r="58">
          <cell r="B58" t="str">
            <v>dRg</v>
          </cell>
          <cell r="C58">
            <v>0.18</v>
          </cell>
          <cell r="K58">
            <v>403772.79422641319</v>
          </cell>
        </row>
        <row r="59">
          <cell r="B59" t="str">
            <v>mTliani</v>
          </cell>
          <cell r="K59">
            <v>2646954.9843731532</v>
          </cell>
        </row>
        <row r="61">
          <cell r="B61" t="str">
            <v xml:space="preserve"> TeTri karkasi</v>
          </cell>
        </row>
        <row r="62">
          <cell r="B62" t="str">
            <v>blokis wyoba 20</v>
          </cell>
          <cell r="C62" t="str">
            <v>m2</v>
          </cell>
          <cell r="D62">
            <v>4151.9690000000001</v>
          </cell>
          <cell r="E62">
            <v>27.127081185359391</v>
          </cell>
          <cell r="F62">
            <v>112630.80014209544</v>
          </cell>
          <cell r="G62">
            <v>24.242506123299574</v>
          </cell>
          <cell r="H62">
            <v>100654.13390625</v>
          </cell>
          <cell r="I62">
            <v>0</v>
          </cell>
          <cell r="J62">
            <v>0</v>
          </cell>
          <cell r="K62">
            <v>213284.93404834543</v>
          </cell>
        </row>
        <row r="63">
          <cell r="B63" t="str">
            <v>blokis wyoba 20  niS -2.30</v>
          </cell>
          <cell r="C63" t="str">
            <v>m2</v>
          </cell>
          <cell r="D63">
            <v>658.10799999999995</v>
          </cell>
          <cell r="F63">
            <v>0</v>
          </cell>
          <cell r="G63">
            <v>23.90625</v>
          </cell>
          <cell r="H63">
            <v>15732.894374999998</v>
          </cell>
          <cell r="K63">
            <v>15732.894374999998</v>
          </cell>
        </row>
        <row r="64">
          <cell r="B64" t="str">
            <v>bloki 20-iani</v>
          </cell>
          <cell r="C64" t="str">
            <v>c</v>
          </cell>
          <cell r="D64">
            <v>8555.4039999999986</v>
          </cell>
          <cell r="E64">
            <v>1.6694915254237288</v>
          </cell>
          <cell r="F64">
            <v>14283.174474576268</v>
          </cell>
          <cell r="H64">
            <v>0</v>
          </cell>
          <cell r="K64">
            <v>14283.174474576268</v>
          </cell>
        </row>
        <row r="65">
          <cell r="B65" t="str">
            <v>sartyeli</v>
          </cell>
          <cell r="C65" t="str">
            <v>grZ.m</v>
          </cell>
          <cell r="D65">
            <v>3</v>
          </cell>
          <cell r="E65">
            <v>0</v>
          </cell>
          <cell r="F65">
            <v>0</v>
          </cell>
          <cell r="G65">
            <v>44.625</v>
          </cell>
          <cell r="H65">
            <v>133.875</v>
          </cell>
          <cell r="K65">
            <v>133.875</v>
          </cell>
        </row>
        <row r="66">
          <cell r="B66" t="str">
            <v>betoni b-25</v>
          </cell>
          <cell r="C66" t="str">
            <v>მ3</v>
          </cell>
          <cell r="D66">
            <v>0.58800000000000008</v>
          </cell>
          <cell r="E66">
            <v>219.49152542372883</v>
          </cell>
          <cell r="F66">
            <v>129.06101694915256</v>
          </cell>
          <cell r="H66">
            <v>0</v>
          </cell>
          <cell r="K66">
            <v>129.06101694915256</v>
          </cell>
        </row>
        <row r="67">
          <cell r="B67" t="str">
            <v>armatura a500</v>
          </cell>
          <cell r="C67" t="str">
            <v>ტონა</v>
          </cell>
          <cell r="D67">
            <v>1.4999999999999999E-2</v>
          </cell>
          <cell r="E67">
            <v>0</v>
          </cell>
          <cell r="F67">
            <v>0</v>
          </cell>
          <cell r="H67">
            <v>0</v>
          </cell>
          <cell r="K67">
            <v>0</v>
          </cell>
        </row>
        <row r="68">
          <cell r="B68" t="str">
            <v>zRudari</v>
          </cell>
          <cell r="C68" t="str">
            <v>გრძ/მ</v>
          </cell>
          <cell r="D68">
            <v>4</v>
          </cell>
          <cell r="E68">
            <v>0</v>
          </cell>
          <cell r="F68">
            <v>0</v>
          </cell>
          <cell r="H68">
            <v>0</v>
          </cell>
          <cell r="K68">
            <v>0</v>
          </cell>
        </row>
        <row r="69">
          <cell r="B69" t="str">
            <v>qviSa</v>
          </cell>
          <cell r="C69" t="str">
            <v>m3</v>
          </cell>
          <cell r="D69">
            <v>20.730401999999998</v>
          </cell>
          <cell r="E69">
            <v>59.322033898305087</v>
          </cell>
          <cell r="F69">
            <v>1229.7696101694914</v>
          </cell>
          <cell r="H69">
            <v>0</v>
          </cell>
          <cell r="K69">
            <v>1229.7696101694914</v>
          </cell>
        </row>
        <row r="70">
          <cell r="B70" t="str">
            <v>cementi m300</v>
          </cell>
          <cell r="C70" t="str">
            <v>t</v>
          </cell>
          <cell r="D70">
            <v>5.4417305249999997</v>
          </cell>
          <cell r="E70">
            <v>265.47457627118644</v>
          </cell>
          <cell r="F70">
            <v>1444.6411053063557</v>
          </cell>
          <cell r="H70">
            <v>0</v>
          </cell>
          <cell r="K70">
            <v>1444.6411053063557</v>
          </cell>
        </row>
        <row r="71">
          <cell r="B71" t="str">
            <v>blokis damxmare masala</v>
          </cell>
          <cell r="C71" t="str">
            <v>m2</v>
          </cell>
          <cell r="D71">
            <v>658.10799999999995</v>
          </cell>
          <cell r="E71">
            <v>0.84745762711864414</v>
          </cell>
          <cell r="F71">
            <v>557.71864406779662</v>
          </cell>
          <cell r="H71">
            <v>0</v>
          </cell>
          <cell r="K71">
            <v>557.71864406779662</v>
          </cell>
        </row>
        <row r="72">
          <cell r="B72" t="str">
            <v>blokis wyoba 20  niS 0.00</v>
          </cell>
          <cell r="C72" t="str">
            <v>m2</v>
          </cell>
          <cell r="D72">
            <v>917.83000000000015</v>
          </cell>
          <cell r="F72">
            <v>0</v>
          </cell>
          <cell r="G72">
            <v>23.90625</v>
          </cell>
          <cell r="H72">
            <v>21941.873437500002</v>
          </cell>
          <cell r="K72">
            <v>21941.873437500002</v>
          </cell>
        </row>
        <row r="73">
          <cell r="B73" t="str">
            <v>bloki 20-iani</v>
          </cell>
          <cell r="C73" t="str">
            <v>c</v>
          </cell>
          <cell r="D73">
            <v>11931.790000000003</v>
          </cell>
          <cell r="E73">
            <v>1.6694915254237288</v>
          </cell>
          <cell r="F73">
            <v>19920.022288135599</v>
          </cell>
          <cell r="H73">
            <v>0</v>
          </cell>
          <cell r="K73">
            <v>19920.022288135599</v>
          </cell>
        </row>
        <row r="74">
          <cell r="B74" t="str">
            <v>sartyeli</v>
          </cell>
          <cell r="C74" t="str">
            <v>grZ.m</v>
          </cell>
          <cell r="D74">
            <v>41.000000000000007</v>
          </cell>
          <cell r="E74">
            <v>0</v>
          </cell>
          <cell r="F74">
            <v>0</v>
          </cell>
          <cell r="G74">
            <v>44.625</v>
          </cell>
          <cell r="H74">
            <v>1829.6250000000002</v>
          </cell>
          <cell r="K74">
            <v>1829.6250000000002</v>
          </cell>
        </row>
        <row r="75">
          <cell r="B75" t="str">
            <v>betoni b-25</v>
          </cell>
          <cell r="C75" t="str">
            <v>მ3</v>
          </cell>
          <cell r="D75">
            <v>2.4150000000000005</v>
          </cell>
          <cell r="E75">
            <v>219.49152542372883</v>
          </cell>
          <cell r="F75">
            <v>530.07203389830522</v>
          </cell>
          <cell r="H75">
            <v>0</v>
          </cell>
          <cell r="K75">
            <v>530.07203389830522</v>
          </cell>
        </row>
        <row r="76">
          <cell r="B76" t="str">
            <v>armatura a500</v>
          </cell>
          <cell r="C76" t="str">
            <v>ტონა</v>
          </cell>
          <cell r="D76">
            <v>0.06</v>
          </cell>
          <cell r="E76">
            <v>0</v>
          </cell>
          <cell r="F76">
            <v>0</v>
          </cell>
          <cell r="H76">
            <v>0</v>
          </cell>
          <cell r="K76">
            <v>0</v>
          </cell>
        </row>
        <row r="77">
          <cell r="B77" t="str">
            <v>zRudari</v>
          </cell>
          <cell r="C77" t="str">
            <v>გრძ/მ</v>
          </cell>
          <cell r="D77">
            <v>16.5</v>
          </cell>
          <cell r="E77">
            <v>0</v>
          </cell>
          <cell r="F77">
            <v>0</v>
          </cell>
          <cell r="G77">
            <v>19.125</v>
          </cell>
          <cell r="H77">
            <v>315.5625</v>
          </cell>
          <cell r="K77">
            <v>315.5625</v>
          </cell>
        </row>
        <row r="78">
          <cell r="B78" t="str">
            <v>qviSa</v>
          </cell>
          <cell r="C78" t="str">
            <v>m3</v>
          </cell>
          <cell r="D78">
            <v>28.911645000000004</v>
          </cell>
          <cell r="E78">
            <v>59.322033898305087</v>
          </cell>
          <cell r="F78">
            <v>1715.097584745763</v>
          </cell>
          <cell r="H78">
            <v>0</v>
          </cell>
          <cell r="K78">
            <v>1715.097584745763</v>
          </cell>
        </row>
        <row r="79">
          <cell r="B79" t="str">
            <v>cementi m300</v>
          </cell>
          <cell r="C79" t="str">
            <v>t</v>
          </cell>
          <cell r="D79">
            <v>7.5893068125000012</v>
          </cell>
          <cell r="E79">
            <v>265.47457627118644</v>
          </cell>
          <cell r="F79">
            <v>2014.7680102404663</v>
          </cell>
          <cell r="H79">
            <v>0</v>
          </cell>
          <cell r="K79">
            <v>2014.7680102404663</v>
          </cell>
        </row>
        <row r="80">
          <cell r="B80" t="str">
            <v>blokis damxmare masala</v>
          </cell>
          <cell r="C80" t="str">
            <v>m2</v>
          </cell>
          <cell r="D80">
            <v>917.83000000000015</v>
          </cell>
          <cell r="E80">
            <v>0.84745762711864414</v>
          </cell>
          <cell r="F80">
            <v>777.82203389830534</v>
          </cell>
          <cell r="H80">
            <v>0</v>
          </cell>
          <cell r="K80">
            <v>777.82203389830534</v>
          </cell>
        </row>
        <row r="81">
          <cell r="B81" t="str">
            <v>blokis wyoba 20  niS 3.20/6.40/9.60</v>
          </cell>
          <cell r="C81" t="str">
            <v>m2</v>
          </cell>
          <cell r="D81">
            <v>2576.0309999999999</v>
          </cell>
          <cell r="F81">
            <v>0</v>
          </cell>
          <cell r="G81">
            <v>23.90625</v>
          </cell>
          <cell r="H81">
            <v>61583.241093749995</v>
          </cell>
          <cell r="K81">
            <v>61583.241093749995</v>
          </cell>
        </row>
        <row r="82">
          <cell r="B82" t="str">
            <v>bloki 20-iani</v>
          </cell>
          <cell r="C82" t="str">
            <v>c</v>
          </cell>
          <cell r="D82">
            <v>33488.402999999998</v>
          </cell>
          <cell r="E82">
            <v>1.6694915254237288</v>
          </cell>
          <cell r="F82">
            <v>55908.605008474573</v>
          </cell>
          <cell r="H82">
            <v>0</v>
          </cell>
          <cell r="K82">
            <v>55908.605008474573</v>
          </cell>
        </row>
        <row r="83">
          <cell r="B83" t="str">
            <v>sartyeli</v>
          </cell>
          <cell r="C83" t="str">
            <v>grZ.m</v>
          </cell>
          <cell r="D83">
            <v>109.80000000000001</v>
          </cell>
          <cell r="E83">
            <v>0</v>
          </cell>
          <cell r="F83">
            <v>0</v>
          </cell>
          <cell r="G83">
            <v>44.625</v>
          </cell>
          <cell r="H83">
            <v>4899.8250000000007</v>
          </cell>
          <cell r="K83">
            <v>4899.8250000000007</v>
          </cell>
        </row>
        <row r="84">
          <cell r="B84" t="str">
            <v>betoni b-25</v>
          </cell>
          <cell r="C84" t="str">
            <v>მ3</v>
          </cell>
          <cell r="D84">
            <v>6.6906000000000008</v>
          </cell>
          <cell r="E84">
            <v>219.49152542372883</v>
          </cell>
          <cell r="F84">
            <v>1468.5300000000002</v>
          </cell>
          <cell r="H84">
            <v>0</v>
          </cell>
          <cell r="K84">
            <v>1468.5300000000002</v>
          </cell>
        </row>
        <row r="85">
          <cell r="B85" t="str">
            <v>armatura a500</v>
          </cell>
          <cell r="C85" t="str">
            <v>ტონა</v>
          </cell>
          <cell r="D85">
            <v>0.3</v>
          </cell>
          <cell r="E85">
            <v>0</v>
          </cell>
          <cell r="F85">
            <v>0</v>
          </cell>
          <cell r="H85">
            <v>0</v>
          </cell>
          <cell r="K85">
            <v>0</v>
          </cell>
        </row>
        <row r="86">
          <cell r="B86" t="str">
            <v>zRudari</v>
          </cell>
          <cell r="C86" t="str">
            <v>გრძ/მ</v>
          </cell>
          <cell r="D86">
            <v>49.5</v>
          </cell>
          <cell r="E86">
            <v>0</v>
          </cell>
          <cell r="F86">
            <v>0</v>
          </cell>
          <cell r="G86">
            <v>19.125</v>
          </cell>
          <cell r="H86">
            <v>946.6875</v>
          </cell>
          <cell r="K86">
            <v>946.6875</v>
          </cell>
        </row>
        <row r="87">
          <cell r="B87" t="str">
            <v>qviSa</v>
          </cell>
          <cell r="C87" t="str">
            <v>m3</v>
          </cell>
          <cell r="D87">
            <v>81.144976499999999</v>
          </cell>
          <cell r="E87">
            <v>59.322033898305087</v>
          </cell>
          <cell r="F87">
            <v>4813.6850466101696</v>
          </cell>
          <cell r="H87">
            <v>0</v>
          </cell>
          <cell r="K87">
            <v>4813.6850466101696</v>
          </cell>
        </row>
        <row r="88">
          <cell r="B88" t="str">
            <v>cementi m300</v>
          </cell>
          <cell r="C88" t="str">
            <v>t</v>
          </cell>
          <cell r="D88">
            <v>21.30055633125</v>
          </cell>
          <cell r="E88">
            <v>265.47457627118644</v>
          </cell>
          <cell r="F88">
            <v>5654.7561663791312</v>
          </cell>
          <cell r="H88">
            <v>0</v>
          </cell>
          <cell r="K88">
            <v>5654.7561663791312</v>
          </cell>
        </row>
        <row r="89">
          <cell r="B89" t="str">
            <v>blokis damxmare masala</v>
          </cell>
          <cell r="C89" t="str">
            <v>m2</v>
          </cell>
          <cell r="D89">
            <v>2576.0309999999999</v>
          </cell>
          <cell r="E89">
            <v>0.84745762711864414</v>
          </cell>
          <cell r="F89">
            <v>2183.0771186440679</v>
          </cell>
          <cell r="H89">
            <v>0</v>
          </cell>
          <cell r="K89">
            <v>2183.0771186440679</v>
          </cell>
        </row>
        <row r="90">
          <cell r="B90" t="str">
            <v xml:space="preserve"> vitraJi</v>
          </cell>
          <cell r="C90" t="str">
            <v>m2</v>
          </cell>
          <cell r="D90">
            <v>592.40000000000009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301.86440677966107</v>
          </cell>
          <cell r="J90">
            <v>178824.47457627126</v>
          </cell>
          <cell r="K90">
            <v>178824.47457627126</v>
          </cell>
        </row>
        <row r="91">
          <cell r="B91" t="str">
            <v>vitraJi niS. -2.55</v>
          </cell>
          <cell r="C91" t="str">
            <v>m2</v>
          </cell>
          <cell r="D91">
            <v>17.28</v>
          </cell>
          <cell r="F91">
            <v>0</v>
          </cell>
          <cell r="H91">
            <v>0</v>
          </cell>
          <cell r="I91">
            <v>301.86440677966107</v>
          </cell>
          <cell r="J91">
            <v>5216.2169491525437</v>
          </cell>
          <cell r="K91">
            <v>5216.2169491525437</v>
          </cell>
        </row>
        <row r="92">
          <cell r="B92" t="str">
            <v>vitraJi  niS. 0.00</v>
          </cell>
          <cell r="C92" t="str">
            <v>m2</v>
          </cell>
          <cell r="D92">
            <v>118.16</v>
          </cell>
          <cell r="F92">
            <v>0</v>
          </cell>
          <cell r="H92">
            <v>0</v>
          </cell>
          <cell r="I92">
            <v>301.86440677966107</v>
          </cell>
          <cell r="J92">
            <v>35668.298305084754</v>
          </cell>
          <cell r="K92">
            <v>35668.298305084754</v>
          </cell>
        </row>
        <row r="93">
          <cell r="B93" t="str">
            <v>vitraJi niS. 3.20/6.40/9.60</v>
          </cell>
          <cell r="C93" t="str">
            <v>m2</v>
          </cell>
          <cell r="D93">
            <v>456.96000000000004</v>
          </cell>
          <cell r="F93">
            <v>0</v>
          </cell>
          <cell r="H93">
            <v>0</v>
          </cell>
          <cell r="I93">
            <v>301.86440677966107</v>
          </cell>
          <cell r="J93">
            <v>137939.95932203394</v>
          </cell>
          <cell r="K93">
            <v>137939.95932203394</v>
          </cell>
        </row>
        <row r="94">
          <cell r="B94" t="str">
            <v>fasadis mopirkeTeba aguriT</v>
          </cell>
          <cell r="C94" t="str">
            <v>m2</v>
          </cell>
          <cell r="D94">
            <v>1072.18</v>
          </cell>
          <cell r="E94">
            <v>46.640923051230018</v>
          </cell>
          <cell r="F94">
            <v>50007.464877067803</v>
          </cell>
          <cell r="G94">
            <v>84.887782368632145</v>
          </cell>
          <cell r="H94">
            <v>91014.982500000013</v>
          </cell>
          <cell r="I94">
            <v>15</v>
          </cell>
          <cell r="J94">
            <v>16082.7</v>
          </cell>
          <cell r="K94">
            <v>157105.14737706783</v>
          </cell>
        </row>
        <row r="95">
          <cell r="B95" t="str">
            <v>fasadis mopirkeTeba aguriT niS -2.30</v>
          </cell>
          <cell r="C95" t="str">
            <v>m2</v>
          </cell>
          <cell r="D95">
            <v>0</v>
          </cell>
          <cell r="F95">
            <v>0</v>
          </cell>
          <cell r="G95">
            <v>82.875</v>
          </cell>
          <cell r="H95">
            <v>0</v>
          </cell>
          <cell r="K95">
            <v>0</v>
          </cell>
        </row>
        <row r="96">
          <cell r="B96" t="str">
            <v>aguri dekoratiuli</v>
          </cell>
          <cell r="C96" t="str">
            <v>cali</v>
          </cell>
          <cell r="D96">
            <v>0</v>
          </cell>
          <cell r="E96">
            <v>0.80508474576271183</v>
          </cell>
          <cell r="F96">
            <v>0</v>
          </cell>
          <cell r="H96">
            <v>0</v>
          </cell>
          <cell r="K96">
            <v>0</v>
          </cell>
        </row>
        <row r="97">
          <cell r="B97" t="str">
            <v>qviSa</v>
          </cell>
          <cell r="C97" t="str">
            <v>m3</v>
          </cell>
          <cell r="D97">
            <v>0</v>
          </cell>
          <cell r="E97">
            <v>59.322033898305087</v>
          </cell>
          <cell r="F97">
            <v>0</v>
          </cell>
          <cell r="H97">
            <v>0</v>
          </cell>
          <cell r="K97">
            <v>0</v>
          </cell>
        </row>
        <row r="98">
          <cell r="B98" t="str">
            <v>kuTxovanis mowyoba</v>
          </cell>
          <cell r="C98" t="str">
            <v>grZ.m</v>
          </cell>
          <cell r="D98">
            <v>0</v>
          </cell>
          <cell r="E98">
            <v>12.542372881355934</v>
          </cell>
          <cell r="F98">
            <v>0</v>
          </cell>
          <cell r="G98">
            <v>12.75</v>
          </cell>
          <cell r="H98">
            <v>0</v>
          </cell>
          <cell r="K98">
            <v>0</v>
          </cell>
        </row>
        <row r="99">
          <cell r="B99" t="str">
            <v>cementi m300</v>
          </cell>
          <cell r="C99" t="str">
            <v>t</v>
          </cell>
          <cell r="D99">
            <v>0</v>
          </cell>
          <cell r="E99">
            <v>265.47457627118644</v>
          </cell>
          <cell r="F99">
            <v>0</v>
          </cell>
          <cell r="H99">
            <v>0</v>
          </cell>
          <cell r="K99">
            <v>0</v>
          </cell>
        </row>
        <row r="100">
          <cell r="B100" t="str">
            <v>aguris damxmare masala</v>
          </cell>
          <cell r="C100" t="str">
            <v>m2</v>
          </cell>
          <cell r="D100">
            <v>0</v>
          </cell>
          <cell r="E100">
            <v>4.2372881355932206</v>
          </cell>
          <cell r="F100">
            <v>0</v>
          </cell>
          <cell r="H100">
            <v>0</v>
          </cell>
          <cell r="K100">
            <v>0</v>
          </cell>
        </row>
        <row r="101">
          <cell r="B101" t="str">
            <v>fasadis mopirkeTeba aguriT niS 0.00.3.20/6.40/9.60</v>
          </cell>
          <cell r="C101" t="str">
            <v>m2</v>
          </cell>
          <cell r="D101">
            <v>1072.18</v>
          </cell>
          <cell r="F101">
            <v>0</v>
          </cell>
          <cell r="G101">
            <v>82.875</v>
          </cell>
          <cell r="H101">
            <v>88856.91750000001</v>
          </cell>
          <cell r="K101">
            <v>88856.91750000001</v>
          </cell>
        </row>
        <row r="102">
          <cell r="B102" t="str">
            <v>aguri dekoratiuli</v>
          </cell>
          <cell r="C102" t="str">
            <v>cali</v>
          </cell>
          <cell r="D102">
            <v>39402.615000000005</v>
          </cell>
          <cell r="E102">
            <v>0.80508474576271183</v>
          </cell>
          <cell r="F102">
            <v>31722.44427966102</v>
          </cell>
          <cell r="H102">
            <v>0</v>
          </cell>
          <cell r="K102">
            <v>31722.44427966102</v>
          </cell>
        </row>
        <row r="103">
          <cell r="B103" t="str">
            <v>qviSa</v>
          </cell>
          <cell r="C103" t="str">
            <v>m3</v>
          </cell>
          <cell r="D103">
            <v>90.063119999999998</v>
          </cell>
          <cell r="E103">
            <v>59.322033898305087</v>
          </cell>
          <cell r="F103">
            <v>5342.7274576271184</v>
          </cell>
          <cell r="H103">
            <v>0</v>
          </cell>
          <cell r="K103">
            <v>5342.7274576271184</v>
          </cell>
        </row>
        <row r="104">
          <cell r="B104" t="str">
            <v>kuTxovanis mowyoba</v>
          </cell>
          <cell r="C104" t="str">
            <v>grZ.m</v>
          </cell>
          <cell r="D104">
            <v>169.26</v>
          </cell>
          <cell r="E104">
            <v>12.542372881355934</v>
          </cell>
          <cell r="F104">
            <v>2122.9220338983055</v>
          </cell>
          <cell r="G104">
            <v>12.75</v>
          </cell>
          <cell r="H104">
            <v>2158.0650000000001</v>
          </cell>
          <cell r="K104">
            <v>4280.9870338983055</v>
          </cell>
        </row>
        <row r="105">
          <cell r="B105" t="str">
            <v>cementi m300</v>
          </cell>
          <cell r="C105" t="str">
            <v>t</v>
          </cell>
          <cell r="D105">
            <v>23.641569</v>
          </cell>
          <cell r="E105">
            <v>265.47457627118644</v>
          </cell>
          <cell r="F105">
            <v>6276.2355126610173</v>
          </cell>
          <cell r="H105">
            <v>0</v>
          </cell>
          <cell r="K105">
            <v>6276.2355126610173</v>
          </cell>
        </row>
        <row r="106">
          <cell r="B106" t="str">
            <v>aguris damxmare masala</v>
          </cell>
          <cell r="C106" t="str">
            <v>m2</v>
          </cell>
          <cell r="D106">
            <v>1072.18</v>
          </cell>
          <cell r="E106">
            <v>4.2372881355932206</v>
          </cell>
          <cell r="F106">
            <v>4543.1355932203396</v>
          </cell>
          <cell r="H106">
            <v>0</v>
          </cell>
          <cell r="K106">
            <v>4543.1355932203396</v>
          </cell>
        </row>
        <row r="107">
          <cell r="B107" t="str">
            <v>kar-fanjrebis ferdilis mopirkeTeba aguriT</v>
          </cell>
          <cell r="C107" t="str">
            <v>grZ.m</v>
          </cell>
          <cell r="D107">
            <v>729.95</v>
          </cell>
          <cell r="E107">
            <v>9.5092812414684253</v>
          </cell>
          <cell r="F107">
            <v>6941.2998422098772</v>
          </cell>
          <cell r="G107">
            <v>44.625</v>
          </cell>
          <cell r="H107">
            <v>32574.018750000003</v>
          </cell>
          <cell r="I107">
            <v>0</v>
          </cell>
          <cell r="J107">
            <v>0</v>
          </cell>
          <cell r="K107">
            <v>39515.318592209878</v>
          </cell>
        </row>
        <row r="108">
          <cell r="B108" t="str">
            <v>ferdilis mopirkeTeba aguriT, niS. 0.00</v>
          </cell>
          <cell r="C108" t="str">
            <v>grZ.m</v>
          </cell>
          <cell r="D108">
            <v>218.95</v>
          </cell>
          <cell r="F108">
            <v>0</v>
          </cell>
          <cell r="G108">
            <v>44.625</v>
          </cell>
          <cell r="H108">
            <v>9770.6437499999993</v>
          </cell>
          <cell r="K108">
            <v>9770.6437499999993</v>
          </cell>
        </row>
        <row r="109">
          <cell r="B109" t="str">
            <v>aguri dekoratiuli</v>
          </cell>
          <cell r="C109" t="str">
            <v>cali</v>
          </cell>
          <cell r="D109">
            <v>1423.175</v>
          </cell>
          <cell r="E109">
            <v>0.80508474576271183</v>
          </cell>
          <cell r="F109">
            <v>1145.7764830508474</v>
          </cell>
          <cell r="H109">
            <v>0</v>
          </cell>
          <cell r="K109">
            <v>1145.7764830508474</v>
          </cell>
        </row>
        <row r="110">
          <cell r="B110" t="str">
            <v>webo/cementi</v>
          </cell>
          <cell r="C110" t="str">
            <v>cali</v>
          </cell>
          <cell r="D110">
            <v>8</v>
          </cell>
          <cell r="E110">
            <v>11.016949152542374</v>
          </cell>
          <cell r="F110">
            <v>88.13559322033899</v>
          </cell>
          <cell r="H110">
            <v>0</v>
          </cell>
          <cell r="K110">
            <v>88.13559322033899</v>
          </cell>
        </row>
        <row r="111">
          <cell r="B111" t="str">
            <v>qviSa</v>
          </cell>
          <cell r="C111" t="str">
            <v>m3</v>
          </cell>
          <cell r="D111">
            <v>6.7245018749999996</v>
          </cell>
          <cell r="E111">
            <v>59.322033898305087</v>
          </cell>
          <cell r="F111">
            <v>398.91112817796608</v>
          </cell>
          <cell r="H111">
            <v>0</v>
          </cell>
          <cell r="K111">
            <v>398.91112817796608</v>
          </cell>
        </row>
        <row r="112">
          <cell r="B112" t="str">
            <v>cementi m300</v>
          </cell>
          <cell r="C112" t="str">
            <v>t</v>
          </cell>
          <cell r="D112">
            <v>1.7651817421875</v>
          </cell>
          <cell r="E112">
            <v>265.47457627118644</v>
          </cell>
          <cell r="F112">
            <v>468.6108750488612</v>
          </cell>
          <cell r="H112">
            <v>0</v>
          </cell>
          <cell r="K112">
            <v>468.6108750488612</v>
          </cell>
        </row>
        <row r="113">
          <cell r="B113" t="str">
            <v>ferdilis mopirkeTeba aguriT, niS. 3.20/6.40/9.60</v>
          </cell>
          <cell r="C113" t="str">
            <v>grZ.m</v>
          </cell>
          <cell r="D113">
            <v>507</v>
          </cell>
          <cell r="F113">
            <v>0</v>
          </cell>
          <cell r="G113">
            <v>44.625</v>
          </cell>
          <cell r="H113">
            <v>22624.875</v>
          </cell>
          <cell r="K113">
            <v>22624.875</v>
          </cell>
        </row>
        <row r="114">
          <cell r="B114" t="str">
            <v>aguri dekoratiuli</v>
          </cell>
          <cell r="C114" t="str">
            <v>cali</v>
          </cell>
          <cell r="D114">
            <v>3295.5</v>
          </cell>
          <cell r="E114">
            <v>0.80508474576271183</v>
          </cell>
          <cell r="F114">
            <v>2653.156779661017</v>
          </cell>
          <cell r="H114">
            <v>0</v>
          </cell>
          <cell r="K114">
            <v>2653.156779661017</v>
          </cell>
        </row>
        <row r="115">
          <cell r="B115" t="str">
            <v>webo/cementi</v>
          </cell>
          <cell r="C115" t="str">
            <v>cali</v>
          </cell>
          <cell r="D115">
            <v>15</v>
          </cell>
          <cell r="E115">
            <v>11.016949152542374</v>
          </cell>
          <cell r="F115">
            <v>165.25423728813561</v>
          </cell>
          <cell r="H115">
            <v>0</v>
          </cell>
          <cell r="K115">
            <v>165.25423728813561</v>
          </cell>
        </row>
        <row r="116">
          <cell r="B116" t="str">
            <v>qviSa</v>
          </cell>
          <cell r="C116" t="str">
            <v>m3</v>
          </cell>
          <cell r="D116">
            <v>15.571237499999999</v>
          </cell>
          <cell r="E116">
            <v>59.322033898305087</v>
          </cell>
          <cell r="F116">
            <v>923.7174788135593</v>
          </cell>
          <cell r="H116">
            <v>0</v>
          </cell>
          <cell r="K116">
            <v>923.7174788135593</v>
          </cell>
        </row>
        <row r="117">
          <cell r="B117" t="str">
            <v>cementi m300</v>
          </cell>
          <cell r="C117" t="str">
            <v>t</v>
          </cell>
          <cell r="D117">
            <v>3.9375</v>
          </cell>
          <cell r="E117">
            <v>265.47457627118644</v>
          </cell>
          <cell r="F117">
            <v>1045.3061440677966</v>
          </cell>
          <cell r="H117">
            <v>0</v>
          </cell>
          <cell r="K117">
            <v>1045.3061440677966</v>
          </cell>
        </row>
        <row r="118">
          <cell r="B118" t="str">
            <v>ferdilis mopirkeTeba parapetze</v>
          </cell>
          <cell r="C118" t="str">
            <v>grZ.m</v>
          </cell>
          <cell r="D118">
            <v>4</v>
          </cell>
          <cell r="F118">
            <v>0</v>
          </cell>
          <cell r="G118">
            <v>44.625</v>
          </cell>
          <cell r="H118">
            <v>178.5</v>
          </cell>
          <cell r="K118">
            <v>178.5</v>
          </cell>
        </row>
        <row r="119">
          <cell r="B119" t="str">
            <v>aguri dekoratiuli</v>
          </cell>
          <cell r="C119" t="str">
            <v>cali</v>
          </cell>
          <cell r="D119">
            <v>26</v>
          </cell>
          <cell r="E119">
            <v>0.80508474576271183</v>
          </cell>
          <cell r="F119">
            <v>20.932203389830509</v>
          </cell>
          <cell r="H119">
            <v>0</v>
          </cell>
          <cell r="K119">
            <v>20.932203389830509</v>
          </cell>
        </row>
        <row r="120">
          <cell r="B120" t="str">
            <v>webo/cementi</v>
          </cell>
          <cell r="C120" t="str">
            <v>cali</v>
          </cell>
          <cell r="D120">
            <v>0.3</v>
          </cell>
          <cell r="E120">
            <v>11.016949152542374</v>
          </cell>
          <cell r="F120">
            <v>3.3050847457627119</v>
          </cell>
          <cell r="H120">
            <v>0</v>
          </cell>
          <cell r="K120">
            <v>3.3050847457627119</v>
          </cell>
        </row>
        <row r="121">
          <cell r="B121" t="str">
            <v>qviSa</v>
          </cell>
          <cell r="C121" t="str">
            <v>m3</v>
          </cell>
          <cell r="D121">
            <v>0.12285</v>
          </cell>
          <cell r="E121">
            <v>59.322033898305087</v>
          </cell>
          <cell r="F121">
            <v>7.2877118644067798</v>
          </cell>
          <cell r="H121">
            <v>0</v>
          </cell>
          <cell r="K121">
            <v>7.2877118644067798</v>
          </cell>
        </row>
        <row r="122">
          <cell r="B122" t="str">
            <v>cementi m300</v>
          </cell>
          <cell r="C122" t="str">
            <v>t</v>
          </cell>
          <cell r="D122">
            <v>7.8750000000000001E-2</v>
          </cell>
          <cell r="E122">
            <v>265.47457627118644</v>
          </cell>
          <cell r="F122">
            <v>20.90612288135593</v>
          </cell>
          <cell r="H122">
            <v>0</v>
          </cell>
          <cell r="K122">
            <v>20.90612288135593</v>
          </cell>
        </row>
        <row r="123">
          <cell r="B123" t="str">
            <v>aguris cxauris mowyoba</v>
          </cell>
          <cell r="C123" t="str">
            <v>m2</v>
          </cell>
          <cell r="D123">
            <v>24</v>
          </cell>
          <cell r="E123">
            <v>98.048075211864401</v>
          </cell>
          <cell r="F123">
            <v>2353.1538050847457</v>
          </cell>
          <cell r="G123">
            <v>165.75</v>
          </cell>
          <cell r="H123">
            <v>3978</v>
          </cell>
          <cell r="I123">
            <v>0</v>
          </cell>
          <cell r="J123">
            <v>0</v>
          </cell>
          <cell r="K123">
            <v>6331.1538050847457</v>
          </cell>
        </row>
        <row r="124">
          <cell r="B124" t="str">
            <v>aguris cxauris mowyoba aivnebze</v>
          </cell>
          <cell r="C124" t="str">
            <v>m2</v>
          </cell>
          <cell r="D124">
            <v>24</v>
          </cell>
          <cell r="F124">
            <v>0</v>
          </cell>
          <cell r="G124">
            <v>153</v>
          </cell>
          <cell r="H124">
            <v>3672</v>
          </cell>
          <cell r="K124">
            <v>3672</v>
          </cell>
        </row>
        <row r="125">
          <cell r="B125" t="str">
            <v>aguri dekoratiuli</v>
          </cell>
          <cell r="C125" t="str">
            <v>cali</v>
          </cell>
          <cell r="D125">
            <v>882</v>
          </cell>
          <cell r="E125">
            <v>0.80508474576271183</v>
          </cell>
          <cell r="F125">
            <v>710.0847457627118</v>
          </cell>
          <cell r="H125">
            <v>0</v>
          </cell>
          <cell r="K125">
            <v>710.0847457627118</v>
          </cell>
        </row>
        <row r="126">
          <cell r="B126" t="str">
            <v>qviSa</v>
          </cell>
          <cell r="C126" t="str">
            <v>m3</v>
          </cell>
          <cell r="D126">
            <v>2.5200000000000005</v>
          </cell>
          <cell r="E126">
            <v>59.322033898305087</v>
          </cell>
          <cell r="F126">
            <v>149.49152542372886</v>
          </cell>
          <cell r="H126">
            <v>0</v>
          </cell>
          <cell r="K126">
            <v>149.49152542372886</v>
          </cell>
        </row>
        <row r="127">
          <cell r="B127" t="str">
            <v>kuTxovanis mowyoba</v>
          </cell>
          <cell r="C127" t="str">
            <v>grZ.m</v>
          </cell>
          <cell r="D127">
            <v>24</v>
          </cell>
          <cell r="E127">
            <v>12.542372881355934</v>
          </cell>
          <cell r="F127">
            <v>301.01694915254245</v>
          </cell>
          <cell r="G127">
            <v>12.75</v>
          </cell>
          <cell r="H127">
            <v>306</v>
          </cell>
          <cell r="K127">
            <v>607.01694915254245</v>
          </cell>
        </row>
        <row r="128">
          <cell r="B128" t="str">
            <v>cementi m300</v>
          </cell>
          <cell r="C128" t="str">
            <v>t</v>
          </cell>
          <cell r="D128">
            <v>0.6615000000000002</v>
          </cell>
          <cell r="E128">
            <v>265.47457627118644</v>
          </cell>
          <cell r="F128">
            <v>175.61143220338988</v>
          </cell>
          <cell r="H128">
            <v>0</v>
          </cell>
          <cell r="K128">
            <v>175.61143220338988</v>
          </cell>
        </row>
        <row r="129">
          <cell r="B129" t="str">
            <v>aguris cxauri damxmare masala</v>
          </cell>
          <cell r="C129" t="str">
            <v>m2</v>
          </cell>
          <cell r="D129">
            <v>24</v>
          </cell>
          <cell r="E129">
            <v>42.372881355932208</v>
          </cell>
          <cell r="F129">
            <v>1016.949152542373</v>
          </cell>
          <cell r="H129">
            <v>0</v>
          </cell>
          <cell r="K129">
            <v>1016.949152542373</v>
          </cell>
        </row>
        <row r="130">
          <cell r="B130" t="str">
            <v>liftis Saxtis mopirkeTeba aguriT</v>
          </cell>
          <cell r="C130" t="str">
            <v>m2</v>
          </cell>
          <cell r="D130">
            <v>133.524</v>
          </cell>
          <cell r="E130">
            <v>28.512889936440679</v>
          </cell>
          <cell r="F130">
            <v>3807.1551158733055</v>
          </cell>
          <cell r="G130">
            <v>82.875000000000014</v>
          </cell>
          <cell r="H130">
            <v>11065.801500000001</v>
          </cell>
          <cell r="I130">
            <v>0</v>
          </cell>
          <cell r="J130">
            <v>0</v>
          </cell>
          <cell r="K130">
            <v>14872.956615873307</v>
          </cell>
        </row>
        <row r="131">
          <cell r="B131" t="str">
            <v>fasadis mopirkeTeba aguriT niS -2.30/0.00</v>
          </cell>
          <cell r="C131" t="str">
            <v>m2</v>
          </cell>
          <cell r="D131">
            <v>37.295999999999999</v>
          </cell>
          <cell r="F131">
            <v>0</v>
          </cell>
          <cell r="G131">
            <v>82.875</v>
          </cell>
          <cell r="H131">
            <v>3090.9059999999999</v>
          </cell>
          <cell r="K131">
            <v>3090.9059999999999</v>
          </cell>
        </row>
        <row r="132">
          <cell r="B132" t="str">
            <v>aguri dekoratiuli</v>
          </cell>
          <cell r="C132" t="str">
            <v>cali</v>
          </cell>
          <cell r="D132">
            <v>685.31399999999996</v>
          </cell>
          <cell r="E132">
            <v>0.80508474576271183</v>
          </cell>
          <cell r="F132">
            <v>551.73584745762707</v>
          </cell>
          <cell r="H132">
            <v>0</v>
          </cell>
          <cell r="K132">
            <v>551.73584745762707</v>
          </cell>
        </row>
        <row r="133">
          <cell r="B133" t="str">
            <v>qviSa</v>
          </cell>
          <cell r="C133" t="str">
            <v>m3</v>
          </cell>
          <cell r="D133">
            <v>2.7412560000000004</v>
          </cell>
          <cell r="E133">
            <v>59.322033898305087</v>
          </cell>
          <cell r="F133">
            <v>162.61688135593224</v>
          </cell>
          <cell r="H133">
            <v>0</v>
          </cell>
          <cell r="K133">
            <v>162.61688135593224</v>
          </cell>
        </row>
        <row r="134">
          <cell r="B134" t="str">
            <v>cementi m300</v>
          </cell>
          <cell r="C134" t="str">
            <v>t</v>
          </cell>
          <cell r="D134">
            <v>0.71957970000000016</v>
          </cell>
          <cell r="E134">
            <v>265.47457627118644</v>
          </cell>
          <cell r="F134">
            <v>191.03011595084749</v>
          </cell>
          <cell r="H134">
            <v>0</v>
          </cell>
          <cell r="K134">
            <v>191.03011595084749</v>
          </cell>
        </row>
        <row r="135">
          <cell r="B135" t="str">
            <v>aguris damxmare masala</v>
          </cell>
          <cell r="C135" t="str">
            <v>m2</v>
          </cell>
          <cell r="D135">
            <v>37.295999999999999</v>
          </cell>
          <cell r="E135">
            <v>4.2372881355932206</v>
          </cell>
          <cell r="F135">
            <v>158.03389830508476</v>
          </cell>
          <cell r="H135">
            <v>0</v>
          </cell>
          <cell r="K135">
            <v>158.03389830508476</v>
          </cell>
        </row>
        <row r="136">
          <cell r="B136" t="str">
            <v>fasadis mopirkeTeba aguriT niS 3.20/6.40/9.60</v>
          </cell>
          <cell r="C136" t="str">
            <v>m2</v>
          </cell>
          <cell r="D136">
            <v>96.228000000000009</v>
          </cell>
          <cell r="F136">
            <v>0</v>
          </cell>
          <cell r="G136">
            <v>82.875</v>
          </cell>
          <cell r="H136">
            <v>7974.8955000000005</v>
          </cell>
          <cell r="K136">
            <v>7974.8955000000005</v>
          </cell>
        </row>
        <row r="137">
          <cell r="B137" t="str">
            <v>aguri dekoratiuli</v>
          </cell>
          <cell r="C137" t="str">
            <v>cali</v>
          </cell>
          <cell r="D137">
            <v>1768.1895000000004</v>
          </cell>
          <cell r="E137">
            <v>0.80508474576271183</v>
          </cell>
          <cell r="F137">
            <v>1423.542394067797</v>
          </cell>
          <cell r="H137">
            <v>0</v>
          </cell>
          <cell r="K137">
            <v>1423.542394067797</v>
          </cell>
        </row>
        <row r="138">
          <cell r="B138" t="str">
            <v>qviSa</v>
          </cell>
          <cell r="C138" t="str">
            <v>m3</v>
          </cell>
          <cell r="D138">
            <v>7.0727580000000012</v>
          </cell>
          <cell r="E138">
            <v>59.322033898305087</v>
          </cell>
          <cell r="F138">
            <v>419.57038983050853</v>
          </cell>
          <cell r="H138">
            <v>0</v>
          </cell>
          <cell r="K138">
            <v>419.57038983050853</v>
          </cell>
        </row>
        <row r="139">
          <cell r="B139" t="str">
            <v>cementi m300</v>
          </cell>
          <cell r="C139" t="str">
            <v>t</v>
          </cell>
          <cell r="D139">
            <v>1.8565989750000005</v>
          </cell>
          <cell r="E139">
            <v>265.47457627118644</v>
          </cell>
          <cell r="F139">
            <v>492.87982619364419</v>
          </cell>
          <cell r="H139">
            <v>0</v>
          </cell>
          <cell r="K139">
            <v>492.87982619364419</v>
          </cell>
        </row>
        <row r="140">
          <cell r="B140" t="str">
            <v>aguris damxmare masala</v>
          </cell>
          <cell r="C140" t="str">
            <v>m2</v>
          </cell>
          <cell r="D140">
            <v>96.228000000000009</v>
          </cell>
          <cell r="E140">
            <v>4.2372881355932206</v>
          </cell>
          <cell r="F140">
            <v>407.74576271186447</v>
          </cell>
          <cell r="H140">
            <v>0</v>
          </cell>
          <cell r="K140">
            <v>407.74576271186447</v>
          </cell>
        </row>
        <row r="141">
          <cell r="B141" t="str">
            <v>fasadis daTbuneba/SefiTxvna/Rebva</v>
          </cell>
          <cell r="C141" t="str">
            <v>m2</v>
          </cell>
          <cell r="D141">
            <v>760.91399999999999</v>
          </cell>
          <cell r="E141">
            <v>54.855549835405355</v>
          </cell>
          <cell r="F141">
            <v>41740.355847457628</v>
          </cell>
          <cell r="G141">
            <v>57.374999999999993</v>
          </cell>
          <cell r="H141">
            <v>43657.440749999994</v>
          </cell>
          <cell r="I141">
            <v>0</v>
          </cell>
          <cell r="J141">
            <v>0</v>
          </cell>
          <cell r="K141">
            <v>85397.796597457622</v>
          </cell>
        </row>
        <row r="142">
          <cell r="B142" t="str">
            <v>niS 0.00</v>
          </cell>
          <cell r="C142" t="str">
            <v>m2</v>
          </cell>
          <cell r="D142">
            <v>263.73600000000005</v>
          </cell>
          <cell r="F142">
            <v>0</v>
          </cell>
          <cell r="H142">
            <v>0</v>
          </cell>
          <cell r="K142">
            <v>0</v>
          </cell>
        </row>
        <row r="143">
          <cell r="B143" t="str">
            <v>webocementi 185</v>
          </cell>
          <cell r="C143" t="str">
            <v>ცალი</v>
          </cell>
          <cell r="D143">
            <v>105.49440000000001</v>
          </cell>
          <cell r="E143">
            <v>15.677966101694915</v>
          </cell>
          <cell r="F143">
            <v>1653.9376271186443</v>
          </cell>
          <cell r="H143">
            <v>0</v>
          </cell>
          <cell r="K143">
            <v>1653.9376271186443</v>
          </cell>
        </row>
        <row r="144">
          <cell r="B144" t="str">
            <v>webocementi 186</v>
          </cell>
          <cell r="C144" t="str">
            <v>ცალი</v>
          </cell>
          <cell r="D144">
            <v>131.86800000000002</v>
          </cell>
          <cell r="E144">
            <v>19.915254237288135</v>
          </cell>
          <cell r="F144">
            <v>2626.1847457627123</v>
          </cell>
          <cell r="H144">
            <v>0</v>
          </cell>
          <cell r="K144">
            <v>2626.1847457627123</v>
          </cell>
        </row>
        <row r="145">
          <cell r="B145" t="str">
            <v>fasadis bade</v>
          </cell>
          <cell r="C145" t="str">
            <v>m2</v>
          </cell>
          <cell r="D145">
            <v>270.73600000000005</v>
          </cell>
          <cell r="E145">
            <v>1.2711864406779663</v>
          </cell>
          <cell r="F145">
            <v>344.15593220338991</v>
          </cell>
          <cell r="H145">
            <v>0</v>
          </cell>
          <cell r="K145">
            <v>344.15593220338991</v>
          </cell>
        </row>
        <row r="146">
          <cell r="B146" t="str">
            <v>fasadis fiTxi</v>
          </cell>
          <cell r="C146" t="str">
            <v>ცალი</v>
          </cell>
          <cell r="D146">
            <v>52.747200000000007</v>
          </cell>
          <cell r="E146">
            <v>19.915254237288135</v>
          </cell>
          <cell r="F146">
            <v>1050.4738983050847</v>
          </cell>
          <cell r="H146">
            <v>0</v>
          </cell>
          <cell r="K146">
            <v>1050.4738983050847</v>
          </cell>
        </row>
        <row r="147">
          <cell r="B147" t="str">
            <v>grunti</v>
          </cell>
          <cell r="C147" t="str">
            <v>ლიტრი</v>
          </cell>
          <cell r="D147">
            <v>28</v>
          </cell>
          <cell r="E147">
            <v>9.4915254237288131</v>
          </cell>
          <cell r="F147">
            <v>265.76271186440675</v>
          </cell>
          <cell r="H147">
            <v>0</v>
          </cell>
          <cell r="K147">
            <v>265.76271186440675</v>
          </cell>
        </row>
        <row r="148">
          <cell r="B148" t="str">
            <v>fasadis saRebavi</v>
          </cell>
          <cell r="C148" t="str">
            <v>ლიტრი</v>
          </cell>
          <cell r="D148">
            <v>60</v>
          </cell>
          <cell r="E148">
            <v>33.898305084745765</v>
          </cell>
          <cell r="F148">
            <v>2033.898305084746</v>
          </cell>
          <cell r="H148">
            <v>0</v>
          </cell>
          <cell r="K148">
            <v>2033.898305084746</v>
          </cell>
        </row>
        <row r="149">
          <cell r="B149" t="str">
            <v>qvabamba 5 ni</v>
          </cell>
          <cell r="C149" t="str">
            <v>m2</v>
          </cell>
          <cell r="D149">
            <v>263.73600000000005</v>
          </cell>
          <cell r="E149">
            <v>14.40677966101695</v>
          </cell>
          <cell r="F149">
            <v>3799.5864406779669</v>
          </cell>
          <cell r="H149">
            <v>0</v>
          </cell>
          <cell r="K149">
            <v>3799.5864406779669</v>
          </cell>
        </row>
        <row r="150">
          <cell r="B150" t="str">
            <v>qvabamba 3 ni</v>
          </cell>
          <cell r="C150" t="str">
            <v>m2</v>
          </cell>
          <cell r="D150">
            <v>18</v>
          </cell>
          <cell r="E150">
            <v>7.6271186440677967</v>
          </cell>
          <cell r="F150">
            <v>137.28813559322035</v>
          </cell>
          <cell r="H150">
            <v>0</v>
          </cell>
          <cell r="K150">
            <v>137.28813559322035</v>
          </cell>
        </row>
        <row r="151">
          <cell r="B151" t="str">
            <v>fasadis daTfunebis damxmare masala</v>
          </cell>
          <cell r="C151" t="str">
            <v>m2</v>
          </cell>
          <cell r="D151">
            <v>263.73600000000005</v>
          </cell>
          <cell r="E151">
            <v>6.7796610169491531</v>
          </cell>
          <cell r="F151">
            <v>1788.0406779661021</v>
          </cell>
          <cell r="H151">
            <v>0</v>
          </cell>
          <cell r="K151">
            <v>1788.0406779661021</v>
          </cell>
        </row>
        <row r="152">
          <cell r="B152" t="str">
            <v>niS 3.20/6.40/9.60</v>
          </cell>
          <cell r="C152" t="str">
            <v>m2</v>
          </cell>
          <cell r="D152">
            <v>497.17799999999988</v>
          </cell>
          <cell r="F152">
            <v>0</v>
          </cell>
          <cell r="H152">
            <v>0</v>
          </cell>
          <cell r="K152">
            <v>0</v>
          </cell>
        </row>
        <row r="153">
          <cell r="B153" t="str">
            <v>webocementi 185</v>
          </cell>
          <cell r="C153" t="str">
            <v>ცალი</v>
          </cell>
          <cell r="D153">
            <v>198.87119999999996</v>
          </cell>
          <cell r="E153">
            <v>15.677966101694915</v>
          </cell>
          <cell r="F153">
            <v>3117.8959322033893</v>
          </cell>
          <cell r="H153">
            <v>0</v>
          </cell>
          <cell r="K153">
            <v>3117.8959322033893</v>
          </cell>
        </row>
        <row r="154">
          <cell r="B154" t="str">
            <v>webocementi 186</v>
          </cell>
          <cell r="C154" t="str">
            <v>ცალი</v>
          </cell>
          <cell r="D154">
            <v>248.58899999999994</v>
          </cell>
          <cell r="E154">
            <v>19.915254237288135</v>
          </cell>
          <cell r="F154">
            <v>4950.7131355932188</v>
          </cell>
          <cell r="H154">
            <v>0</v>
          </cell>
          <cell r="K154">
            <v>4950.7131355932188</v>
          </cell>
        </row>
        <row r="155">
          <cell r="B155" t="str">
            <v>fasadis bade</v>
          </cell>
          <cell r="C155" t="str">
            <v>m2</v>
          </cell>
          <cell r="D155">
            <v>504.17799999999988</v>
          </cell>
          <cell r="E155">
            <v>1.2711864406779663</v>
          </cell>
          <cell r="F155">
            <v>640.9042372881355</v>
          </cell>
          <cell r="H155">
            <v>0</v>
          </cell>
          <cell r="K155">
            <v>640.9042372881355</v>
          </cell>
        </row>
        <row r="156">
          <cell r="B156" t="str">
            <v>fasadis fiTxi</v>
          </cell>
          <cell r="C156" t="str">
            <v>ცალი</v>
          </cell>
          <cell r="D156">
            <v>99.43559999999998</v>
          </cell>
          <cell r="E156">
            <v>19.915254237288135</v>
          </cell>
          <cell r="F156">
            <v>1980.2852542372877</v>
          </cell>
          <cell r="H156">
            <v>0</v>
          </cell>
          <cell r="K156">
            <v>1980.2852542372877</v>
          </cell>
        </row>
        <row r="157">
          <cell r="B157" t="str">
            <v>grunti</v>
          </cell>
          <cell r="C157" t="str">
            <v>ლიტრი</v>
          </cell>
          <cell r="D157">
            <v>75</v>
          </cell>
          <cell r="E157">
            <v>9.4915254237288131</v>
          </cell>
          <cell r="F157">
            <v>711.86440677966095</v>
          </cell>
          <cell r="H157">
            <v>0</v>
          </cell>
          <cell r="K157">
            <v>711.86440677966095</v>
          </cell>
        </row>
        <row r="158">
          <cell r="B158" t="str">
            <v>fasadis saRebavi</v>
          </cell>
          <cell r="C158" t="str">
            <v>ლიტრი</v>
          </cell>
          <cell r="D158">
            <v>170</v>
          </cell>
          <cell r="E158">
            <v>33.898305084745765</v>
          </cell>
          <cell r="F158">
            <v>5762.7118644067796</v>
          </cell>
          <cell r="H158">
            <v>0</v>
          </cell>
          <cell r="K158">
            <v>5762.7118644067796</v>
          </cell>
        </row>
        <row r="159">
          <cell r="B159" t="str">
            <v>qvabamba 5 ni</v>
          </cell>
          <cell r="C159" t="str">
            <v>m2</v>
          </cell>
          <cell r="D159">
            <v>497.17799999999988</v>
          </cell>
          <cell r="E159">
            <v>14.40677966101695</v>
          </cell>
          <cell r="F159">
            <v>7162.7338983050831</v>
          </cell>
          <cell r="H159">
            <v>0</v>
          </cell>
          <cell r="K159">
            <v>7162.7338983050831</v>
          </cell>
        </row>
        <row r="160">
          <cell r="B160" t="str">
            <v>qvabamba 3 ni</v>
          </cell>
          <cell r="C160" t="str">
            <v>m2</v>
          </cell>
          <cell r="D160">
            <v>45</v>
          </cell>
          <cell r="E160">
            <v>7.6271186440677967</v>
          </cell>
          <cell r="F160">
            <v>343.22033898305085</v>
          </cell>
          <cell r="H160">
            <v>0</v>
          </cell>
          <cell r="K160">
            <v>343.22033898305085</v>
          </cell>
        </row>
        <row r="161">
          <cell r="B161" t="str">
            <v>fasadis daTfunebis damxmare masala</v>
          </cell>
          <cell r="C161" t="str">
            <v>m2</v>
          </cell>
          <cell r="D161">
            <v>497.17799999999988</v>
          </cell>
          <cell r="E161">
            <v>6.7796610169491531</v>
          </cell>
          <cell r="F161">
            <v>3370.6983050847452</v>
          </cell>
          <cell r="H161">
            <v>0</v>
          </cell>
          <cell r="K161">
            <v>3370.6983050847452</v>
          </cell>
        </row>
        <row r="162">
          <cell r="B162" t="str">
            <v>torecebis Savad lesva</v>
          </cell>
          <cell r="C162" t="str">
            <v>m2</v>
          </cell>
          <cell r="D162">
            <v>218.39999999999998</v>
          </cell>
          <cell r="E162">
            <v>8.4162309322033924</v>
          </cell>
          <cell r="F162">
            <v>1838.1048355932207</v>
          </cell>
          <cell r="G162">
            <v>19.125</v>
          </cell>
          <cell r="H162">
            <v>4176.8999999999996</v>
          </cell>
          <cell r="I162">
            <v>0</v>
          </cell>
          <cell r="J162">
            <v>0</v>
          </cell>
          <cell r="K162">
            <v>6015.0048355932204</v>
          </cell>
        </row>
        <row r="163">
          <cell r="B163" t="str">
            <v>torecebis Savad lesva</v>
          </cell>
          <cell r="C163" t="str">
            <v>m2</v>
          </cell>
          <cell r="D163">
            <v>218.39999999999998</v>
          </cell>
          <cell r="F163">
            <v>0</v>
          </cell>
          <cell r="G163">
            <v>19.125</v>
          </cell>
          <cell r="H163">
            <v>4176.8999999999996</v>
          </cell>
          <cell r="K163">
            <v>4176.8999999999996</v>
          </cell>
        </row>
        <row r="164">
          <cell r="B164" t="str">
            <v>qviSa</v>
          </cell>
          <cell r="C164" t="str">
            <v>m3</v>
          </cell>
          <cell r="D164">
            <v>11.466000000000001</v>
          </cell>
          <cell r="E164">
            <v>59.322033898305087</v>
          </cell>
          <cell r="F164">
            <v>680.18644067796617</v>
          </cell>
          <cell r="H164">
            <v>0</v>
          </cell>
          <cell r="K164">
            <v>680.18644067796617</v>
          </cell>
        </row>
        <row r="165">
          <cell r="B165" t="str">
            <v>Savad lesva damxmare masala</v>
          </cell>
          <cell r="C165" t="str">
            <v>m2</v>
          </cell>
          <cell r="D165">
            <v>218.39999999999998</v>
          </cell>
          <cell r="E165">
            <v>0.42372881355932207</v>
          </cell>
          <cell r="F165">
            <v>92.542372881355931</v>
          </cell>
          <cell r="H165">
            <v>0</v>
          </cell>
          <cell r="K165">
            <v>92.542372881355931</v>
          </cell>
        </row>
        <row r="166">
          <cell r="B166" t="str">
            <v>cementi m300</v>
          </cell>
          <cell r="C166" t="str">
            <v>t</v>
          </cell>
          <cell r="D166">
            <v>4.0131000000000006</v>
          </cell>
          <cell r="E166">
            <v>265.47457627118644</v>
          </cell>
          <cell r="F166">
            <v>1065.3760220338984</v>
          </cell>
          <cell r="H166">
            <v>0</v>
          </cell>
          <cell r="K166">
            <v>1065.3760220338984</v>
          </cell>
        </row>
        <row r="167">
          <cell r="B167" t="str">
            <v>sak. Saxtis mowyoba/lifti</v>
          </cell>
          <cell r="C167" t="str">
            <v>m2</v>
          </cell>
          <cell r="D167">
            <v>107.21999999999998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292.10000000000002</v>
          </cell>
          <cell r="J167">
            <v>31318.962</v>
          </cell>
          <cell r="K167">
            <v>31318.962</v>
          </cell>
        </row>
        <row r="168">
          <cell r="B168" t="str">
            <v>fanjris bazaltis sacremle</v>
          </cell>
          <cell r="C168" t="str">
            <v>grZ.m</v>
          </cell>
          <cell r="D168">
            <v>161.10000000000002</v>
          </cell>
          <cell r="E168">
            <v>27.62813559322035</v>
          </cell>
          <cell r="F168">
            <v>4450.8926440677988</v>
          </cell>
          <cell r="G168">
            <v>20.399999999999999</v>
          </cell>
          <cell r="H168">
            <v>3286.44</v>
          </cell>
          <cell r="I168">
            <v>0</v>
          </cell>
          <cell r="J168">
            <v>0</v>
          </cell>
          <cell r="K168">
            <v>7737.3326440677993</v>
          </cell>
        </row>
        <row r="169">
          <cell r="B169" t="str">
            <v>sacremle, niS. -2.55</v>
          </cell>
          <cell r="C169" t="str">
            <v>grZ.m</v>
          </cell>
          <cell r="D169">
            <v>28.8</v>
          </cell>
          <cell r="F169">
            <v>0</v>
          </cell>
          <cell r="G169">
            <v>20.399999999999999</v>
          </cell>
          <cell r="H169">
            <v>587.52</v>
          </cell>
          <cell r="K169">
            <v>587.52</v>
          </cell>
        </row>
        <row r="170">
          <cell r="B170" t="str">
            <v>bazaltis fila 05</v>
          </cell>
          <cell r="C170" t="str">
            <v>m2</v>
          </cell>
          <cell r="D170">
            <v>6.0480000000000009</v>
          </cell>
          <cell r="E170">
            <v>118.64406779661017</v>
          </cell>
          <cell r="F170">
            <v>717.55932203389841</v>
          </cell>
          <cell r="H170">
            <v>0</v>
          </cell>
          <cell r="K170">
            <v>717.55932203389841</v>
          </cell>
        </row>
        <row r="171">
          <cell r="B171" t="str">
            <v>webo/cementi</v>
          </cell>
          <cell r="C171" t="str">
            <v>c</v>
          </cell>
          <cell r="D171">
            <v>2.6611200000000008</v>
          </cell>
          <cell r="E171">
            <v>11.016949152542374</v>
          </cell>
          <cell r="F171">
            <v>29.317423728813569</v>
          </cell>
          <cell r="H171">
            <v>0</v>
          </cell>
          <cell r="K171">
            <v>29.317423728813569</v>
          </cell>
        </row>
        <row r="172">
          <cell r="B172" t="str">
            <v>bazaltis sacremle damxmare masala</v>
          </cell>
          <cell r="C172" t="str">
            <v>cali</v>
          </cell>
          <cell r="D172">
            <v>28.8</v>
          </cell>
          <cell r="E172">
            <v>1.6949152542372883</v>
          </cell>
          <cell r="F172">
            <v>48.813559322033903</v>
          </cell>
          <cell r="H172">
            <v>0</v>
          </cell>
          <cell r="K172">
            <v>48.813559322033903</v>
          </cell>
        </row>
        <row r="173">
          <cell r="B173" t="str">
            <v>sacremle, niS. 0.00</v>
          </cell>
          <cell r="C173" t="str">
            <v>grZ.m</v>
          </cell>
          <cell r="D173">
            <v>44.7</v>
          </cell>
          <cell r="F173">
            <v>0</v>
          </cell>
          <cell r="G173">
            <v>20.399999999999999</v>
          </cell>
          <cell r="H173">
            <v>911.88</v>
          </cell>
          <cell r="K173">
            <v>911.88</v>
          </cell>
        </row>
        <row r="174">
          <cell r="B174" t="str">
            <v>bazaltis fila 05</v>
          </cell>
          <cell r="C174" t="str">
            <v>m2</v>
          </cell>
          <cell r="D174">
            <v>9.3870000000000022</v>
          </cell>
          <cell r="E174">
            <v>118.64406779661017</v>
          </cell>
          <cell r="F174">
            <v>1113.71186440678</v>
          </cell>
          <cell r="H174">
            <v>0</v>
          </cell>
          <cell r="K174">
            <v>1113.71186440678</v>
          </cell>
        </row>
        <row r="175">
          <cell r="B175" t="str">
            <v>webo/cementi</v>
          </cell>
          <cell r="C175" t="str">
            <v>c</v>
          </cell>
          <cell r="D175">
            <v>4.1302800000000008</v>
          </cell>
          <cell r="E175">
            <v>11.016949152542374</v>
          </cell>
          <cell r="F175">
            <v>45.503084745762727</v>
          </cell>
          <cell r="H175">
            <v>0</v>
          </cell>
          <cell r="K175">
            <v>45.503084745762727</v>
          </cell>
        </row>
        <row r="176">
          <cell r="B176" t="str">
            <v>bazaltis sacremle damxmare masala</v>
          </cell>
          <cell r="C176" t="str">
            <v>cali</v>
          </cell>
          <cell r="D176">
            <v>44.7</v>
          </cell>
          <cell r="E176">
            <v>1.6949152542372883</v>
          </cell>
          <cell r="F176">
            <v>75.762711864406796</v>
          </cell>
          <cell r="H176">
            <v>0</v>
          </cell>
          <cell r="K176">
            <v>75.762711864406796</v>
          </cell>
        </row>
        <row r="177">
          <cell r="B177" t="str">
            <v>sacremle, niS. 3.20/6.40/9.60</v>
          </cell>
          <cell r="C177" t="str">
            <v>grZ.m</v>
          </cell>
          <cell r="D177">
            <v>87.600000000000009</v>
          </cell>
          <cell r="F177">
            <v>0</v>
          </cell>
          <cell r="G177">
            <v>20.399999999999999</v>
          </cell>
          <cell r="H177">
            <v>1787.04</v>
          </cell>
          <cell r="K177">
            <v>1787.04</v>
          </cell>
        </row>
        <row r="178">
          <cell r="B178" t="str">
            <v>bazaltis fila 05</v>
          </cell>
          <cell r="C178" t="str">
            <v>m2</v>
          </cell>
          <cell r="D178">
            <v>18.396000000000004</v>
          </cell>
          <cell r="E178">
            <v>118.64406779661017</v>
          </cell>
          <cell r="F178">
            <v>2182.5762711864413</v>
          </cell>
          <cell r="H178">
            <v>0</v>
          </cell>
          <cell r="K178">
            <v>2182.5762711864413</v>
          </cell>
        </row>
        <row r="179">
          <cell r="B179" t="str">
            <v>webo/cementi</v>
          </cell>
          <cell r="C179" t="str">
            <v>c</v>
          </cell>
          <cell r="D179">
            <v>8.0942400000000028</v>
          </cell>
          <cell r="E179">
            <v>11.016949152542374</v>
          </cell>
          <cell r="F179">
            <v>89.173830508474609</v>
          </cell>
          <cell r="H179">
            <v>0</v>
          </cell>
          <cell r="K179">
            <v>89.173830508474609</v>
          </cell>
        </row>
        <row r="180">
          <cell r="B180" t="str">
            <v>bazaltis sacremle damxmare masala</v>
          </cell>
          <cell r="C180" t="str">
            <v>cali</v>
          </cell>
          <cell r="D180">
            <v>87.600000000000009</v>
          </cell>
          <cell r="E180">
            <v>1.6949152542372883</v>
          </cell>
          <cell r="F180">
            <v>148.47457627118646</v>
          </cell>
          <cell r="H180">
            <v>0</v>
          </cell>
          <cell r="K180">
            <v>148.47457627118646</v>
          </cell>
        </row>
        <row r="181">
          <cell r="B181" t="str">
            <v>sacremle, niS. 10.5</v>
          </cell>
          <cell r="C181" t="str">
            <v>grZ.m</v>
          </cell>
          <cell r="D181">
            <v>0</v>
          </cell>
          <cell r="F181">
            <v>0</v>
          </cell>
          <cell r="G181">
            <v>20.399999999999999</v>
          </cell>
          <cell r="H181">
            <v>0</v>
          </cell>
          <cell r="K181">
            <v>0</v>
          </cell>
        </row>
        <row r="182">
          <cell r="B182" t="str">
            <v>bazaltis fila 05</v>
          </cell>
          <cell r="C182" t="str">
            <v>m2</v>
          </cell>
          <cell r="D182">
            <v>0</v>
          </cell>
          <cell r="E182">
            <v>118.64406779661017</v>
          </cell>
          <cell r="F182">
            <v>0</v>
          </cell>
          <cell r="H182">
            <v>0</v>
          </cell>
          <cell r="K182">
            <v>0</v>
          </cell>
        </row>
        <row r="183">
          <cell r="B183" t="str">
            <v>webo/cementi</v>
          </cell>
          <cell r="C183" t="str">
            <v>c</v>
          </cell>
          <cell r="D183">
            <v>0</v>
          </cell>
          <cell r="E183">
            <v>11.016949152542374</v>
          </cell>
          <cell r="F183">
            <v>0</v>
          </cell>
          <cell r="H183">
            <v>0</v>
          </cell>
          <cell r="K183">
            <v>0</v>
          </cell>
        </row>
        <row r="184">
          <cell r="B184" t="str">
            <v>bazaltis sacremle damxmare masala</v>
          </cell>
          <cell r="C184" t="str">
            <v>cali</v>
          </cell>
          <cell r="D184">
            <v>0</v>
          </cell>
          <cell r="E184">
            <v>1.6949152542372883</v>
          </cell>
          <cell r="F184">
            <v>0</v>
          </cell>
          <cell r="H184">
            <v>0</v>
          </cell>
          <cell r="K184">
            <v>0</v>
          </cell>
        </row>
        <row r="185">
          <cell r="B185" t="str">
            <v>kar-fanjrebis amolesva Signidan</v>
          </cell>
          <cell r="C185" t="str">
            <v>grZ.m</v>
          </cell>
          <cell r="D185">
            <v>2230.4</v>
          </cell>
          <cell r="E185">
            <v>0.72300487050662043</v>
          </cell>
          <cell r="F185">
            <v>1612.5900631779664</v>
          </cell>
          <cell r="G185">
            <v>6.375</v>
          </cell>
          <cell r="H185">
            <v>14218.800000000001</v>
          </cell>
          <cell r="I185">
            <v>0</v>
          </cell>
          <cell r="J185">
            <v>0</v>
          </cell>
          <cell r="K185">
            <v>15831.390063177967</v>
          </cell>
        </row>
        <row r="186">
          <cell r="B186" t="str">
            <v>lesva, niS. -2.55</v>
          </cell>
          <cell r="C186" t="str">
            <v>grZ.m</v>
          </cell>
          <cell r="D186">
            <v>21.599999999999998</v>
          </cell>
          <cell r="F186">
            <v>0</v>
          </cell>
          <cell r="G186">
            <v>6.375</v>
          </cell>
          <cell r="H186">
            <v>137.69999999999999</v>
          </cell>
          <cell r="K186">
            <v>137.69999999999999</v>
          </cell>
        </row>
        <row r="187">
          <cell r="B187" t="str">
            <v>qviSa</v>
          </cell>
          <cell r="C187" t="str">
            <v>m3</v>
          </cell>
          <cell r="D187">
            <v>0.10691999999999999</v>
          </cell>
          <cell r="E187">
            <v>59.322033898305087</v>
          </cell>
          <cell r="F187">
            <v>6.3427118644067795</v>
          </cell>
          <cell r="H187">
            <v>0</v>
          </cell>
          <cell r="K187">
            <v>6.3427118644067795</v>
          </cell>
        </row>
        <row r="188">
          <cell r="B188" t="str">
            <v>cementi m300</v>
          </cell>
          <cell r="C188" t="str">
            <v>t</v>
          </cell>
          <cell r="D188">
            <v>3.7421999999999997E-2</v>
          </cell>
          <cell r="E188">
            <v>265.47457627118644</v>
          </cell>
          <cell r="F188">
            <v>9.9345895932203376</v>
          </cell>
          <cell r="H188">
            <v>0</v>
          </cell>
          <cell r="K188">
            <v>9.9345895932203376</v>
          </cell>
        </row>
        <row r="189">
          <cell r="B189" t="str">
            <v>lesva, niS. 0.00</v>
          </cell>
          <cell r="C189" t="str">
            <v>grZ.m</v>
          </cell>
          <cell r="D189">
            <v>218.00000000000003</v>
          </cell>
          <cell r="F189">
            <v>0</v>
          </cell>
          <cell r="G189">
            <v>6.375</v>
          </cell>
          <cell r="H189">
            <v>1389.7500000000002</v>
          </cell>
          <cell r="K189">
            <v>1389.7500000000002</v>
          </cell>
        </row>
        <row r="190">
          <cell r="B190" t="str">
            <v>qviSa</v>
          </cell>
          <cell r="C190" t="str">
            <v>m3</v>
          </cell>
          <cell r="D190">
            <v>1.0791000000000002</v>
          </cell>
          <cell r="E190">
            <v>59.322033898305087</v>
          </cell>
          <cell r="F190">
            <v>64.01440677966103</v>
          </cell>
          <cell r="H190">
            <v>0</v>
          </cell>
          <cell r="K190">
            <v>64.01440677966103</v>
          </cell>
        </row>
        <row r="191">
          <cell r="B191" t="str">
            <v>cementi m300</v>
          </cell>
          <cell r="C191" t="str">
            <v>t</v>
          </cell>
          <cell r="D191">
            <v>0.3776850000000001</v>
          </cell>
          <cell r="E191">
            <v>265.47457627118644</v>
          </cell>
          <cell r="F191">
            <v>100.26576533898307</v>
          </cell>
          <cell r="H191">
            <v>0</v>
          </cell>
          <cell r="K191">
            <v>100.26576533898307</v>
          </cell>
        </row>
        <row r="192">
          <cell r="B192" t="str">
            <v>lesva, niS. 3.20/6.40/9.60</v>
          </cell>
          <cell r="C192" t="str">
            <v>grZ.m</v>
          </cell>
          <cell r="D192">
            <v>1990.8000000000002</v>
          </cell>
          <cell r="F192">
            <v>0</v>
          </cell>
          <cell r="G192">
            <v>6.375</v>
          </cell>
          <cell r="H192">
            <v>12691.35</v>
          </cell>
          <cell r="K192">
            <v>12691.35</v>
          </cell>
        </row>
        <row r="193">
          <cell r="B193" t="str">
            <v>qviSa</v>
          </cell>
          <cell r="C193" t="str">
            <v>m3</v>
          </cell>
          <cell r="D193">
            <v>9.4065300000000018</v>
          </cell>
          <cell r="E193">
            <v>59.322033898305087</v>
          </cell>
          <cell r="F193">
            <v>558.01449152542386</v>
          </cell>
          <cell r="H193">
            <v>0</v>
          </cell>
          <cell r="K193">
            <v>558.01449152542386</v>
          </cell>
        </row>
        <row r="194">
          <cell r="B194" t="str">
            <v>cementi m300</v>
          </cell>
          <cell r="C194" t="str">
            <v>t</v>
          </cell>
          <cell r="D194">
            <v>3.2922855000000006</v>
          </cell>
          <cell r="E194">
            <v>265.47457627118644</v>
          </cell>
          <cell r="F194">
            <v>874.01809807627137</v>
          </cell>
          <cell r="H194">
            <v>0</v>
          </cell>
          <cell r="K194">
            <v>874.01809807627137</v>
          </cell>
        </row>
        <row r="195">
          <cell r="B195" t="str">
            <v>kar-fanjrebis izolacia</v>
          </cell>
          <cell r="C195" t="str">
            <v>grZ.m</v>
          </cell>
          <cell r="D195">
            <v>394.19999999999993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15.254237288135593</v>
          </cell>
          <cell r="J195">
            <v>7013.2203389830502</v>
          </cell>
          <cell r="K195">
            <v>7013.2203389830502</v>
          </cell>
        </row>
        <row r="196">
          <cell r="B196" t="str">
            <v>izolacia niS. -2.30</v>
          </cell>
          <cell r="C196" t="str">
            <v>grZ.m</v>
          </cell>
          <cell r="D196">
            <v>39.6</v>
          </cell>
          <cell r="F196">
            <v>0</v>
          </cell>
          <cell r="I196">
            <v>15.254237288135593</v>
          </cell>
          <cell r="J196">
            <v>604.06779661016947</v>
          </cell>
          <cell r="K196">
            <v>604.06779661016947</v>
          </cell>
        </row>
        <row r="197">
          <cell r="B197" t="str">
            <v>izolacia niS. 0.00</v>
          </cell>
          <cell r="C197" t="str">
            <v>grZ.m</v>
          </cell>
          <cell r="D197">
            <v>81.599999999999994</v>
          </cell>
          <cell r="F197">
            <v>0</v>
          </cell>
          <cell r="I197">
            <v>15.254237288135593</v>
          </cell>
          <cell r="J197">
            <v>1244.7457627118642</v>
          </cell>
          <cell r="K197">
            <v>1244.7457627118642</v>
          </cell>
        </row>
        <row r="198">
          <cell r="B198" t="str">
            <v>izolacia niS. 3.20/6.40/9.60</v>
          </cell>
          <cell r="C198" t="str">
            <v>grZ.m</v>
          </cell>
          <cell r="D198">
            <v>272.99999999999994</v>
          </cell>
          <cell r="F198">
            <v>0</v>
          </cell>
          <cell r="I198">
            <v>15.254237288135593</v>
          </cell>
          <cell r="J198">
            <v>4164.4067796610161</v>
          </cell>
          <cell r="K198">
            <v>4164.4067796610161</v>
          </cell>
        </row>
        <row r="199">
          <cell r="B199" t="str">
            <v xml:space="preserve">sadarbazos lesva </v>
          </cell>
          <cell r="C199" t="str">
            <v>m2</v>
          </cell>
          <cell r="D199">
            <v>1641.8559999999998</v>
          </cell>
          <cell r="E199">
            <v>0.37775521747277663</v>
          </cell>
          <cell r="F199">
            <v>620.21967033898306</v>
          </cell>
          <cell r="G199">
            <v>22.95</v>
          </cell>
          <cell r="H199">
            <v>37680.595199999996</v>
          </cell>
          <cell r="I199">
            <v>0</v>
          </cell>
          <cell r="J199">
            <v>0</v>
          </cell>
          <cell r="K199">
            <v>38300.814870338982</v>
          </cell>
        </row>
        <row r="200">
          <cell r="B200" t="str">
            <v>lesva, niS. -2.55</v>
          </cell>
          <cell r="C200" t="str">
            <v>m2</v>
          </cell>
          <cell r="D200">
            <v>389.06399999999996</v>
          </cell>
          <cell r="F200">
            <v>0</v>
          </cell>
          <cell r="G200">
            <v>0</v>
          </cell>
          <cell r="H200">
            <v>0</v>
          </cell>
          <cell r="K200">
            <v>0</v>
          </cell>
        </row>
        <row r="201">
          <cell r="B201" t="str">
            <v>giperiT lesvis damxmare masala</v>
          </cell>
          <cell r="C201" t="str">
            <v>m3</v>
          </cell>
          <cell r="D201">
            <v>389.06399999999996</v>
          </cell>
          <cell r="E201">
            <v>0.84745762711864414</v>
          </cell>
          <cell r="F201">
            <v>329.71525423728815</v>
          </cell>
          <cell r="H201">
            <v>0</v>
          </cell>
          <cell r="K201">
            <v>329.71525423728815</v>
          </cell>
        </row>
        <row r="202">
          <cell r="B202" t="str">
            <v>lesva, niS. 0.00</v>
          </cell>
          <cell r="C202" t="str">
            <v>m2</v>
          </cell>
          <cell r="D202">
            <v>313.19799999999998</v>
          </cell>
          <cell r="F202">
            <v>0</v>
          </cell>
          <cell r="G202">
            <v>0</v>
          </cell>
          <cell r="H202">
            <v>0</v>
          </cell>
          <cell r="K202">
            <v>0</v>
          </cell>
        </row>
        <row r="203">
          <cell r="B203" t="str">
            <v>giperiT lesvis damxmare masala</v>
          </cell>
          <cell r="C203" t="str">
            <v>m3</v>
          </cell>
          <cell r="D203">
            <v>313.19799999999998</v>
          </cell>
          <cell r="E203">
            <v>0.84745762711864414</v>
          </cell>
          <cell r="F203">
            <v>265.42203389830507</v>
          </cell>
          <cell r="H203">
            <v>0</v>
          </cell>
          <cell r="K203">
            <v>265.42203389830507</v>
          </cell>
        </row>
        <row r="204">
          <cell r="B204" t="str">
            <v>lesva, niS.3.20/6.40/9.60</v>
          </cell>
          <cell r="C204" t="str">
            <v>m2</v>
          </cell>
          <cell r="D204">
            <v>939.59399999999994</v>
          </cell>
          <cell r="F204">
            <v>0</v>
          </cell>
          <cell r="G204">
            <v>0</v>
          </cell>
          <cell r="H204">
            <v>0</v>
          </cell>
          <cell r="K204">
            <v>0</v>
          </cell>
        </row>
        <row r="205">
          <cell r="B205" t="str">
            <v>giperiT lesvis damxmare masala</v>
          </cell>
          <cell r="C205" t="str">
            <v>m3</v>
          </cell>
          <cell r="D205">
            <v>29.597211000000001</v>
          </cell>
          <cell r="E205">
            <v>0.84745762711864414</v>
          </cell>
          <cell r="F205">
            <v>25.082382203389834</v>
          </cell>
          <cell r="H205">
            <v>0</v>
          </cell>
          <cell r="K205">
            <v>25.082382203389834</v>
          </cell>
        </row>
        <row r="206">
          <cell r="B206" t="str">
            <v>sadarbazos SefiTxvna</v>
          </cell>
          <cell r="C206" t="str">
            <v>m2</v>
          </cell>
          <cell r="D206">
            <v>1641.8559999999998</v>
          </cell>
          <cell r="E206">
            <v>2.6229231967575681</v>
          </cell>
          <cell r="F206">
            <v>4306.4621881355934</v>
          </cell>
          <cell r="G206">
            <v>19.125</v>
          </cell>
          <cell r="H206">
            <v>31400.495999999996</v>
          </cell>
          <cell r="I206">
            <v>0</v>
          </cell>
          <cell r="J206">
            <v>0</v>
          </cell>
          <cell r="K206">
            <v>35706.958188135592</v>
          </cell>
        </row>
        <row r="207">
          <cell r="B207" t="str">
            <v>SefiTxvna niS. -2.55</v>
          </cell>
          <cell r="C207" t="str">
            <v>m2</v>
          </cell>
          <cell r="D207">
            <v>389.06399999999996</v>
          </cell>
          <cell r="F207">
            <v>0</v>
          </cell>
          <cell r="G207">
            <v>19.125</v>
          </cell>
          <cell r="H207">
            <v>7440.8489999999993</v>
          </cell>
          <cell r="K207">
            <v>7440.8489999999993</v>
          </cell>
        </row>
        <row r="208">
          <cell r="B208" t="str">
            <v>fiTxi</v>
          </cell>
          <cell r="C208" t="str">
            <v>c</v>
          </cell>
          <cell r="D208">
            <v>32.681376</v>
          </cell>
          <cell r="E208">
            <v>13.983050847457628</v>
          </cell>
          <cell r="F208">
            <v>456.98534237288141</v>
          </cell>
          <cell r="H208">
            <v>0</v>
          </cell>
          <cell r="K208">
            <v>456.98534237288141</v>
          </cell>
        </row>
        <row r="209">
          <cell r="B209" t="str">
            <v>SefiTxvnis damxmare masala</v>
          </cell>
          <cell r="C209" t="str">
            <v>m2</v>
          </cell>
          <cell r="D209">
            <v>389.06399999999996</v>
          </cell>
          <cell r="E209">
            <v>0.84745762711864414</v>
          </cell>
          <cell r="F209">
            <v>329.71525423728815</v>
          </cell>
          <cell r="H209">
            <v>0</v>
          </cell>
          <cell r="K209">
            <v>329.71525423728815</v>
          </cell>
        </row>
        <row r="210">
          <cell r="B210" t="str">
            <v>SefiTxvna niS. 0.00</v>
          </cell>
          <cell r="C210" t="str">
            <v>m2</v>
          </cell>
          <cell r="D210">
            <v>313.19799999999998</v>
          </cell>
          <cell r="F210">
            <v>0</v>
          </cell>
          <cell r="G210">
            <v>19.125</v>
          </cell>
          <cell r="H210">
            <v>5989.9117499999993</v>
          </cell>
          <cell r="K210">
            <v>5989.9117499999993</v>
          </cell>
        </row>
        <row r="211">
          <cell r="B211" t="str">
            <v>fiTxi</v>
          </cell>
          <cell r="C211" t="str">
            <v>c</v>
          </cell>
          <cell r="D211">
            <v>39.462948000000004</v>
          </cell>
          <cell r="E211">
            <v>13.983050847457628</v>
          </cell>
          <cell r="F211">
            <v>551.81240847457639</v>
          </cell>
          <cell r="H211">
            <v>0</v>
          </cell>
          <cell r="K211">
            <v>551.81240847457639</v>
          </cell>
        </row>
        <row r="212">
          <cell r="B212" t="str">
            <v>SefiTxvnis damxmare masala</v>
          </cell>
          <cell r="C212" t="str">
            <v>m2</v>
          </cell>
          <cell r="D212">
            <v>313.19799999999998</v>
          </cell>
          <cell r="E212">
            <v>0.84745762711864414</v>
          </cell>
          <cell r="F212">
            <v>265.42203389830507</v>
          </cell>
          <cell r="H212">
            <v>0</v>
          </cell>
          <cell r="K212">
            <v>265.42203389830507</v>
          </cell>
        </row>
        <row r="213">
          <cell r="B213" t="str">
            <v>SefiTxvna niS. 3.20/6.40/9.60</v>
          </cell>
          <cell r="C213" t="str">
            <v>m2</v>
          </cell>
          <cell r="D213">
            <v>939.59399999999994</v>
          </cell>
          <cell r="F213">
            <v>0</v>
          </cell>
          <cell r="G213">
            <v>19.125</v>
          </cell>
          <cell r="H213">
            <v>17969.735249999998</v>
          </cell>
          <cell r="K213">
            <v>17969.735249999998</v>
          </cell>
        </row>
        <row r="214">
          <cell r="B214" t="str">
            <v>fiTxi</v>
          </cell>
          <cell r="C214" t="str">
            <v>c</v>
          </cell>
          <cell r="D214">
            <v>118.38884399999999</v>
          </cell>
          <cell r="E214">
            <v>16.101694915254239</v>
          </cell>
          <cell r="F214">
            <v>1906.2610474576272</v>
          </cell>
          <cell r="H214">
            <v>0</v>
          </cell>
          <cell r="K214">
            <v>1906.2610474576272</v>
          </cell>
        </row>
        <row r="215">
          <cell r="B215" t="str">
            <v>SefiTxvnis damxmare masala</v>
          </cell>
          <cell r="C215" t="str">
            <v>m2</v>
          </cell>
          <cell r="D215">
            <v>939.59399999999994</v>
          </cell>
          <cell r="E215">
            <v>0.84745762711864414</v>
          </cell>
          <cell r="F215">
            <v>796.26610169491528</v>
          </cell>
          <cell r="H215">
            <v>0</v>
          </cell>
          <cell r="K215">
            <v>796.26610169491528</v>
          </cell>
        </row>
        <row r="216">
          <cell r="B216" t="str">
            <v>sadarbazos Rebva</v>
          </cell>
          <cell r="C216" t="str">
            <v>m2</v>
          </cell>
          <cell r="D216">
            <v>1641.8559999999998</v>
          </cell>
          <cell r="E216">
            <v>9.5368027155378048</v>
          </cell>
          <cell r="F216">
            <v>15658.056759322037</v>
          </cell>
          <cell r="G216">
            <v>8.9249999999999989</v>
          </cell>
          <cell r="H216">
            <v>14653.564799999996</v>
          </cell>
          <cell r="I216">
            <v>0</v>
          </cell>
          <cell r="J216">
            <v>0</v>
          </cell>
          <cell r="K216">
            <v>30311.621559322033</v>
          </cell>
        </row>
        <row r="217">
          <cell r="B217" t="str">
            <v>Rebva, niS. -2.55</v>
          </cell>
          <cell r="C217" t="str">
            <v>m2</v>
          </cell>
          <cell r="D217">
            <v>389.06399999999996</v>
          </cell>
          <cell r="F217">
            <v>0</v>
          </cell>
          <cell r="G217">
            <v>8.9249999999999989</v>
          </cell>
          <cell r="H217">
            <v>3472.3961999999992</v>
          </cell>
          <cell r="K217">
            <v>3472.3961999999992</v>
          </cell>
        </row>
        <row r="218">
          <cell r="B218" t="str">
            <v>saRebavi</v>
          </cell>
          <cell r="C218" t="str">
            <v>litri</v>
          </cell>
          <cell r="D218">
            <v>77.812799999999996</v>
          </cell>
          <cell r="E218">
            <v>21.101694915254239</v>
          </cell>
          <cell r="F218">
            <v>1641.981966101695</v>
          </cell>
          <cell r="H218">
            <v>0</v>
          </cell>
          <cell r="K218">
            <v>1641.981966101695</v>
          </cell>
        </row>
        <row r="219">
          <cell r="B219" t="str">
            <v>grunti</v>
          </cell>
          <cell r="C219" t="str">
            <v>litri</v>
          </cell>
          <cell r="D219">
            <v>15.56256</v>
          </cell>
          <cell r="E219">
            <v>9.4915254237288131</v>
          </cell>
          <cell r="F219">
            <v>147.71243389830508</v>
          </cell>
          <cell r="H219">
            <v>0</v>
          </cell>
          <cell r="K219">
            <v>147.71243389830508</v>
          </cell>
        </row>
        <row r="220">
          <cell r="B220" t="str">
            <v>Rebva damxmare masala</v>
          </cell>
          <cell r="C220" t="str">
            <v>m2</v>
          </cell>
          <cell r="D220">
            <v>389.06399999999996</v>
          </cell>
          <cell r="E220">
            <v>0.84745762711864414</v>
          </cell>
          <cell r="F220">
            <v>329.71525423728815</v>
          </cell>
          <cell r="H220">
            <v>0</v>
          </cell>
          <cell r="K220">
            <v>329.71525423728815</v>
          </cell>
        </row>
        <row r="221">
          <cell r="B221" t="str">
            <v>Rebva, niS. 0.00</v>
          </cell>
          <cell r="C221" t="str">
            <v>m2</v>
          </cell>
          <cell r="D221">
            <v>313.19799999999998</v>
          </cell>
          <cell r="F221">
            <v>0</v>
          </cell>
          <cell r="G221">
            <v>8.9249999999999989</v>
          </cell>
          <cell r="H221">
            <v>2795.2921499999993</v>
          </cell>
          <cell r="K221">
            <v>2795.2921499999993</v>
          </cell>
        </row>
        <row r="222">
          <cell r="B222" t="str">
            <v>saRebavi</v>
          </cell>
          <cell r="C222" t="str">
            <v>litri</v>
          </cell>
          <cell r="D222">
            <v>125.2792</v>
          </cell>
          <cell r="E222">
            <v>21.101694915254239</v>
          </cell>
          <cell r="F222">
            <v>2643.603457627119</v>
          </cell>
          <cell r="H222">
            <v>0</v>
          </cell>
          <cell r="K222">
            <v>2643.603457627119</v>
          </cell>
        </row>
        <row r="223">
          <cell r="B223" t="str">
            <v>grunti</v>
          </cell>
          <cell r="C223" t="str">
            <v>litri</v>
          </cell>
          <cell r="D223">
            <v>50.111680000000007</v>
          </cell>
          <cell r="E223">
            <v>9.4915254237288131</v>
          </cell>
          <cell r="F223">
            <v>475.63628474576274</v>
          </cell>
          <cell r="H223">
            <v>0</v>
          </cell>
          <cell r="K223">
            <v>475.63628474576274</v>
          </cell>
        </row>
        <row r="224">
          <cell r="B224" t="str">
            <v>Rebva damxmare masala</v>
          </cell>
          <cell r="C224" t="str">
            <v>m2</v>
          </cell>
          <cell r="D224">
            <v>313.19799999999998</v>
          </cell>
          <cell r="E224">
            <v>0.84745762711864414</v>
          </cell>
          <cell r="F224">
            <v>265.42203389830507</v>
          </cell>
          <cell r="H224">
            <v>0</v>
          </cell>
          <cell r="K224">
            <v>265.42203389830507</v>
          </cell>
        </row>
        <row r="225">
          <cell r="B225" t="str">
            <v>Rebva, niS. 3.20/6.40/9.60</v>
          </cell>
          <cell r="C225" t="str">
            <v>m2</v>
          </cell>
          <cell r="D225">
            <v>939.59399999999994</v>
          </cell>
          <cell r="F225">
            <v>0</v>
          </cell>
          <cell r="G225">
            <v>8.9249999999999989</v>
          </cell>
          <cell r="H225">
            <v>8385.8764499999979</v>
          </cell>
          <cell r="K225">
            <v>8385.8764499999979</v>
          </cell>
        </row>
        <row r="226">
          <cell r="B226" t="str">
            <v>saRebavi</v>
          </cell>
          <cell r="C226" t="str">
            <v>litri</v>
          </cell>
          <cell r="D226">
            <v>375.83760000000001</v>
          </cell>
          <cell r="E226">
            <v>21.101694915254239</v>
          </cell>
          <cell r="F226">
            <v>7930.8103728813567</v>
          </cell>
          <cell r="H226">
            <v>0</v>
          </cell>
          <cell r="K226">
            <v>7930.8103728813567</v>
          </cell>
        </row>
        <row r="227">
          <cell r="B227" t="str">
            <v>grunti</v>
          </cell>
          <cell r="C227" t="str">
            <v>litri</v>
          </cell>
          <cell r="D227">
            <v>150.33504000000002</v>
          </cell>
          <cell r="E227">
            <v>9.4915254237288131</v>
          </cell>
          <cell r="F227">
            <v>1426.9088542372883</v>
          </cell>
          <cell r="H227">
            <v>0</v>
          </cell>
          <cell r="K227">
            <v>1426.9088542372883</v>
          </cell>
        </row>
        <row r="228">
          <cell r="B228" t="str">
            <v>Rebva damxmare masala</v>
          </cell>
          <cell r="C228" t="str">
            <v>m2</v>
          </cell>
          <cell r="D228">
            <v>939.59399999999994</v>
          </cell>
          <cell r="E228">
            <v>0.84745762711864414</v>
          </cell>
          <cell r="F228">
            <v>796.26610169491528</v>
          </cell>
          <cell r="H228">
            <v>0</v>
          </cell>
          <cell r="K228">
            <v>796.26610169491528</v>
          </cell>
        </row>
        <row r="229">
          <cell r="B229" t="str">
            <v xml:space="preserve">blokis wyoba 10sm tualetebi </v>
          </cell>
          <cell r="C229" t="str">
            <v>m2</v>
          </cell>
          <cell r="D229">
            <v>255.6</v>
          </cell>
          <cell r="E229">
            <v>18.682431038135594</v>
          </cell>
          <cell r="F229">
            <v>4775.229373347458</v>
          </cell>
          <cell r="G229">
            <v>27.856954225352112</v>
          </cell>
          <cell r="H229">
            <v>7120.2374999999993</v>
          </cell>
          <cell r="I229">
            <v>0</v>
          </cell>
          <cell r="J229">
            <v>0</v>
          </cell>
          <cell r="K229">
            <v>11895.466873347457</v>
          </cell>
        </row>
        <row r="230">
          <cell r="B230" t="str">
            <v>blokis wyoba niS. 0.00</v>
          </cell>
          <cell r="C230" t="str">
            <v>m2</v>
          </cell>
          <cell r="D230">
            <v>63.9</v>
          </cell>
          <cell r="F230">
            <v>0</v>
          </cell>
          <cell r="G230">
            <v>23.90625</v>
          </cell>
          <cell r="H230">
            <v>1527.609375</v>
          </cell>
          <cell r="K230">
            <v>1527.609375</v>
          </cell>
        </row>
        <row r="231">
          <cell r="B231" t="str">
            <v>bloki 10-iani</v>
          </cell>
          <cell r="C231" t="str">
            <v>c</v>
          </cell>
          <cell r="D231">
            <v>830.69999999999993</v>
          </cell>
          <cell r="E231">
            <v>1.0593220338983051</v>
          </cell>
          <cell r="F231">
            <v>879.97881355932202</v>
          </cell>
          <cell r="K231">
            <v>879.97881355932202</v>
          </cell>
        </row>
        <row r="232">
          <cell r="B232" t="str">
            <v>zRudari</v>
          </cell>
          <cell r="C232" t="str">
            <v>grZ.m</v>
          </cell>
          <cell r="D232">
            <v>13.2</v>
          </cell>
          <cell r="E232">
            <v>0</v>
          </cell>
          <cell r="F232">
            <v>0</v>
          </cell>
          <cell r="G232">
            <v>19.125</v>
          </cell>
          <cell r="H232">
            <v>252.45</v>
          </cell>
          <cell r="K232">
            <v>252.45</v>
          </cell>
        </row>
        <row r="233">
          <cell r="B233" t="str">
            <v>qviSa</v>
          </cell>
          <cell r="C233" t="str">
            <v>m3</v>
          </cell>
          <cell r="D233">
            <v>2.0128499999999998</v>
          </cell>
          <cell r="E233">
            <v>59.322033898305087</v>
          </cell>
          <cell r="F233">
            <v>119.40635593220338</v>
          </cell>
          <cell r="K233">
            <v>119.40635593220338</v>
          </cell>
        </row>
        <row r="234">
          <cell r="B234" t="str">
            <v>cementi m300</v>
          </cell>
          <cell r="C234" t="str">
            <v>t</v>
          </cell>
          <cell r="D234">
            <v>0.528373125</v>
          </cell>
          <cell r="E234">
            <v>265.47457627118644</v>
          </cell>
          <cell r="F234">
            <v>140.26963147245763</v>
          </cell>
          <cell r="H234">
            <v>0</v>
          </cell>
          <cell r="K234">
            <v>140.26963147245763</v>
          </cell>
        </row>
        <row r="235">
          <cell r="B235" t="str">
            <v>blokis damxmare masala</v>
          </cell>
          <cell r="C235" t="str">
            <v>m2</v>
          </cell>
          <cell r="D235">
            <v>63.9</v>
          </cell>
          <cell r="E235">
            <v>0.84745762711864414</v>
          </cell>
          <cell r="F235">
            <v>54.152542372881356</v>
          </cell>
          <cell r="H235">
            <v>0</v>
          </cell>
          <cell r="K235">
            <v>54.152542372881356</v>
          </cell>
        </row>
        <row r="236">
          <cell r="B236" t="str">
            <v>blokis wyoba niS. 3.20/6.40/9.60</v>
          </cell>
          <cell r="C236" t="str">
            <v>m2</v>
          </cell>
          <cell r="D236">
            <v>191.7</v>
          </cell>
          <cell r="F236">
            <v>0</v>
          </cell>
          <cell r="G236">
            <v>23.90625</v>
          </cell>
          <cell r="H236">
            <v>4582.828125</v>
          </cell>
          <cell r="K236">
            <v>4582.828125</v>
          </cell>
        </row>
        <row r="237">
          <cell r="B237" t="str">
            <v>bloki 10-iani</v>
          </cell>
          <cell r="C237" t="str">
            <v>c</v>
          </cell>
          <cell r="D237">
            <v>2492.1</v>
          </cell>
          <cell r="E237">
            <v>1.0593220338983051</v>
          </cell>
          <cell r="F237">
            <v>2639.9364406779659</v>
          </cell>
          <cell r="K237">
            <v>2639.9364406779659</v>
          </cell>
        </row>
        <row r="238">
          <cell r="B238" t="str">
            <v>zRudari</v>
          </cell>
          <cell r="C238" t="str">
            <v>grZ.m</v>
          </cell>
          <cell r="D238">
            <v>39.599999999999994</v>
          </cell>
          <cell r="E238">
            <v>0</v>
          </cell>
          <cell r="F238">
            <v>0</v>
          </cell>
          <cell r="G238">
            <v>19.125</v>
          </cell>
          <cell r="H238">
            <v>757.34999999999991</v>
          </cell>
          <cell r="K238">
            <v>757.34999999999991</v>
          </cell>
        </row>
        <row r="239">
          <cell r="B239" t="str">
            <v>qviSa</v>
          </cell>
          <cell r="C239" t="str">
            <v>m3</v>
          </cell>
          <cell r="D239">
            <v>6.0385499999999999</v>
          </cell>
          <cell r="E239">
            <v>59.322033898305087</v>
          </cell>
          <cell r="F239">
            <v>358.21906779661015</v>
          </cell>
          <cell r="K239">
            <v>358.21906779661015</v>
          </cell>
        </row>
        <row r="240">
          <cell r="B240" t="str">
            <v>cementi m300</v>
          </cell>
          <cell r="C240" t="str">
            <v>t</v>
          </cell>
          <cell r="D240">
            <v>1.5851193750000001</v>
          </cell>
          <cell r="E240">
            <v>265.47457627118644</v>
          </cell>
          <cell r="F240">
            <v>420.80889441737293</v>
          </cell>
          <cell r="H240">
            <v>0</v>
          </cell>
          <cell r="K240">
            <v>420.80889441737293</v>
          </cell>
        </row>
        <row r="241">
          <cell r="B241" t="str">
            <v>blokis damxmare masala</v>
          </cell>
          <cell r="C241" t="str">
            <v>m2</v>
          </cell>
          <cell r="D241">
            <v>191.7</v>
          </cell>
          <cell r="E241">
            <v>0.84745762711864414</v>
          </cell>
          <cell r="F241">
            <v>162.45762711864407</v>
          </cell>
          <cell r="H241">
            <v>0</v>
          </cell>
          <cell r="K241">
            <v>162.45762711864407</v>
          </cell>
        </row>
        <row r="242">
          <cell r="B242" t="str">
            <v>blokis wyoba 10sm Saxtebi/aivnebi</v>
          </cell>
          <cell r="C242" t="str">
            <v>m2</v>
          </cell>
          <cell r="D242">
            <v>601.53679999999997</v>
          </cell>
          <cell r="E242">
            <v>21.070658623980744</v>
          </cell>
          <cell r="F242">
            <v>12674.776562561779</v>
          </cell>
          <cell r="G242">
            <v>25.110166368873855</v>
          </cell>
          <cell r="H242">
            <v>15104.689124999997</v>
          </cell>
          <cell r="I242">
            <v>0</v>
          </cell>
          <cell r="J242">
            <v>0</v>
          </cell>
          <cell r="K242">
            <v>27779.465687561777</v>
          </cell>
        </row>
        <row r="243">
          <cell r="B243" t="str">
            <v>blokis wyoba 10 niS. -2.30</v>
          </cell>
          <cell r="C243" t="str">
            <v>m2</v>
          </cell>
          <cell r="D243">
            <v>25.52</v>
          </cell>
          <cell r="F243">
            <v>0</v>
          </cell>
          <cell r="G243">
            <v>23.90625</v>
          </cell>
          <cell r="H243">
            <v>610.08749999999998</v>
          </cell>
          <cell r="K243">
            <v>610.08749999999998</v>
          </cell>
        </row>
        <row r="244">
          <cell r="B244" t="str">
            <v>bloki 10-iani</v>
          </cell>
          <cell r="C244" t="str">
            <v>c</v>
          </cell>
          <cell r="D244">
            <v>331.76</v>
          </cell>
          <cell r="E244">
            <v>1.0593220338983051</v>
          </cell>
          <cell r="F244">
            <v>351.4406779661017</v>
          </cell>
          <cell r="K244">
            <v>351.4406779661017</v>
          </cell>
        </row>
        <row r="245">
          <cell r="B245" t="str">
            <v>qviSa</v>
          </cell>
          <cell r="C245" t="str">
            <v>m3</v>
          </cell>
          <cell r="D245">
            <v>0.80387999999999993</v>
          </cell>
          <cell r="E245">
            <v>59.322033898305087</v>
          </cell>
          <cell r="F245">
            <v>47.687796610169485</v>
          </cell>
          <cell r="K245">
            <v>47.687796610169485</v>
          </cell>
        </row>
        <row r="246">
          <cell r="B246" t="str">
            <v>cementi m300</v>
          </cell>
          <cell r="C246" t="str">
            <v>t</v>
          </cell>
          <cell r="D246">
            <v>0.2110185</v>
          </cell>
          <cell r="E246">
            <v>265.47457627118644</v>
          </cell>
          <cell r="F246">
            <v>56.020046872881352</v>
          </cell>
          <cell r="H246">
            <v>0</v>
          </cell>
          <cell r="K246">
            <v>56.020046872881352</v>
          </cell>
        </row>
        <row r="247">
          <cell r="B247" t="str">
            <v>blokis damxmare masala</v>
          </cell>
          <cell r="C247" t="str">
            <v>m2</v>
          </cell>
          <cell r="D247">
            <v>25.52</v>
          </cell>
          <cell r="E247">
            <v>0.84745762711864414</v>
          </cell>
          <cell r="F247">
            <v>21.627118644067799</v>
          </cell>
          <cell r="K247">
            <v>21.627118644067799</v>
          </cell>
        </row>
        <row r="248">
          <cell r="B248" t="str">
            <v>blokis wyoba 10 niS. 0.00</v>
          </cell>
          <cell r="C248" t="str">
            <v>m2</v>
          </cell>
          <cell r="D248">
            <v>117.4932</v>
          </cell>
          <cell r="F248">
            <v>0</v>
          </cell>
          <cell r="G248">
            <v>23.90625</v>
          </cell>
          <cell r="H248">
            <v>2808.8218124999999</v>
          </cell>
          <cell r="K248">
            <v>2808.8218124999999</v>
          </cell>
        </row>
        <row r="249">
          <cell r="B249" t="str">
            <v>bloki 10-iani</v>
          </cell>
          <cell r="C249" t="str">
            <v>c</v>
          </cell>
          <cell r="D249">
            <v>1527.4115999999999</v>
          </cell>
          <cell r="E249">
            <v>1.0593220338983051</v>
          </cell>
          <cell r="F249">
            <v>1618.0207627118643</v>
          </cell>
          <cell r="K249">
            <v>1618.0207627118643</v>
          </cell>
        </row>
        <row r="250">
          <cell r="B250" t="str">
            <v>qviSa</v>
          </cell>
          <cell r="C250" t="str">
            <v>m3</v>
          </cell>
          <cell r="D250">
            <v>3.7010358000000001</v>
          </cell>
          <cell r="E250">
            <v>59.322033898305087</v>
          </cell>
          <cell r="F250">
            <v>219.55297118644069</v>
          </cell>
          <cell r="K250">
            <v>219.55297118644069</v>
          </cell>
        </row>
        <row r="251">
          <cell r="B251" t="str">
            <v>kuTxovanis mowyoba</v>
          </cell>
          <cell r="C251" t="str">
            <v>grZ.m</v>
          </cell>
          <cell r="D251">
            <v>56.8</v>
          </cell>
          <cell r="E251">
            <v>12.542372881355934</v>
          </cell>
          <cell r="F251">
            <v>712.40677966101703</v>
          </cell>
          <cell r="G251">
            <v>12.75</v>
          </cell>
          <cell r="H251">
            <v>724.19999999999993</v>
          </cell>
          <cell r="K251">
            <v>1436.6067796610168</v>
          </cell>
        </row>
        <row r="252">
          <cell r="B252" t="str">
            <v>cementi m300</v>
          </cell>
          <cell r="C252" t="str">
            <v>t</v>
          </cell>
          <cell r="D252">
            <v>0.97152189750000006</v>
          </cell>
          <cell r="E252">
            <v>265.47457627118644</v>
          </cell>
          <cell r="F252">
            <v>257.91436407699155</v>
          </cell>
          <cell r="H252">
            <v>0</v>
          </cell>
          <cell r="K252">
            <v>257.91436407699155</v>
          </cell>
        </row>
        <row r="253">
          <cell r="B253" t="str">
            <v>blokis damxmare masala</v>
          </cell>
          <cell r="C253" t="str">
            <v>m2</v>
          </cell>
          <cell r="D253">
            <v>117.4932</v>
          </cell>
          <cell r="E253">
            <v>0.84745762711864414</v>
          </cell>
          <cell r="F253">
            <v>99.570508474576286</v>
          </cell>
          <cell r="K253">
            <v>99.570508474576286</v>
          </cell>
        </row>
        <row r="254">
          <cell r="B254" t="str">
            <v>blokis wyoba 10 niS. 3.20/6.40/9.60</v>
          </cell>
          <cell r="C254" t="str">
            <v>m2</v>
          </cell>
          <cell r="D254">
            <v>458.52359999999993</v>
          </cell>
          <cell r="F254">
            <v>0</v>
          </cell>
          <cell r="G254">
            <v>23.90625</v>
          </cell>
          <cell r="H254">
            <v>10961.579812499998</v>
          </cell>
          <cell r="K254">
            <v>10961.579812499998</v>
          </cell>
        </row>
        <row r="255">
          <cell r="B255" t="str">
            <v>bloki 10-iani</v>
          </cell>
          <cell r="C255" t="str">
            <v>c</v>
          </cell>
          <cell r="D255">
            <v>5960.8067999999994</v>
          </cell>
          <cell r="E255">
            <v>1.0593220338983051</v>
          </cell>
          <cell r="F255">
            <v>6314.4139830508475</v>
          </cell>
          <cell r="K255">
            <v>6314.4139830508475</v>
          </cell>
        </row>
        <row r="256">
          <cell r="B256" t="str">
            <v>qviSa</v>
          </cell>
          <cell r="C256" t="str">
            <v>m3</v>
          </cell>
          <cell r="D256">
            <v>14.443493399999998</v>
          </cell>
          <cell r="E256">
            <v>59.322033898305087</v>
          </cell>
          <cell r="F256">
            <v>856.8174050847457</v>
          </cell>
          <cell r="K256">
            <v>856.8174050847457</v>
          </cell>
        </row>
        <row r="257">
          <cell r="B257" t="str">
            <v>cementi m300</v>
          </cell>
          <cell r="C257" t="str">
            <v>t</v>
          </cell>
          <cell r="D257">
            <v>3.7914170174999997</v>
          </cell>
          <cell r="E257">
            <v>265.47457627118644</v>
          </cell>
          <cell r="F257">
            <v>1006.5248261881778</v>
          </cell>
          <cell r="H257">
            <v>0</v>
          </cell>
          <cell r="K257">
            <v>1006.5248261881778</v>
          </cell>
        </row>
        <row r="258">
          <cell r="B258" t="str">
            <v>blokis damxmare masala</v>
          </cell>
          <cell r="C258" t="str">
            <v>m2</v>
          </cell>
          <cell r="D258">
            <v>458.52359999999993</v>
          </cell>
          <cell r="E258">
            <v>0.84745762711864414</v>
          </cell>
          <cell r="F258">
            <v>388.57932203389828</v>
          </cell>
          <cell r="K258">
            <v>388.57932203389828</v>
          </cell>
        </row>
        <row r="259">
          <cell r="B259" t="str">
            <v>mwvane saxuravis mowyoba</v>
          </cell>
          <cell r="C259" t="str">
            <v>m2</v>
          </cell>
          <cell r="D259">
            <v>1074</v>
          </cell>
          <cell r="E259">
            <v>122.15585771549409</v>
          </cell>
          <cell r="F259">
            <v>131195.39118644065</v>
          </cell>
          <cell r="G259">
            <v>87.636662011173172</v>
          </cell>
          <cell r="H259">
            <v>94121.77499999998</v>
          </cell>
          <cell r="I259">
            <v>5</v>
          </cell>
          <cell r="J259">
            <v>5370</v>
          </cell>
          <cell r="K259">
            <v>230687.16618644062</v>
          </cell>
        </row>
        <row r="260">
          <cell r="B260" t="str">
            <v xml:space="preserve">TunuqiT </v>
          </cell>
          <cell r="C260" t="str">
            <v>m2</v>
          </cell>
          <cell r="D260">
            <v>945</v>
          </cell>
          <cell r="F260">
            <v>0</v>
          </cell>
          <cell r="G260">
            <v>61.199999999999996</v>
          </cell>
          <cell r="H260">
            <v>57833.999999999993</v>
          </cell>
          <cell r="K260">
            <v>57833.999999999993</v>
          </cell>
        </row>
        <row r="261">
          <cell r="B261" t="str">
            <v>hidroizolacia, Roris da miwis gaSla</v>
          </cell>
          <cell r="C261" t="str">
            <v>m2</v>
          </cell>
          <cell r="D261">
            <v>1074</v>
          </cell>
          <cell r="F261">
            <v>0</v>
          </cell>
          <cell r="G261">
            <v>33.787499999999994</v>
          </cell>
          <cell r="H261">
            <v>36287.774999999994</v>
          </cell>
          <cell r="K261">
            <v>36287.774999999994</v>
          </cell>
        </row>
        <row r="262">
          <cell r="B262" t="str">
            <v>Tunuqi</v>
          </cell>
          <cell r="C262" t="str">
            <v>m2</v>
          </cell>
          <cell r="D262">
            <v>945</v>
          </cell>
          <cell r="E262">
            <v>19.491525423728813</v>
          </cell>
          <cell r="F262">
            <v>18419.491525423728</v>
          </cell>
          <cell r="H262">
            <v>0</v>
          </cell>
          <cell r="K262">
            <v>18419.491525423728</v>
          </cell>
        </row>
        <row r="263">
          <cell r="B263" t="str">
            <v>membrana</v>
          </cell>
          <cell r="C263" t="str">
            <v>m2</v>
          </cell>
          <cell r="D263">
            <v>1074</v>
          </cell>
          <cell r="E263">
            <v>3.3898305084745766</v>
          </cell>
          <cell r="F263">
            <v>3640.6779661016953</v>
          </cell>
          <cell r="H263">
            <v>0</v>
          </cell>
          <cell r="K263">
            <v>3640.6779661016953</v>
          </cell>
        </row>
        <row r="264">
          <cell r="B264" t="str">
            <v>ipdm membrana</v>
          </cell>
          <cell r="C264" t="str">
            <v>m2</v>
          </cell>
          <cell r="D264">
            <v>1074</v>
          </cell>
          <cell r="E264">
            <v>36.440677966101696</v>
          </cell>
          <cell r="F264">
            <v>39137.288135593219</v>
          </cell>
          <cell r="H264">
            <v>0</v>
          </cell>
          <cell r="K264">
            <v>39137.288135593219</v>
          </cell>
        </row>
        <row r="265">
          <cell r="B265" t="str">
            <v>jeoteqstili</v>
          </cell>
          <cell r="C265" t="str">
            <v>m2</v>
          </cell>
          <cell r="D265">
            <v>2148</v>
          </cell>
          <cell r="E265">
            <v>2.7542372881355934</v>
          </cell>
          <cell r="F265">
            <v>5916.1016949152545</v>
          </cell>
          <cell r="H265">
            <v>0</v>
          </cell>
          <cell r="K265">
            <v>5916.1016949152545</v>
          </cell>
        </row>
        <row r="266">
          <cell r="B266" t="str">
            <v>iqspiesi 3 ni</v>
          </cell>
          <cell r="C266" t="str">
            <v>m2</v>
          </cell>
          <cell r="D266">
            <v>962.16000000000008</v>
          </cell>
          <cell r="E266">
            <v>7.7966101694915251</v>
          </cell>
          <cell r="F266">
            <v>7501.5864406779665</v>
          </cell>
          <cell r="H266">
            <v>0</v>
          </cell>
          <cell r="K266">
            <v>7501.5864406779665</v>
          </cell>
        </row>
        <row r="267">
          <cell r="B267" t="str">
            <v>iqspiesi 5 ni</v>
          </cell>
          <cell r="C267" t="str">
            <v>m2</v>
          </cell>
          <cell r="D267">
            <v>962.16000000000008</v>
          </cell>
          <cell r="E267">
            <v>14.576271186440678</v>
          </cell>
          <cell r="F267">
            <v>14024.705084745765</v>
          </cell>
          <cell r="H267">
            <v>0</v>
          </cell>
          <cell r="K267">
            <v>14024.705084745765</v>
          </cell>
        </row>
        <row r="268">
          <cell r="B268" t="str">
            <v>RorRi 10*20</v>
          </cell>
          <cell r="C268" t="str">
            <v>m2</v>
          </cell>
          <cell r="D268">
            <v>121.23216000000002</v>
          </cell>
          <cell r="E268">
            <v>38.135593220338983</v>
          </cell>
          <cell r="F268">
            <v>4623.260338983052</v>
          </cell>
          <cell r="H268">
            <v>0</v>
          </cell>
          <cell r="K268">
            <v>4623.260338983052</v>
          </cell>
        </row>
        <row r="269">
          <cell r="B269" t="str">
            <v>Savi miwa</v>
          </cell>
          <cell r="C269" t="str">
            <v>m2</v>
          </cell>
          <cell r="D269">
            <v>121.23216000000002</v>
          </cell>
          <cell r="E269">
            <v>55.084745762711869</v>
          </cell>
          <cell r="F269">
            <v>6678.0427118644084</v>
          </cell>
          <cell r="H269">
            <v>0</v>
          </cell>
          <cell r="K269">
            <v>6678.0427118644084</v>
          </cell>
        </row>
        <row r="270">
          <cell r="B270" t="str">
            <v>xis masala</v>
          </cell>
          <cell r="C270" t="str">
            <v>მ3</v>
          </cell>
          <cell r="D270">
            <v>18</v>
          </cell>
          <cell r="E270">
            <v>652.54237288135596</v>
          </cell>
          <cell r="F270">
            <v>11745.762711864407</v>
          </cell>
          <cell r="H270">
            <v>0</v>
          </cell>
          <cell r="K270">
            <v>11745.762711864407</v>
          </cell>
        </row>
        <row r="271">
          <cell r="B271" t="str">
            <v>defleqtori</v>
          </cell>
          <cell r="C271" t="str">
            <v>cali</v>
          </cell>
          <cell r="D271">
            <v>3</v>
          </cell>
          <cell r="E271">
            <v>355.93220338983053</v>
          </cell>
          <cell r="F271">
            <v>1067.7966101694915</v>
          </cell>
          <cell r="H271">
            <v>0</v>
          </cell>
          <cell r="K271">
            <v>1067.7966101694915</v>
          </cell>
        </row>
        <row r="272">
          <cell r="B272" t="str">
            <v>osb</v>
          </cell>
          <cell r="C272" t="str">
            <v>ცალი</v>
          </cell>
          <cell r="D272">
            <v>75</v>
          </cell>
          <cell r="E272">
            <v>38.135593220338983</v>
          </cell>
          <cell r="F272">
            <v>2860.1694915254238</v>
          </cell>
          <cell r="H272">
            <v>0</v>
          </cell>
          <cell r="K272">
            <v>2860.1694915254238</v>
          </cell>
        </row>
        <row r="273">
          <cell r="B273" t="str">
            <v>webo/cementi</v>
          </cell>
          <cell r="C273" t="str">
            <v>c</v>
          </cell>
          <cell r="D273">
            <v>175</v>
          </cell>
          <cell r="E273">
            <v>11.016949152542374</v>
          </cell>
          <cell r="F273">
            <v>1927.9661016949153</v>
          </cell>
          <cell r="H273">
            <v>0</v>
          </cell>
          <cell r="K273">
            <v>1927.9661016949153</v>
          </cell>
        </row>
        <row r="274">
          <cell r="B274" t="str">
            <v>saxuravis damxmare masala</v>
          </cell>
          <cell r="C274" t="str">
            <v>m2</v>
          </cell>
          <cell r="D274">
            <v>1074</v>
          </cell>
          <cell r="E274">
            <v>12.711864406779661</v>
          </cell>
          <cell r="F274">
            <v>13652.542372881357</v>
          </cell>
          <cell r="H274">
            <v>0</v>
          </cell>
          <cell r="K274">
            <v>13652.542372881357</v>
          </cell>
        </row>
        <row r="275">
          <cell r="B275" t="str">
            <v>meTlaxi aivnebze</v>
          </cell>
          <cell r="C275" t="str">
            <v>m2</v>
          </cell>
          <cell r="D275">
            <v>394.70000000000005</v>
          </cell>
          <cell r="E275">
            <v>52.949152542372886</v>
          </cell>
          <cell r="F275">
            <v>20899.030508474581</v>
          </cell>
          <cell r="G275">
            <v>38.25</v>
          </cell>
          <cell r="H275">
            <v>15097.275000000001</v>
          </cell>
          <cell r="I275">
            <v>0</v>
          </cell>
          <cell r="J275">
            <v>0</v>
          </cell>
          <cell r="K275">
            <v>35996.305508474587</v>
          </cell>
        </row>
        <row r="276">
          <cell r="B276" t="str">
            <v>meTlaxi niS. 0.00</v>
          </cell>
          <cell r="C276" t="str">
            <v>m2</v>
          </cell>
          <cell r="D276">
            <v>74.900000000000006</v>
          </cell>
          <cell r="F276">
            <v>0</v>
          </cell>
          <cell r="G276">
            <v>38.25</v>
          </cell>
          <cell r="H276">
            <v>2864.9250000000002</v>
          </cell>
          <cell r="K276">
            <v>2864.9250000000002</v>
          </cell>
        </row>
        <row r="277">
          <cell r="B277" t="str">
            <v xml:space="preserve">k/graniti </v>
          </cell>
          <cell r="C277" t="str">
            <v>m2</v>
          </cell>
          <cell r="D277">
            <v>78.64500000000001</v>
          </cell>
          <cell r="E277">
            <v>46.610169491525426</v>
          </cell>
          <cell r="F277">
            <v>3665.6567796610175</v>
          </cell>
          <cell r="K277">
            <v>3665.6567796610175</v>
          </cell>
        </row>
        <row r="278">
          <cell r="B278" t="str">
            <v>webo/cementi</v>
          </cell>
          <cell r="C278" t="str">
            <v>c</v>
          </cell>
          <cell r="D278">
            <v>15.729000000000001</v>
          </cell>
          <cell r="E278">
            <v>11.016949152542374</v>
          </cell>
          <cell r="F278">
            <v>173.285593220339</v>
          </cell>
          <cell r="K278">
            <v>173.285593220339</v>
          </cell>
        </row>
        <row r="279">
          <cell r="B279" t="str">
            <v>k/graniti damxmare masala</v>
          </cell>
          <cell r="C279" t="str">
            <v>მ2</v>
          </cell>
          <cell r="D279">
            <v>74.900000000000006</v>
          </cell>
          <cell r="E279">
            <v>1.6949152542372883</v>
          </cell>
          <cell r="F279">
            <v>126.9491525423729</v>
          </cell>
          <cell r="K279">
            <v>126.9491525423729</v>
          </cell>
        </row>
        <row r="280">
          <cell r="B280" t="str">
            <v>meTlaxi niS. 3.20/6.40/9.60</v>
          </cell>
          <cell r="C280" t="str">
            <v>m2</v>
          </cell>
          <cell r="D280">
            <v>319.8</v>
          </cell>
          <cell r="F280">
            <v>0</v>
          </cell>
          <cell r="G280">
            <v>38.25</v>
          </cell>
          <cell r="H280">
            <v>12232.35</v>
          </cell>
          <cell r="K280">
            <v>12232.35</v>
          </cell>
        </row>
        <row r="281">
          <cell r="B281" t="str">
            <v xml:space="preserve">k/graniti </v>
          </cell>
          <cell r="C281" t="str">
            <v>m2</v>
          </cell>
          <cell r="D281">
            <v>335.79</v>
          </cell>
          <cell r="E281">
            <v>46.610169491525426</v>
          </cell>
          <cell r="F281">
            <v>15651.228813559324</v>
          </cell>
          <cell r="K281">
            <v>15651.228813559324</v>
          </cell>
        </row>
        <row r="282">
          <cell r="B282" t="str">
            <v>webo/cementi</v>
          </cell>
          <cell r="C282" t="str">
            <v>c</v>
          </cell>
          <cell r="D282">
            <v>67.158000000000001</v>
          </cell>
          <cell r="E282">
            <v>11.016949152542374</v>
          </cell>
          <cell r="F282">
            <v>739.8762711864407</v>
          </cell>
          <cell r="K282">
            <v>739.8762711864407</v>
          </cell>
        </row>
        <row r="283">
          <cell r="B283" t="str">
            <v>k/graniti damxmare masala</v>
          </cell>
          <cell r="C283" t="str">
            <v>მ2</v>
          </cell>
          <cell r="D283">
            <v>319.8</v>
          </cell>
          <cell r="E283">
            <v>1.6949152542372883</v>
          </cell>
          <cell r="F283">
            <v>542.03389830508479</v>
          </cell>
          <cell r="K283">
            <v>542.03389830508479</v>
          </cell>
        </row>
        <row r="284">
          <cell r="B284" t="str">
            <v>meTlaxi sadarbazoSi</v>
          </cell>
          <cell r="C284" t="str">
            <v>m2</v>
          </cell>
          <cell r="D284">
            <v>578</v>
          </cell>
          <cell r="E284">
            <v>50.201696381443902</v>
          </cell>
          <cell r="F284">
            <v>29016.580508474577</v>
          </cell>
          <cell r="G284">
            <v>38.25</v>
          </cell>
          <cell r="H284">
            <v>22108.5</v>
          </cell>
          <cell r="I284">
            <v>0</v>
          </cell>
          <cell r="J284">
            <v>0</v>
          </cell>
          <cell r="K284">
            <v>51125.080508474581</v>
          </cell>
        </row>
        <row r="285">
          <cell r="B285" t="str">
            <v>meTlaxi niS. -2.55</v>
          </cell>
          <cell r="C285" t="str">
            <v>m2</v>
          </cell>
          <cell r="D285">
            <v>179.8</v>
          </cell>
          <cell r="F285">
            <v>0</v>
          </cell>
          <cell r="G285">
            <v>38.25</v>
          </cell>
          <cell r="H285">
            <v>6877.35</v>
          </cell>
          <cell r="K285">
            <v>6877.35</v>
          </cell>
        </row>
        <row r="286">
          <cell r="B286" t="str">
            <v>meTlaxis fila</v>
          </cell>
          <cell r="C286" t="str">
            <v>m2</v>
          </cell>
          <cell r="D286">
            <v>188.79000000000002</v>
          </cell>
          <cell r="E286">
            <v>38.135593220338983</v>
          </cell>
          <cell r="F286">
            <v>7199.6186440677975</v>
          </cell>
          <cell r="K286">
            <v>7199.6186440677975</v>
          </cell>
        </row>
        <row r="287">
          <cell r="B287" t="str">
            <v>k/graniti damxmare masala</v>
          </cell>
          <cell r="C287" t="str">
            <v>მ2</v>
          </cell>
          <cell r="D287">
            <v>179.8</v>
          </cell>
          <cell r="E287">
            <v>1.6949152542372883</v>
          </cell>
          <cell r="F287">
            <v>304.74576271186447</v>
          </cell>
          <cell r="K287">
            <v>304.74576271186447</v>
          </cell>
        </row>
        <row r="288">
          <cell r="B288" t="str">
            <v>webo/cementi</v>
          </cell>
          <cell r="C288" t="str">
            <v>c</v>
          </cell>
          <cell r="D288">
            <v>37.758000000000003</v>
          </cell>
          <cell r="E288">
            <v>11.016949152542374</v>
          </cell>
          <cell r="F288">
            <v>415.97796610169496</v>
          </cell>
          <cell r="K288">
            <v>415.97796610169496</v>
          </cell>
        </row>
        <row r="289">
          <cell r="B289" t="str">
            <v>meTlaxi niS. 0.00</v>
          </cell>
          <cell r="C289" t="str">
            <v>m2</v>
          </cell>
          <cell r="D289">
            <v>94.9</v>
          </cell>
          <cell r="F289">
            <v>0</v>
          </cell>
          <cell r="G289">
            <v>38.25</v>
          </cell>
          <cell r="H289">
            <v>3629.9250000000002</v>
          </cell>
          <cell r="K289">
            <v>3629.9250000000002</v>
          </cell>
        </row>
        <row r="290">
          <cell r="B290" t="str">
            <v xml:space="preserve">k/graniti </v>
          </cell>
          <cell r="C290" t="str">
            <v>m2</v>
          </cell>
          <cell r="D290">
            <v>99.9</v>
          </cell>
          <cell r="E290">
            <v>46.610169491525426</v>
          </cell>
          <cell r="F290">
            <v>4656.3559322033907</v>
          </cell>
          <cell r="K290">
            <v>4656.3559322033907</v>
          </cell>
        </row>
        <row r="291">
          <cell r="B291" t="str">
            <v>webo/cementi</v>
          </cell>
          <cell r="C291" t="str">
            <v>c</v>
          </cell>
          <cell r="D291">
            <v>19.929000000000002</v>
          </cell>
          <cell r="E291">
            <v>11.016949152542374</v>
          </cell>
          <cell r="F291">
            <v>219.55677966101698</v>
          </cell>
          <cell r="K291">
            <v>219.55677966101698</v>
          </cell>
        </row>
        <row r="292">
          <cell r="B292" t="str">
            <v>k/graniti damxmare masala</v>
          </cell>
          <cell r="C292" t="str">
            <v>მ2</v>
          </cell>
          <cell r="D292">
            <v>94.9</v>
          </cell>
          <cell r="E292">
            <v>1.6949152542372883</v>
          </cell>
          <cell r="F292">
            <v>160.84745762711867</v>
          </cell>
          <cell r="K292">
            <v>160.84745762711867</v>
          </cell>
        </row>
        <row r="293">
          <cell r="B293" t="str">
            <v>meTlaxi niS. 3.20/6.40/9.60</v>
          </cell>
          <cell r="C293" t="str">
            <v>m2</v>
          </cell>
          <cell r="D293">
            <v>303.29999999999995</v>
          </cell>
          <cell r="F293">
            <v>0</v>
          </cell>
          <cell r="G293">
            <v>38.25</v>
          </cell>
          <cell r="H293">
            <v>11601.224999999999</v>
          </cell>
          <cell r="K293">
            <v>11601.224999999999</v>
          </cell>
        </row>
        <row r="294">
          <cell r="B294" t="str">
            <v xml:space="preserve">k/graniti </v>
          </cell>
          <cell r="C294" t="str">
            <v>m2</v>
          </cell>
          <cell r="D294">
            <v>318.46499999999997</v>
          </cell>
          <cell r="E294">
            <v>46.610169491525426</v>
          </cell>
          <cell r="F294">
            <v>14843.707627118643</v>
          </cell>
          <cell r="K294">
            <v>14843.707627118643</v>
          </cell>
        </row>
        <row r="295">
          <cell r="B295" t="str">
            <v>webo/cementi</v>
          </cell>
          <cell r="C295" t="str">
            <v>c</v>
          </cell>
          <cell r="D295">
            <v>63.692999999999991</v>
          </cell>
          <cell r="E295">
            <v>11.016949152542374</v>
          </cell>
          <cell r="F295">
            <v>701.70254237288134</v>
          </cell>
          <cell r="K295">
            <v>701.70254237288134</v>
          </cell>
        </row>
        <row r="296">
          <cell r="B296" t="str">
            <v>k/graniti damxmare masala</v>
          </cell>
          <cell r="C296" t="str">
            <v>მ2</v>
          </cell>
          <cell r="D296">
            <v>303.29999999999995</v>
          </cell>
          <cell r="E296">
            <v>1.6949152542372883</v>
          </cell>
          <cell r="F296">
            <v>514.06779661016947</v>
          </cell>
          <cell r="K296">
            <v>514.06779661016947</v>
          </cell>
        </row>
        <row r="297">
          <cell r="B297" t="str">
            <v>k/granitis plintusi</v>
          </cell>
          <cell r="C297" t="str">
            <v>grZ.m</v>
          </cell>
          <cell r="D297">
            <v>511.71</v>
          </cell>
          <cell r="E297">
            <v>3.5719181936339082</v>
          </cell>
          <cell r="F297">
            <v>1827.786258864407</v>
          </cell>
          <cell r="G297">
            <v>12.75</v>
          </cell>
          <cell r="H297">
            <v>6524.3024999999998</v>
          </cell>
          <cell r="I297">
            <v>0</v>
          </cell>
          <cell r="J297">
            <v>0</v>
          </cell>
          <cell r="K297">
            <v>8352.0887588644073</v>
          </cell>
        </row>
        <row r="298">
          <cell r="B298" t="str">
            <v>plintusi niS. -2.55</v>
          </cell>
          <cell r="C298" t="str">
            <v>grZ.m</v>
          </cell>
          <cell r="D298">
            <v>97.2</v>
          </cell>
          <cell r="F298">
            <v>0</v>
          </cell>
          <cell r="G298">
            <v>12.75</v>
          </cell>
          <cell r="H298">
            <v>1239.3</v>
          </cell>
          <cell r="K298">
            <v>1239.3</v>
          </cell>
        </row>
        <row r="299">
          <cell r="B299" t="str">
            <v>meTlaxis fila</v>
          </cell>
          <cell r="C299" t="str">
            <v>m2</v>
          </cell>
          <cell r="D299">
            <v>7.4844000000000017</v>
          </cell>
          <cell r="E299">
            <v>38.135593220338983</v>
          </cell>
          <cell r="F299">
            <v>285.42203389830513</v>
          </cell>
          <cell r="K299">
            <v>285.42203389830513</v>
          </cell>
        </row>
        <row r="300">
          <cell r="B300" t="str">
            <v>webo/cementi</v>
          </cell>
          <cell r="C300" t="str">
            <v>c</v>
          </cell>
          <cell r="D300">
            <v>0.94303440000000027</v>
          </cell>
          <cell r="E300">
            <v>11.016949152542374</v>
          </cell>
          <cell r="F300">
            <v>10.389362033898308</v>
          </cell>
          <cell r="K300">
            <v>10.389362033898308</v>
          </cell>
        </row>
        <row r="301">
          <cell r="B301" t="str">
            <v>plintusi niS. 0.00</v>
          </cell>
          <cell r="C301" t="str">
            <v>grZ.m</v>
          </cell>
          <cell r="D301">
            <v>110.25</v>
          </cell>
          <cell r="F301">
            <v>0</v>
          </cell>
          <cell r="G301">
            <v>12.75</v>
          </cell>
          <cell r="H301">
            <v>1405.6875</v>
          </cell>
          <cell r="K301">
            <v>1405.6875</v>
          </cell>
        </row>
        <row r="302">
          <cell r="B302" t="str">
            <v xml:space="preserve">k/graniti </v>
          </cell>
          <cell r="C302" t="str">
            <v>m2</v>
          </cell>
          <cell r="D302">
            <v>8.489250000000002</v>
          </cell>
          <cell r="E302">
            <v>46.610169491525426</v>
          </cell>
          <cell r="F302">
            <v>395.68538135593229</v>
          </cell>
          <cell r="K302">
            <v>395.68538135593229</v>
          </cell>
        </row>
        <row r="303">
          <cell r="B303" t="str">
            <v>webo/cementi</v>
          </cell>
          <cell r="C303" t="str">
            <v>c</v>
          </cell>
          <cell r="D303">
            <v>1.0696455000000002</v>
          </cell>
          <cell r="E303">
            <v>11.016949152542374</v>
          </cell>
          <cell r="F303">
            <v>11.784230084745767</v>
          </cell>
          <cell r="K303">
            <v>11.784230084745767</v>
          </cell>
        </row>
        <row r="304">
          <cell r="B304" t="str">
            <v>plintusi niS. 3.20/6.40/9.60</v>
          </cell>
          <cell r="C304" t="str">
            <v>grZ.m</v>
          </cell>
          <cell r="D304">
            <v>304.26</v>
          </cell>
          <cell r="F304">
            <v>0</v>
          </cell>
          <cell r="G304">
            <v>12.75</v>
          </cell>
          <cell r="H304">
            <v>3879.3150000000001</v>
          </cell>
          <cell r="K304">
            <v>3879.3150000000001</v>
          </cell>
        </row>
        <row r="305">
          <cell r="B305" t="str">
            <v xml:space="preserve">k/graniti </v>
          </cell>
          <cell r="C305" t="str">
            <v>m2</v>
          </cell>
          <cell r="D305">
            <v>23.428020000000004</v>
          </cell>
          <cell r="E305">
            <v>46.610169491525426</v>
          </cell>
          <cell r="F305">
            <v>1091.9839830508477</v>
          </cell>
          <cell r="K305">
            <v>1091.9839830508477</v>
          </cell>
        </row>
        <row r="306">
          <cell r="B306" t="str">
            <v>webo/cementi</v>
          </cell>
          <cell r="C306" t="str">
            <v>c</v>
          </cell>
          <cell r="D306">
            <v>2.9519305200000008</v>
          </cell>
          <cell r="E306">
            <v>11.016949152542374</v>
          </cell>
          <cell r="F306">
            <v>32.521268440677979</v>
          </cell>
          <cell r="K306">
            <v>32.521268440677979</v>
          </cell>
        </row>
        <row r="307">
          <cell r="B307" t="str">
            <v>iatakebis moWimva</v>
          </cell>
          <cell r="C307" t="str">
            <v>m2</v>
          </cell>
          <cell r="D307">
            <v>3315.7000000000003</v>
          </cell>
          <cell r="E307">
            <v>11.835109916202475</v>
          </cell>
          <cell r="F307">
            <v>39241.673949152551</v>
          </cell>
          <cell r="G307">
            <v>0</v>
          </cell>
          <cell r="H307">
            <v>0</v>
          </cell>
          <cell r="I307">
            <v>10.169491525423732</v>
          </cell>
          <cell r="J307">
            <v>33718.98305084747</v>
          </cell>
          <cell r="K307">
            <v>72960.657000000021</v>
          </cell>
        </row>
        <row r="308">
          <cell r="B308" t="str">
            <v>iatakebis moWimva niS -2.55</v>
          </cell>
          <cell r="C308" t="str">
            <v>m2</v>
          </cell>
          <cell r="D308">
            <v>179.8</v>
          </cell>
          <cell r="F308">
            <v>0</v>
          </cell>
          <cell r="H308">
            <v>0</v>
          </cell>
          <cell r="I308">
            <v>10.16949152542373</v>
          </cell>
          <cell r="J308">
            <v>1828.4745762711868</v>
          </cell>
          <cell r="K308">
            <v>1828.4745762711868</v>
          </cell>
        </row>
        <row r="309">
          <cell r="B309" t="str">
            <v>Savi qviSa</v>
          </cell>
          <cell r="C309" t="str">
            <v>m3</v>
          </cell>
          <cell r="D309">
            <v>15.103200000000001</v>
          </cell>
          <cell r="E309">
            <v>59.322033898305087</v>
          </cell>
          <cell r="F309">
            <v>895.95254237288145</v>
          </cell>
          <cell r="H309">
            <v>0</v>
          </cell>
          <cell r="K309">
            <v>895.95254237288145</v>
          </cell>
        </row>
        <row r="310">
          <cell r="B310" t="str">
            <v>moWiva damxmare masala</v>
          </cell>
          <cell r="C310" t="str">
            <v>მ2</v>
          </cell>
          <cell r="D310">
            <v>179.8</v>
          </cell>
          <cell r="E310">
            <v>1.6949152542372883</v>
          </cell>
          <cell r="F310">
            <v>304.74576271186447</v>
          </cell>
          <cell r="H310">
            <v>0</v>
          </cell>
          <cell r="K310">
            <v>304.74576271186447</v>
          </cell>
        </row>
        <row r="311">
          <cell r="B311" t="str">
            <v>cementi m400</v>
          </cell>
          <cell r="C311" t="str">
            <v>t</v>
          </cell>
          <cell r="D311">
            <v>2.5172000000000003</v>
          </cell>
          <cell r="E311">
            <v>303.98305084745766</v>
          </cell>
          <cell r="F311">
            <v>765.18613559322057</v>
          </cell>
          <cell r="H311">
            <v>0</v>
          </cell>
          <cell r="K311">
            <v>765.18613559322057</v>
          </cell>
        </row>
        <row r="312">
          <cell r="B312" t="str">
            <v>iatakebis moWimva niS 0.00</v>
          </cell>
          <cell r="C312" t="str">
            <v>m2</v>
          </cell>
          <cell r="D312">
            <v>736.8</v>
          </cell>
          <cell r="F312">
            <v>0</v>
          </cell>
          <cell r="H312">
            <v>0</v>
          </cell>
          <cell r="I312">
            <v>10.16949152542373</v>
          </cell>
          <cell r="J312">
            <v>7492.8813559322043</v>
          </cell>
          <cell r="K312">
            <v>7492.8813559322043</v>
          </cell>
        </row>
        <row r="313">
          <cell r="B313" t="str">
            <v>Savi qviSa</v>
          </cell>
          <cell r="C313" t="str">
            <v>m3</v>
          </cell>
          <cell r="D313">
            <v>61.891199999999998</v>
          </cell>
          <cell r="E313">
            <v>59.322033898305087</v>
          </cell>
          <cell r="F313">
            <v>3671.5118644067798</v>
          </cell>
          <cell r="H313">
            <v>0</v>
          </cell>
          <cell r="K313">
            <v>3671.5118644067798</v>
          </cell>
        </row>
        <row r="314">
          <cell r="B314" t="str">
            <v>moWiva damxmare masala</v>
          </cell>
          <cell r="C314" t="str">
            <v>მ2</v>
          </cell>
          <cell r="D314">
            <v>736.8</v>
          </cell>
          <cell r="E314">
            <v>1.6949152542372883</v>
          </cell>
          <cell r="F314">
            <v>1248.8135593220338</v>
          </cell>
          <cell r="H314">
            <v>0</v>
          </cell>
          <cell r="K314">
            <v>1248.8135593220338</v>
          </cell>
        </row>
        <row r="315">
          <cell r="B315" t="str">
            <v>cementi m400</v>
          </cell>
          <cell r="C315" t="str">
            <v>t</v>
          </cell>
          <cell r="D315">
            <v>10.315200000000001</v>
          </cell>
          <cell r="E315">
            <v>303.98305084745766</v>
          </cell>
          <cell r="F315">
            <v>3135.6459661016956</v>
          </cell>
          <cell r="H315">
            <v>0</v>
          </cell>
          <cell r="K315">
            <v>3135.6459661016956</v>
          </cell>
        </row>
        <row r="316">
          <cell r="B316" t="str">
            <v>iqspiesi</v>
          </cell>
          <cell r="C316" t="str">
            <v>m2</v>
          </cell>
          <cell r="D316">
            <v>567</v>
          </cell>
          <cell r="E316">
            <v>6.7796610169491531</v>
          </cell>
          <cell r="F316">
            <v>3844.0677966101698</v>
          </cell>
          <cell r="H316">
            <v>0</v>
          </cell>
          <cell r="K316">
            <v>3844.0677966101698</v>
          </cell>
        </row>
        <row r="317">
          <cell r="B317" t="str">
            <v>armatura a500</v>
          </cell>
          <cell r="C317" t="str">
            <v>t</v>
          </cell>
          <cell r="D317">
            <v>0.43323839999999997</v>
          </cell>
          <cell r="E317">
            <v>0</v>
          </cell>
          <cell r="F317">
            <v>0</v>
          </cell>
          <cell r="H317">
            <v>0</v>
          </cell>
          <cell r="K317">
            <v>0</v>
          </cell>
        </row>
        <row r="318">
          <cell r="B318" t="str">
            <v>iatakebis moWimva niS 3.20/6.40/9.60</v>
          </cell>
          <cell r="C318" t="str">
            <v>m2</v>
          </cell>
          <cell r="D318">
            <v>2399.1000000000004</v>
          </cell>
          <cell r="F318">
            <v>0</v>
          </cell>
          <cell r="H318">
            <v>0</v>
          </cell>
          <cell r="I318">
            <v>10.16949152542373</v>
          </cell>
          <cell r="J318">
            <v>24397.627118644075</v>
          </cell>
          <cell r="K318">
            <v>24397.627118644075</v>
          </cell>
        </row>
        <row r="319">
          <cell r="B319" t="str">
            <v>Savi qviSa</v>
          </cell>
          <cell r="C319" t="str">
            <v>m3</v>
          </cell>
          <cell r="D319">
            <v>251.90550000000007</v>
          </cell>
          <cell r="E319">
            <v>59.322033898305087</v>
          </cell>
          <cell r="F319">
            <v>14943.546610169496</v>
          </cell>
          <cell r="H319">
            <v>0</v>
          </cell>
          <cell r="K319">
            <v>14943.546610169496</v>
          </cell>
        </row>
        <row r="320">
          <cell r="B320" t="str">
            <v>moWiva damxmare masala</v>
          </cell>
          <cell r="C320" t="str">
            <v>მ2</v>
          </cell>
          <cell r="D320">
            <v>2399.1000000000004</v>
          </cell>
          <cell r="E320">
            <v>1.6949152542372883</v>
          </cell>
          <cell r="F320">
            <v>4066.2711864406788</v>
          </cell>
          <cell r="H320">
            <v>0</v>
          </cell>
          <cell r="K320">
            <v>4066.2711864406788</v>
          </cell>
        </row>
        <row r="321">
          <cell r="B321" t="str">
            <v>cementi m400</v>
          </cell>
          <cell r="C321" t="str">
            <v>t</v>
          </cell>
          <cell r="D321">
            <v>33.587400000000002</v>
          </cell>
          <cell r="E321">
            <v>303.98305084745766</v>
          </cell>
          <cell r="F321">
            <v>10210.0003220339</v>
          </cell>
          <cell r="H321">
            <v>0</v>
          </cell>
          <cell r="K321">
            <v>10210.0003220339</v>
          </cell>
        </row>
        <row r="322">
          <cell r="B322" t="str">
            <v>T/m mopirkeTeba kedlebi</v>
          </cell>
          <cell r="C322" t="str">
            <v>m2</v>
          </cell>
          <cell r="D322">
            <v>4361.3856000000005</v>
          </cell>
          <cell r="E322">
            <v>24.425786742199929</v>
          </cell>
          <cell r="F322">
            <v>106530.2745661017</v>
          </cell>
          <cell r="G322">
            <v>15.299999999999999</v>
          </cell>
          <cell r="H322">
            <v>66729.199680000005</v>
          </cell>
          <cell r="I322">
            <v>0</v>
          </cell>
          <cell r="J322">
            <v>0</v>
          </cell>
          <cell r="K322">
            <v>173259.47424610169</v>
          </cell>
        </row>
        <row r="323">
          <cell r="B323" t="str">
            <v>T/m niS, 0.00</v>
          </cell>
          <cell r="C323" t="str">
            <v>m2</v>
          </cell>
          <cell r="D323">
            <v>1090.3464000000001</v>
          </cell>
          <cell r="F323">
            <v>0</v>
          </cell>
          <cell r="G323">
            <v>15.299999999999999</v>
          </cell>
          <cell r="H323">
            <v>16682.299920000001</v>
          </cell>
          <cell r="K323">
            <v>16682.299920000001</v>
          </cell>
        </row>
        <row r="324">
          <cell r="B324" t="str">
            <v>T/m niS, 0.00</v>
          </cell>
          <cell r="C324" t="str">
            <v>m2</v>
          </cell>
          <cell r="D324">
            <v>1073.0664000000002</v>
          </cell>
          <cell r="F324">
            <v>0</v>
          </cell>
          <cell r="G324">
            <v>0</v>
          </cell>
          <cell r="H324">
            <v>0</v>
          </cell>
          <cell r="K324">
            <v>0</v>
          </cell>
        </row>
        <row r="325">
          <cell r="B325" t="str">
            <v>T/muyaos fila</v>
          </cell>
          <cell r="C325" t="str">
            <v>c</v>
          </cell>
          <cell r="D325">
            <v>751.14648000000022</v>
          </cell>
          <cell r="E325">
            <v>12.627118644067798</v>
          </cell>
          <cell r="F325">
            <v>9484.8157220339017</v>
          </cell>
          <cell r="H325">
            <v>0</v>
          </cell>
          <cell r="K325">
            <v>9484.8157220339017</v>
          </cell>
        </row>
        <row r="326">
          <cell r="B326" t="str">
            <v>profili cd</v>
          </cell>
          <cell r="C326" t="str">
            <v>c</v>
          </cell>
          <cell r="D326">
            <v>751.14648000000022</v>
          </cell>
          <cell r="E326">
            <v>9.4067796610169498</v>
          </cell>
          <cell r="F326">
            <v>7065.8694305084773</v>
          </cell>
          <cell r="H326">
            <v>0</v>
          </cell>
          <cell r="K326">
            <v>7065.8694305084773</v>
          </cell>
        </row>
        <row r="327">
          <cell r="B327" t="str">
            <v>profili ud</v>
          </cell>
          <cell r="C327" t="str">
            <v>c</v>
          </cell>
          <cell r="D327">
            <v>525.80253600000003</v>
          </cell>
          <cell r="E327">
            <v>6.9491525423728815</v>
          </cell>
          <cell r="F327">
            <v>3653.8820298305086</v>
          </cell>
          <cell r="H327">
            <v>0</v>
          </cell>
          <cell r="K327">
            <v>3653.8820298305086</v>
          </cell>
        </row>
        <row r="328">
          <cell r="B328" t="str">
            <v>minabamba</v>
          </cell>
          <cell r="C328" t="str">
            <v>m2</v>
          </cell>
          <cell r="D328">
            <v>1094.5277280000003</v>
          </cell>
          <cell r="E328">
            <v>2.4576271186440679</v>
          </cell>
          <cell r="F328">
            <v>2689.9410264406788</v>
          </cell>
          <cell r="H328">
            <v>0</v>
          </cell>
          <cell r="K328">
            <v>2689.9410264406788</v>
          </cell>
        </row>
        <row r="329">
          <cell r="B329" t="str">
            <v>agrafi</v>
          </cell>
          <cell r="C329" t="str">
            <v>c</v>
          </cell>
          <cell r="D329">
            <v>2682.6660000000002</v>
          </cell>
          <cell r="E329">
            <v>0.81355932203389836</v>
          </cell>
          <cell r="F329">
            <v>2182.5079322033903</v>
          </cell>
          <cell r="H329">
            <v>0</v>
          </cell>
          <cell r="K329">
            <v>2182.5079322033903</v>
          </cell>
        </row>
        <row r="330">
          <cell r="B330" t="str">
            <v>Surufi tn25</v>
          </cell>
          <cell r="C330" t="str">
            <v>c</v>
          </cell>
          <cell r="D330">
            <v>8155.3046400000012</v>
          </cell>
          <cell r="E330">
            <v>2.9661016949152547E-2</v>
          </cell>
          <cell r="F330">
            <v>241.89462915254245</v>
          </cell>
          <cell r="H330">
            <v>0</v>
          </cell>
          <cell r="K330">
            <v>241.89462915254245</v>
          </cell>
        </row>
        <row r="331">
          <cell r="B331" t="str">
            <v>Surufi tn35</v>
          </cell>
          <cell r="C331" t="str">
            <v>c</v>
          </cell>
          <cell r="D331">
            <v>15452.156160000002</v>
          </cell>
          <cell r="E331">
            <v>3.8135593220338986E-2</v>
          </cell>
          <cell r="F331">
            <v>589.27714169491537</v>
          </cell>
          <cell r="H331">
            <v>0</v>
          </cell>
          <cell r="K331">
            <v>589.27714169491537</v>
          </cell>
        </row>
        <row r="332">
          <cell r="B332" t="str">
            <v>dubel Surufi k6</v>
          </cell>
          <cell r="C332" t="str">
            <v>c</v>
          </cell>
          <cell r="D332">
            <v>2682.6660000000002</v>
          </cell>
          <cell r="E332">
            <v>8.0508474576271194E-2</v>
          </cell>
          <cell r="F332">
            <v>215.97734745762716</v>
          </cell>
          <cell r="H332">
            <v>0</v>
          </cell>
          <cell r="K332">
            <v>215.97734745762716</v>
          </cell>
        </row>
        <row r="333">
          <cell r="B333" t="str">
            <v>semiWka Surufi</v>
          </cell>
          <cell r="C333" t="str">
            <v>c</v>
          </cell>
          <cell r="D333">
            <v>5365.3320000000003</v>
          </cell>
          <cell r="E333">
            <v>3.2203389830508473E-2</v>
          </cell>
          <cell r="F333">
            <v>172.78187796610169</v>
          </cell>
          <cell r="H333">
            <v>0</v>
          </cell>
          <cell r="K333">
            <v>172.78187796610169</v>
          </cell>
        </row>
        <row r="334">
          <cell r="B334" t="str">
            <v>T/muyao damxmare masala</v>
          </cell>
          <cell r="C334" t="str">
            <v>m2</v>
          </cell>
          <cell r="D334">
            <v>1073.0664000000002</v>
          </cell>
          <cell r="E334">
            <v>0.84745762711864414</v>
          </cell>
          <cell r="F334">
            <v>909.37830508474599</v>
          </cell>
          <cell r="H334">
            <v>0</v>
          </cell>
          <cell r="K334">
            <v>909.37830508474599</v>
          </cell>
        </row>
        <row r="335">
          <cell r="B335" t="str">
            <v>T/m niS, 3.20/6.40/9.60</v>
          </cell>
          <cell r="C335" t="str">
            <v>m2</v>
          </cell>
          <cell r="D335">
            <v>3271.0392000000002</v>
          </cell>
          <cell r="F335">
            <v>0</v>
          </cell>
          <cell r="G335">
            <v>15.299999999999999</v>
          </cell>
          <cell r="H335">
            <v>50046.89976</v>
          </cell>
          <cell r="K335">
            <v>50046.89976</v>
          </cell>
        </row>
        <row r="336">
          <cell r="B336" t="str">
            <v>T/m niS, 3.20/6.40/9.60</v>
          </cell>
          <cell r="C336" t="str">
            <v>m2</v>
          </cell>
          <cell r="D336">
            <v>3128.6792000000005</v>
          </cell>
          <cell r="F336">
            <v>0</v>
          </cell>
          <cell r="G336">
            <v>0</v>
          </cell>
          <cell r="H336">
            <v>0</v>
          </cell>
          <cell r="K336">
            <v>0</v>
          </cell>
        </row>
        <row r="337">
          <cell r="B337" t="str">
            <v>T/muyaos fila</v>
          </cell>
          <cell r="C337" t="str">
            <v>c</v>
          </cell>
          <cell r="D337">
            <v>2190.0754400000001</v>
          </cell>
          <cell r="E337">
            <v>12.627118644067798</v>
          </cell>
          <cell r="F337">
            <v>27654.342420338988</v>
          </cell>
          <cell r="H337">
            <v>0</v>
          </cell>
          <cell r="K337">
            <v>27654.342420338988</v>
          </cell>
        </row>
        <row r="338">
          <cell r="B338" t="str">
            <v>profili cd</v>
          </cell>
          <cell r="C338" t="str">
            <v>c</v>
          </cell>
          <cell r="D338">
            <v>2190.0754400000001</v>
          </cell>
          <cell r="E338">
            <v>9.4067796610169498</v>
          </cell>
          <cell r="F338">
            <v>20601.557105084747</v>
          </cell>
          <cell r="H338">
            <v>0</v>
          </cell>
          <cell r="K338">
            <v>20601.557105084747</v>
          </cell>
        </row>
        <row r="339">
          <cell r="B339" t="str">
            <v>profili ud</v>
          </cell>
          <cell r="C339" t="str">
            <v>c</v>
          </cell>
          <cell r="D339">
            <v>1533.0528080000001</v>
          </cell>
          <cell r="E339">
            <v>6.9491525423728815</v>
          </cell>
          <cell r="F339">
            <v>10653.417818305086</v>
          </cell>
          <cell r="H339">
            <v>0</v>
          </cell>
          <cell r="K339">
            <v>10653.417818305086</v>
          </cell>
        </row>
        <row r="340">
          <cell r="B340" t="str">
            <v>minabamba</v>
          </cell>
          <cell r="C340" t="str">
            <v>m2</v>
          </cell>
          <cell r="D340">
            <v>3191.2527840000007</v>
          </cell>
          <cell r="E340">
            <v>2.4576271186440679</v>
          </cell>
          <cell r="F340">
            <v>7842.909384406782</v>
          </cell>
          <cell r="H340">
            <v>0</v>
          </cell>
          <cell r="K340">
            <v>7842.909384406782</v>
          </cell>
        </row>
        <row r="341">
          <cell r="B341" t="str">
            <v>agrafi</v>
          </cell>
          <cell r="C341" t="str">
            <v>c</v>
          </cell>
          <cell r="D341">
            <v>7821.6980000000012</v>
          </cell>
          <cell r="E341">
            <v>0.81355932203389836</v>
          </cell>
          <cell r="F341">
            <v>6363.4153220338994</v>
          </cell>
          <cell r="H341">
            <v>0</v>
          </cell>
          <cell r="K341">
            <v>6363.4153220338994</v>
          </cell>
        </row>
        <row r="342">
          <cell r="B342" t="str">
            <v>Surufi tn25</v>
          </cell>
          <cell r="C342" t="str">
            <v>c</v>
          </cell>
          <cell r="D342">
            <v>23777.961920000002</v>
          </cell>
          <cell r="E342">
            <v>2.9661016949152547E-2</v>
          </cell>
          <cell r="F342">
            <v>705.27853152542389</v>
          </cell>
          <cell r="H342">
            <v>0</v>
          </cell>
          <cell r="K342">
            <v>705.27853152542389</v>
          </cell>
        </row>
        <row r="343">
          <cell r="B343" t="str">
            <v>Surufi tn35</v>
          </cell>
          <cell r="C343" t="str">
            <v>c</v>
          </cell>
          <cell r="D343">
            <v>45052.980480000006</v>
          </cell>
          <cell r="E343">
            <v>3.8135593220338986E-2</v>
          </cell>
          <cell r="F343">
            <v>1718.1221369491529</v>
          </cell>
          <cell r="H343">
            <v>0</v>
          </cell>
          <cell r="K343">
            <v>1718.1221369491529</v>
          </cell>
        </row>
        <row r="344">
          <cell r="B344" t="str">
            <v>dubel Surufi k6</v>
          </cell>
          <cell r="C344" t="str">
            <v>c</v>
          </cell>
          <cell r="D344">
            <v>7821.6980000000012</v>
          </cell>
          <cell r="E344">
            <v>8.0508474576271194E-2</v>
          </cell>
          <cell r="F344">
            <v>629.71297457627134</v>
          </cell>
          <cell r="H344">
            <v>0</v>
          </cell>
          <cell r="K344">
            <v>629.71297457627134</v>
          </cell>
        </row>
        <row r="345">
          <cell r="B345" t="str">
            <v>semiWka Surufi</v>
          </cell>
          <cell r="C345" t="str">
            <v>c</v>
          </cell>
          <cell r="D345">
            <v>15643.396000000002</v>
          </cell>
          <cell r="E345">
            <v>3.2203389830508473E-2</v>
          </cell>
          <cell r="F345">
            <v>503.77037966101699</v>
          </cell>
          <cell r="H345">
            <v>0</v>
          </cell>
          <cell r="K345">
            <v>503.77037966101699</v>
          </cell>
        </row>
        <row r="346">
          <cell r="B346" t="str">
            <v>T/muyao damxmare masala</v>
          </cell>
          <cell r="C346" t="str">
            <v>m2</v>
          </cell>
          <cell r="D346">
            <v>3128.6792000000005</v>
          </cell>
          <cell r="E346">
            <v>0.84745762711864414</v>
          </cell>
          <cell r="F346">
            <v>2651.4230508474584</v>
          </cell>
          <cell r="H346">
            <v>0</v>
          </cell>
          <cell r="K346">
            <v>2651.4230508474584</v>
          </cell>
        </row>
        <row r="347">
          <cell r="B347" t="str">
            <v>T/m mopirkeTeba tixrebi</v>
          </cell>
          <cell r="C347" t="str">
            <v>m2</v>
          </cell>
          <cell r="D347">
            <v>1342.143</v>
          </cell>
          <cell r="E347">
            <v>28.626637711864419</v>
          </cell>
          <cell r="F347">
            <v>38421.041418514847</v>
          </cell>
          <cell r="G347">
            <v>20.399999999999999</v>
          </cell>
          <cell r="H347">
            <v>27379.717199999999</v>
          </cell>
          <cell r="I347">
            <v>0</v>
          </cell>
          <cell r="J347">
            <v>0</v>
          </cell>
          <cell r="K347">
            <v>65800.758618514839</v>
          </cell>
        </row>
        <row r="348">
          <cell r="B348" t="str">
            <v>T/m niS, 0.00</v>
          </cell>
          <cell r="C348" t="str">
            <v>m2</v>
          </cell>
          <cell r="D348">
            <v>322.83900000000006</v>
          </cell>
          <cell r="F348">
            <v>0</v>
          </cell>
          <cell r="G348">
            <v>20.399999999999999</v>
          </cell>
          <cell r="H348">
            <v>6585.9156000000003</v>
          </cell>
          <cell r="K348">
            <v>6585.9156000000003</v>
          </cell>
        </row>
        <row r="349">
          <cell r="B349" t="str">
            <v>T/m niS, 0.00</v>
          </cell>
          <cell r="C349" t="str">
            <v>m2</v>
          </cell>
          <cell r="D349">
            <v>355.12290000000007</v>
          </cell>
          <cell r="F349">
            <v>0</v>
          </cell>
          <cell r="G349">
            <v>0</v>
          </cell>
          <cell r="H349">
            <v>0</v>
          </cell>
          <cell r="K349">
            <v>0</v>
          </cell>
        </row>
        <row r="350">
          <cell r="B350" t="str">
            <v>T/muyaos fila</v>
          </cell>
          <cell r="C350" t="str">
            <v>c</v>
          </cell>
          <cell r="D350">
            <v>279.65928375000004</v>
          </cell>
          <cell r="E350">
            <v>12.627118644067798</v>
          </cell>
          <cell r="F350">
            <v>3531.2909558262718</v>
          </cell>
          <cell r="H350">
            <v>0</v>
          </cell>
          <cell r="K350">
            <v>3531.2909558262718</v>
          </cell>
        </row>
        <row r="351">
          <cell r="B351" t="str">
            <v>profili uv</v>
          </cell>
          <cell r="C351" t="str">
            <v>c</v>
          </cell>
          <cell r="D351">
            <v>87.005110500000015</v>
          </cell>
          <cell r="E351">
            <v>12.288135593220339</v>
          </cell>
          <cell r="F351">
            <v>1069.1305951271188</v>
          </cell>
          <cell r="H351">
            <v>0</v>
          </cell>
          <cell r="K351">
            <v>1069.1305951271188</v>
          </cell>
        </row>
        <row r="352">
          <cell r="B352" t="str">
            <v>profili cv</v>
          </cell>
          <cell r="C352" t="str">
            <v>c</v>
          </cell>
          <cell r="D352">
            <v>248.58603000000005</v>
          </cell>
          <cell r="E352">
            <v>14.237288135593221</v>
          </cell>
          <cell r="F352">
            <v>3539.1909355932212</v>
          </cell>
          <cell r="H352">
            <v>0</v>
          </cell>
          <cell r="K352">
            <v>3539.1909355932212</v>
          </cell>
        </row>
        <row r="353">
          <cell r="B353" t="str">
            <v>minabamba</v>
          </cell>
          <cell r="C353" t="str">
            <v>m2</v>
          </cell>
          <cell r="D353">
            <v>181.11267900000004</v>
          </cell>
          <cell r="E353">
            <v>2.4576271186440679</v>
          </cell>
          <cell r="F353">
            <v>445.10743144067811</v>
          </cell>
          <cell r="H353">
            <v>0</v>
          </cell>
          <cell r="K353">
            <v>445.10743144067811</v>
          </cell>
        </row>
        <row r="354">
          <cell r="B354" t="str">
            <v>Surufi tn25</v>
          </cell>
          <cell r="C354" t="str">
            <v>c</v>
          </cell>
          <cell r="D354">
            <v>2698.9340400000006</v>
          </cell>
          <cell r="E354">
            <v>2.9661016949152547E-2</v>
          </cell>
          <cell r="F354">
            <v>80.053128305084769</v>
          </cell>
          <cell r="H354">
            <v>0</v>
          </cell>
          <cell r="K354">
            <v>80.053128305084769</v>
          </cell>
        </row>
        <row r="355">
          <cell r="B355" t="str">
            <v>Surufi tn35</v>
          </cell>
          <cell r="C355" t="str">
            <v>c</v>
          </cell>
          <cell r="D355">
            <v>5113.769760000001</v>
          </cell>
          <cell r="E355">
            <v>3.8135593220338986E-2</v>
          </cell>
          <cell r="F355">
            <v>195.01664338983056</v>
          </cell>
          <cell r="H355">
            <v>0</v>
          </cell>
          <cell r="K355">
            <v>195.01664338983056</v>
          </cell>
        </row>
        <row r="356">
          <cell r="B356" t="str">
            <v>dubel Surufi k6</v>
          </cell>
          <cell r="C356" t="str">
            <v>c</v>
          </cell>
          <cell r="D356">
            <v>609.03577350000012</v>
          </cell>
          <cell r="E356">
            <v>8.0508474576271194E-2</v>
          </cell>
          <cell r="F356">
            <v>49.03254108686442</v>
          </cell>
          <cell r="H356">
            <v>0</v>
          </cell>
          <cell r="K356">
            <v>49.03254108686442</v>
          </cell>
        </row>
        <row r="357">
          <cell r="B357" t="str">
            <v>semiWka Surufi</v>
          </cell>
          <cell r="C357" t="str">
            <v>c</v>
          </cell>
          <cell r="D357">
            <v>994.3441200000002</v>
          </cell>
          <cell r="E357">
            <v>3.2203389830508473E-2</v>
          </cell>
          <cell r="F357">
            <v>32.021251322033905</v>
          </cell>
          <cell r="H357">
            <v>0</v>
          </cell>
          <cell r="K357">
            <v>32.021251322033905</v>
          </cell>
        </row>
        <row r="358">
          <cell r="B358" t="str">
            <v>T/muyao damxmare masala</v>
          </cell>
          <cell r="C358" t="str">
            <v>m2</v>
          </cell>
          <cell r="D358">
            <v>355.12290000000007</v>
          </cell>
          <cell r="E358">
            <v>0.84745762711864414</v>
          </cell>
          <cell r="F358">
            <v>300.95161016949163</v>
          </cell>
          <cell r="H358">
            <v>0</v>
          </cell>
          <cell r="K358">
            <v>300.95161016949163</v>
          </cell>
        </row>
        <row r="359">
          <cell r="B359" t="str">
            <v>T/m niS, 3.20/6.40/9.60</v>
          </cell>
          <cell r="C359" t="str">
            <v>m2</v>
          </cell>
          <cell r="D359">
            <v>1019.3040000000001</v>
          </cell>
          <cell r="F359">
            <v>0</v>
          </cell>
          <cell r="G359">
            <v>20.399999999999999</v>
          </cell>
          <cell r="H359">
            <v>20793.801599999999</v>
          </cell>
          <cell r="K359">
            <v>20793.801599999999</v>
          </cell>
        </row>
        <row r="360">
          <cell r="B360" t="str">
            <v>T/m niS, 3.20/6.40/9.60</v>
          </cell>
          <cell r="C360" t="str">
            <v>m2</v>
          </cell>
          <cell r="D360">
            <v>1121.2344000000003</v>
          </cell>
          <cell r="F360">
            <v>0</v>
          </cell>
          <cell r="G360">
            <v>0</v>
          </cell>
          <cell r="H360">
            <v>0</v>
          </cell>
          <cell r="K360">
            <v>0</v>
          </cell>
        </row>
        <row r="361">
          <cell r="B361" t="str">
            <v>T/muyaos fila</v>
          </cell>
          <cell r="C361" t="str">
            <v>c</v>
          </cell>
          <cell r="D361">
            <v>882.97209000000021</v>
          </cell>
          <cell r="E361">
            <v>12.627118644067798</v>
          </cell>
          <cell r="F361">
            <v>11149.393339830513</v>
          </cell>
          <cell r="H361">
            <v>0</v>
          </cell>
          <cell r="K361">
            <v>11149.393339830513</v>
          </cell>
        </row>
        <row r="362">
          <cell r="B362" t="str">
            <v>profili uv</v>
          </cell>
          <cell r="C362" t="str">
            <v>c</v>
          </cell>
          <cell r="D362">
            <v>274.70242800000005</v>
          </cell>
          <cell r="E362">
            <v>12.288135593220339</v>
          </cell>
          <cell r="F362">
            <v>3375.5806830508482</v>
          </cell>
          <cell r="H362">
            <v>0</v>
          </cell>
          <cell r="K362">
            <v>3375.5806830508482</v>
          </cell>
        </row>
        <row r="363">
          <cell r="B363" t="str">
            <v>profili cv</v>
          </cell>
          <cell r="C363" t="str">
            <v>c</v>
          </cell>
          <cell r="D363">
            <v>784.86408000000029</v>
          </cell>
          <cell r="E363">
            <v>14.237288135593221</v>
          </cell>
          <cell r="F363">
            <v>11174.336054237294</v>
          </cell>
          <cell r="H363">
            <v>0</v>
          </cell>
          <cell r="K363">
            <v>11174.336054237294</v>
          </cell>
        </row>
        <row r="364">
          <cell r="B364" t="str">
            <v>minabamba</v>
          </cell>
          <cell r="C364" t="str">
            <v>m2</v>
          </cell>
          <cell r="D364">
            <v>571.82954400000017</v>
          </cell>
          <cell r="E364">
            <v>2.4576271186440679</v>
          </cell>
          <cell r="F364">
            <v>1405.3437945762716</v>
          </cell>
          <cell r="H364">
            <v>0</v>
          </cell>
          <cell r="K364">
            <v>1405.3437945762716</v>
          </cell>
        </row>
        <row r="365">
          <cell r="B365" t="str">
            <v>Surufi tn25</v>
          </cell>
          <cell r="C365" t="str">
            <v>c</v>
          </cell>
          <cell r="D365">
            <v>8521.381440000001</v>
          </cell>
          <cell r="E365">
            <v>2.9661016949152547E-2</v>
          </cell>
          <cell r="F365">
            <v>252.75283932203396</v>
          </cell>
          <cell r="H365">
            <v>0</v>
          </cell>
          <cell r="K365">
            <v>252.75283932203396</v>
          </cell>
        </row>
        <row r="366">
          <cell r="B366" t="str">
            <v>Surufi tn35</v>
          </cell>
          <cell r="C366" t="str">
            <v>c</v>
          </cell>
          <cell r="D366">
            <v>16145.775360000005</v>
          </cell>
          <cell r="E366">
            <v>3.8135593220338986E-2</v>
          </cell>
          <cell r="F366">
            <v>615.72872135593241</v>
          </cell>
          <cell r="H366">
            <v>0</v>
          </cell>
          <cell r="K366">
            <v>615.72872135593241</v>
          </cell>
        </row>
        <row r="367">
          <cell r="B367" t="str">
            <v>dubel Surufi k6</v>
          </cell>
          <cell r="C367" t="str">
            <v>c</v>
          </cell>
          <cell r="D367">
            <v>1922.9169960000004</v>
          </cell>
          <cell r="E367">
            <v>8.0508474576271194E-2</v>
          </cell>
          <cell r="F367">
            <v>154.81111408474581</v>
          </cell>
          <cell r="H367">
            <v>0</v>
          </cell>
          <cell r="K367">
            <v>154.81111408474581</v>
          </cell>
        </row>
        <row r="368">
          <cell r="B368" t="str">
            <v>semiWka Surufi</v>
          </cell>
          <cell r="C368" t="str">
            <v>c</v>
          </cell>
          <cell r="D368">
            <v>3139.4563200000011</v>
          </cell>
          <cell r="E368">
            <v>3.2203389830508473E-2</v>
          </cell>
          <cell r="F368">
            <v>101.10113572881359</v>
          </cell>
          <cell r="H368">
            <v>0</v>
          </cell>
          <cell r="K368">
            <v>101.10113572881359</v>
          </cell>
        </row>
        <row r="369">
          <cell r="B369" t="str">
            <v>T/muyao damxmare masala</v>
          </cell>
          <cell r="C369" t="str">
            <v>m2</v>
          </cell>
          <cell r="D369">
            <v>1121.2344000000003</v>
          </cell>
          <cell r="E369">
            <v>0.84745762711864414</v>
          </cell>
          <cell r="F369">
            <v>950.19864406779698</v>
          </cell>
          <cell r="H369">
            <v>0</v>
          </cell>
          <cell r="K369">
            <v>950.19864406779698</v>
          </cell>
        </row>
        <row r="370">
          <cell r="B370" t="str">
            <v>liTonis binis kari</v>
          </cell>
          <cell r="C370" t="str">
            <v>cali</v>
          </cell>
          <cell r="D370">
            <v>74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964.26935409986265</v>
          </cell>
          <cell r="J370">
            <v>71355.932203389835</v>
          </cell>
          <cell r="K370">
            <v>71355.932203389835</v>
          </cell>
        </row>
        <row r="371">
          <cell r="B371" t="str">
            <v>kari. niS. -2.55</v>
          </cell>
          <cell r="C371" t="str">
            <v>cali</v>
          </cell>
          <cell r="D371">
            <v>30</v>
          </cell>
          <cell r="F371">
            <v>0</v>
          </cell>
          <cell r="H371">
            <v>0</v>
          </cell>
          <cell r="I371">
            <v>762.71186440677968</v>
          </cell>
          <cell r="J371">
            <v>22881.355932203391</v>
          </cell>
          <cell r="K371">
            <v>22881.355932203391</v>
          </cell>
        </row>
        <row r="372">
          <cell r="B372" t="str">
            <v>kari. niS. 0.00</v>
          </cell>
          <cell r="C372" t="str">
            <v>cali</v>
          </cell>
          <cell r="D372">
            <v>11</v>
          </cell>
          <cell r="F372">
            <v>0</v>
          </cell>
          <cell r="H372">
            <v>0</v>
          </cell>
          <cell r="I372">
            <v>1101.6949152542375</v>
          </cell>
          <cell r="J372">
            <v>12118.644067796613</v>
          </cell>
          <cell r="K372">
            <v>12118.644067796613</v>
          </cell>
        </row>
        <row r="373">
          <cell r="B373" t="str">
            <v>kari. niS. 3.20/6.40/9.60</v>
          </cell>
          <cell r="C373" t="str">
            <v>cali</v>
          </cell>
          <cell r="D373">
            <v>33</v>
          </cell>
          <cell r="F373">
            <v>0</v>
          </cell>
          <cell r="H373">
            <v>0</v>
          </cell>
          <cell r="I373">
            <v>1101.6949152542375</v>
          </cell>
          <cell r="J373">
            <v>36355.932203389835</v>
          </cell>
          <cell r="K373">
            <v>36355.932203389835</v>
          </cell>
        </row>
        <row r="374">
          <cell r="B374" t="str">
            <v>liTonis aivnis gisosi</v>
          </cell>
          <cell r="C374" t="str">
            <v>m2</v>
          </cell>
          <cell r="D374">
            <v>107.874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220.33898305084747</v>
          </cell>
          <cell r="J374">
            <v>23768.847457627118</v>
          </cell>
          <cell r="K374">
            <v>23768.847457627118</v>
          </cell>
        </row>
        <row r="375">
          <cell r="B375" t="str">
            <v>. niS. 0.00</v>
          </cell>
          <cell r="C375" t="str">
            <v>m2</v>
          </cell>
          <cell r="D375">
            <v>12.564</v>
          </cell>
          <cell r="F375">
            <v>0</v>
          </cell>
          <cell r="H375">
            <v>0</v>
          </cell>
          <cell r="I375">
            <v>220.33898305084747</v>
          </cell>
          <cell r="J375">
            <v>2768.3389830508477</v>
          </cell>
          <cell r="K375">
            <v>2768.3389830508477</v>
          </cell>
        </row>
        <row r="376">
          <cell r="B376" t="str">
            <v>. niS. 3.20/6.40/9.60</v>
          </cell>
          <cell r="C376" t="str">
            <v>m2</v>
          </cell>
          <cell r="D376">
            <v>95.31</v>
          </cell>
          <cell r="F376">
            <v>0</v>
          </cell>
          <cell r="H376">
            <v>0</v>
          </cell>
          <cell r="I376">
            <v>220.33898305084747</v>
          </cell>
          <cell r="J376">
            <v>21000.508474576272</v>
          </cell>
          <cell r="K376">
            <v>21000.508474576272</v>
          </cell>
        </row>
        <row r="377">
          <cell r="B377" t="str">
            <v>liTonis sadarbazos kari</v>
          </cell>
          <cell r="C377" t="str">
            <v>cali</v>
          </cell>
          <cell r="D377">
            <v>3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3050.8474576271187</v>
          </cell>
          <cell r="J377">
            <v>9152.5423728813566</v>
          </cell>
          <cell r="K377">
            <v>9152.5423728813566</v>
          </cell>
        </row>
        <row r="378">
          <cell r="B378" t="str">
            <v>kari niS. 0.00</v>
          </cell>
          <cell r="C378" t="str">
            <v>cali</v>
          </cell>
          <cell r="D378">
            <v>3</v>
          </cell>
          <cell r="F378">
            <v>0</v>
          </cell>
          <cell r="H378">
            <v>0</v>
          </cell>
          <cell r="I378">
            <v>3050.8474576271187</v>
          </cell>
          <cell r="J378">
            <v>9152.5423728813566</v>
          </cell>
          <cell r="K378">
            <v>9152.5423728813566</v>
          </cell>
        </row>
        <row r="379">
          <cell r="B379" t="str">
            <v>saxuravze gasasvleli gisosi</v>
          </cell>
          <cell r="C379" t="str">
            <v>cali</v>
          </cell>
          <cell r="D379">
            <v>3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144.06779661016949</v>
          </cell>
          <cell r="J379">
            <v>432.20338983050851</v>
          </cell>
          <cell r="K379">
            <v>432.20338983050851</v>
          </cell>
        </row>
        <row r="380">
          <cell r="B380" t="str">
            <v>gisosi</v>
          </cell>
          <cell r="C380" t="str">
            <v>cali</v>
          </cell>
          <cell r="D380">
            <v>3</v>
          </cell>
          <cell r="F380">
            <v>0</v>
          </cell>
          <cell r="H380">
            <v>0</v>
          </cell>
          <cell r="I380">
            <v>144.06779661016949</v>
          </cell>
          <cell r="J380">
            <v>432.20338983050851</v>
          </cell>
          <cell r="K380">
            <v>432.20338983050851</v>
          </cell>
        </row>
        <row r="381">
          <cell r="B381" t="str">
            <v>saevakuacio kari</v>
          </cell>
          <cell r="C381" t="str">
            <v>cali</v>
          </cell>
          <cell r="D381">
            <v>12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1483.0508474576272</v>
          </cell>
          <cell r="J381">
            <v>17796.610169491527</v>
          </cell>
          <cell r="K381">
            <v>17796.610169491527</v>
          </cell>
        </row>
        <row r="382">
          <cell r="B382" t="str">
            <v xml:space="preserve">kari. </v>
          </cell>
          <cell r="C382" t="str">
            <v>cali</v>
          </cell>
          <cell r="D382">
            <v>0</v>
          </cell>
          <cell r="F382">
            <v>0</v>
          </cell>
          <cell r="I382">
            <v>1440.6779661016949</v>
          </cell>
          <cell r="J382">
            <v>0</v>
          </cell>
          <cell r="K382">
            <v>0</v>
          </cell>
        </row>
        <row r="383">
          <cell r="B383" t="str">
            <v>kari. niS. 0.00</v>
          </cell>
          <cell r="C383" t="str">
            <v>cali</v>
          </cell>
          <cell r="D383">
            <v>3</v>
          </cell>
          <cell r="F383">
            <v>0</v>
          </cell>
          <cell r="I383">
            <v>1440.6779661016949</v>
          </cell>
          <cell r="J383">
            <v>4322.0338983050842</v>
          </cell>
          <cell r="K383">
            <v>4322.0338983050842</v>
          </cell>
        </row>
        <row r="384">
          <cell r="B384" t="str">
            <v>kari. niS. 3.20/6.40/9.60</v>
          </cell>
          <cell r="C384" t="str">
            <v>cali</v>
          </cell>
          <cell r="D384">
            <v>9</v>
          </cell>
          <cell r="F384">
            <v>0</v>
          </cell>
          <cell r="I384">
            <v>1440.6779661016949</v>
          </cell>
          <cell r="J384">
            <v>12966.101694915254</v>
          </cell>
          <cell r="K384">
            <v>12966.101694915254</v>
          </cell>
        </row>
        <row r="385">
          <cell r="B385" t="str">
            <v>liTonis aivnis moajiri</v>
          </cell>
          <cell r="C385" t="str">
            <v>grZ.m</v>
          </cell>
          <cell r="D385">
            <v>263.10000000000002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220.33898305084747</v>
          </cell>
          <cell r="J385">
            <v>57971.186440677979</v>
          </cell>
          <cell r="K385">
            <v>57971.186440677979</v>
          </cell>
        </row>
        <row r="386">
          <cell r="B386" t="str">
            <v>moajiri, niS. 0.00</v>
          </cell>
          <cell r="C386" t="str">
            <v>grZ.m</v>
          </cell>
          <cell r="D386">
            <v>45</v>
          </cell>
          <cell r="F386">
            <v>0</v>
          </cell>
          <cell r="H386">
            <v>0</v>
          </cell>
          <cell r="I386">
            <v>220.33898305084747</v>
          </cell>
          <cell r="J386">
            <v>9915.2542372881362</v>
          </cell>
          <cell r="K386">
            <v>9915.2542372881362</v>
          </cell>
        </row>
        <row r="387">
          <cell r="B387" t="str">
            <v>moajiri, niS. 3.20/6.40/9.60</v>
          </cell>
          <cell r="C387" t="str">
            <v>grZ.m</v>
          </cell>
          <cell r="D387">
            <v>218.10000000000005</v>
          </cell>
          <cell r="F387">
            <v>0</v>
          </cell>
          <cell r="H387">
            <v>0</v>
          </cell>
          <cell r="I387">
            <v>220.33898305084747</v>
          </cell>
          <cell r="J387">
            <v>48055.932203389842</v>
          </cell>
          <cell r="K387">
            <v>48055.932203389842</v>
          </cell>
        </row>
        <row r="388">
          <cell r="B388" t="str">
            <v>liTonis kibis moajiri</v>
          </cell>
          <cell r="C388" t="str">
            <v>grZ.m</v>
          </cell>
          <cell r="D388">
            <v>102.00000000000001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72.033898305084747</v>
          </cell>
          <cell r="J388">
            <v>7347.4576271186452</v>
          </cell>
          <cell r="K388">
            <v>7347.4576271186452</v>
          </cell>
        </row>
        <row r="389">
          <cell r="B389" t="str">
            <v>moajiri, niS. -2.30</v>
          </cell>
          <cell r="C389" t="str">
            <v>grZ.m</v>
          </cell>
          <cell r="D389">
            <v>16.8</v>
          </cell>
          <cell r="F389">
            <v>0</v>
          </cell>
          <cell r="G389">
            <v>0</v>
          </cell>
          <cell r="I389">
            <v>220.33898305084747</v>
          </cell>
          <cell r="J389">
            <v>3701.6949152542379</v>
          </cell>
          <cell r="K389">
            <v>3701.6949152542379</v>
          </cell>
        </row>
        <row r="390">
          <cell r="B390" t="str">
            <v>moajiri, niS. 0.00</v>
          </cell>
          <cell r="C390" t="str">
            <v>grZ.m</v>
          </cell>
          <cell r="D390">
            <v>20.100000000000001</v>
          </cell>
          <cell r="F390">
            <v>0</v>
          </cell>
          <cell r="G390">
            <v>0</v>
          </cell>
          <cell r="I390">
            <v>220.33898305084747</v>
          </cell>
          <cell r="J390">
            <v>4428.813559322035</v>
          </cell>
          <cell r="K390">
            <v>4428.813559322035</v>
          </cell>
        </row>
        <row r="391">
          <cell r="B391" t="str">
            <v>moajiri, niS. 3.20/6.40/9.60</v>
          </cell>
          <cell r="C391" t="str">
            <v>grZ.m</v>
          </cell>
          <cell r="D391">
            <v>65.100000000000009</v>
          </cell>
          <cell r="F391">
            <v>0</v>
          </cell>
          <cell r="G391">
            <v>0</v>
          </cell>
          <cell r="I391">
            <v>220.33898305084747</v>
          </cell>
          <cell r="J391">
            <v>14344.067796610172</v>
          </cell>
          <cell r="K391">
            <v>14344.067796610172</v>
          </cell>
        </row>
        <row r="392">
          <cell r="B392" t="str">
            <v>liTonis kibis moajiri kedelze misamagrebeli</v>
          </cell>
          <cell r="C392" t="str">
            <v>grZ.m</v>
          </cell>
          <cell r="D392">
            <v>92.700000000000017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72.033898305084747</v>
          </cell>
          <cell r="J392">
            <v>6677.5423728813576</v>
          </cell>
          <cell r="K392">
            <v>6677.5423728813576</v>
          </cell>
        </row>
        <row r="393">
          <cell r="B393" t="str">
            <v>moajiri, niS. -2.3/0.00</v>
          </cell>
          <cell r="C393" t="str">
            <v>grZ.m</v>
          </cell>
          <cell r="D393">
            <v>35.100000000000009</v>
          </cell>
          <cell r="F393">
            <v>0</v>
          </cell>
          <cell r="G393">
            <v>0</v>
          </cell>
          <cell r="I393">
            <v>72.033898305084747</v>
          </cell>
          <cell r="J393">
            <v>2528.3898305084754</v>
          </cell>
          <cell r="K393">
            <v>2528.3898305084754</v>
          </cell>
        </row>
        <row r="394">
          <cell r="B394" t="str">
            <v>moajiri, niS. 3.20/6.40/9.60</v>
          </cell>
          <cell r="C394" t="str">
            <v>grZ.m</v>
          </cell>
          <cell r="D394">
            <v>57.600000000000009</v>
          </cell>
          <cell r="F394">
            <v>0</v>
          </cell>
          <cell r="G394">
            <v>0</v>
          </cell>
          <cell r="I394">
            <v>72.033898305084747</v>
          </cell>
          <cell r="J394">
            <v>4149.1525423728817</v>
          </cell>
          <cell r="K394">
            <v>4149.1525423728817</v>
          </cell>
        </row>
        <row r="395">
          <cell r="B395" t="str">
            <v>gazis saqvabe</v>
          </cell>
          <cell r="C395" t="str">
            <v>cali</v>
          </cell>
          <cell r="D395">
            <v>44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1483.0508474576272</v>
          </cell>
          <cell r="J395">
            <v>65254.237288135599</v>
          </cell>
          <cell r="K395">
            <v>65254.237288135599</v>
          </cell>
        </row>
        <row r="396">
          <cell r="B396" t="str">
            <v>sak. Saxta niS. -2.30</v>
          </cell>
          <cell r="C396" t="str">
            <v>cali</v>
          </cell>
          <cell r="D396">
            <v>0</v>
          </cell>
          <cell r="F396">
            <v>0</v>
          </cell>
          <cell r="H396">
            <v>0</v>
          </cell>
          <cell r="I396">
            <v>1483.0508474576272</v>
          </cell>
          <cell r="J396">
            <v>0</v>
          </cell>
          <cell r="K396">
            <v>0</v>
          </cell>
        </row>
        <row r="397">
          <cell r="B397" t="str">
            <v>sak. Saxta niS. 0.00</v>
          </cell>
          <cell r="C397" t="str">
            <v>cali</v>
          </cell>
          <cell r="D397">
            <v>11</v>
          </cell>
          <cell r="F397">
            <v>0</v>
          </cell>
          <cell r="H397">
            <v>0</v>
          </cell>
          <cell r="I397">
            <v>1483.0508474576272</v>
          </cell>
          <cell r="J397">
            <v>16313.5593220339</v>
          </cell>
          <cell r="K397">
            <v>16313.5593220339</v>
          </cell>
        </row>
        <row r="398">
          <cell r="B398" t="str">
            <v>sak. Saxta niS. 3.20/6.40/9.60</v>
          </cell>
          <cell r="C398" t="str">
            <v>cali</v>
          </cell>
          <cell r="D398">
            <v>33</v>
          </cell>
          <cell r="F398">
            <v>0</v>
          </cell>
          <cell r="H398">
            <v>0</v>
          </cell>
          <cell r="I398">
            <v>1483.0508474576272</v>
          </cell>
          <cell r="J398">
            <v>48940.677966101699</v>
          </cell>
          <cell r="K398">
            <v>48940.677966101699</v>
          </cell>
        </row>
        <row r="399">
          <cell r="B399" t="str">
            <v>gaTbobis milebis daqselva</v>
          </cell>
          <cell r="C399" t="str">
            <v>bina</v>
          </cell>
          <cell r="D399">
            <v>44</v>
          </cell>
          <cell r="E399">
            <v>541.31355932203394</v>
          </cell>
          <cell r="F399">
            <v>23817.796610169495</v>
          </cell>
          <cell r="G399">
            <v>195.75</v>
          </cell>
          <cell r="H399">
            <v>8613</v>
          </cell>
          <cell r="I399">
            <v>0</v>
          </cell>
          <cell r="J399">
            <v>0</v>
          </cell>
          <cell r="K399">
            <v>32430.796610169495</v>
          </cell>
        </row>
        <row r="400">
          <cell r="B400" t="str">
            <v>gaTboba, niS. 0.00</v>
          </cell>
          <cell r="C400" t="str">
            <v>bina</v>
          </cell>
          <cell r="D400">
            <v>11</v>
          </cell>
          <cell r="F400">
            <v>0</v>
          </cell>
          <cell r="G400">
            <v>195.75</v>
          </cell>
          <cell r="H400">
            <v>2153.25</v>
          </cell>
          <cell r="K400">
            <v>2153.25</v>
          </cell>
        </row>
        <row r="401">
          <cell r="B401" t="str">
            <v>gaTbobis mili</v>
          </cell>
          <cell r="C401" t="str">
            <v>grZ.m</v>
          </cell>
          <cell r="D401">
            <v>2750</v>
          </cell>
          <cell r="E401">
            <v>2.9661016949152543</v>
          </cell>
          <cell r="F401">
            <v>8156.7796610169498</v>
          </cell>
          <cell r="H401">
            <v>0</v>
          </cell>
          <cell r="K401">
            <v>8156.7796610169498</v>
          </cell>
        </row>
        <row r="402">
          <cell r="B402" t="str">
            <v>gaTboba, niS. 3.20/6.40/9.60</v>
          </cell>
          <cell r="C402" t="str">
            <v>bina</v>
          </cell>
          <cell r="D402">
            <v>33</v>
          </cell>
          <cell r="F402">
            <v>0</v>
          </cell>
          <cell r="G402">
            <v>195.75</v>
          </cell>
          <cell r="H402">
            <v>6459.75</v>
          </cell>
          <cell r="K402">
            <v>6459.75</v>
          </cell>
        </row>
        <row r="403">
          <cell r="B403" t="str">
            <v>gaTbobis mili</v>
          </cell>
          <cell r="C403" t="str">
            <v>grZ.m</v>
          </cell>
          <cell r="D403">
            <v>5280</v>
          </cell>
          <cell r="E403">
            <v>2.9661016949152543</v>
          </cell>
          <cell r="F403">
            <v>15661.016949152543</v>
          </cell>
          <cell r="H403">
            <v>0</v>
          </cell>
          <cell r="K403">
            <v>15661.016949152543</v>
          </cell>
        </row>
        <row r="404">
          <cell r="B404" t="str">
            <v>kanalizaciis daqselva</v>
          </cell>
          <cell r="C404" t="str">
            <v>c</v>
          </cell>
          <cell r="D404">
            <v>161</v>
          </cell>
          <cell r="E404">
            <v>110.16949152542374</v>
          </cell>
          <cell r="F404">
            <v>17737.288135593222</v>
          </cell>
          <cell r="G404">
            <v>31.874999999999996</v>
          </cell>
          <cell r="H404">
            <v>5131.8749999999991</v>
          </cell>
          <cell r="I404">
            <v>0</v>
          </cell>
          <cell r="J404">
            <v>0</v>
          </cell>
          <cell r="K404">
            <v>22869.163135593222</v>
          </cell>
        </row>
        <row r="405">
          <cell r="B405" t="str">
            <v>kanalizaciis mowyoba binaSi</v>
          </cell>
          <cell r="C405" t="str">
            <v>c</v>
          </cell>
          <cell r="D405">
            <v>44</v>
          </cell>
          <cell r="E405">
            <v>42.372881355932208</v>
          </cell>
          <cell r="F405">
            <v>1864.406779661017</v>
          </cell>
          <cell r="G405">
            <v>57.374999999999993</v>
          </cell>
          <cell r="H405">
            <v>2524.4999999999995</v>
          </cell>
          <cell r="I405">
            <v>0</v>
          </cell>
          <cell r="J405">
            <v>0</v>
          </cell>
          <cell r="K405">
            <v>4388.9067796610161</v>
          </cell>
        </row>
        <row r="406">
          <cell r="B406" t="str">
            <v>ventilaciis daqselva</v>
          </cell>
          <cell r="C406" t="str">
            <v>c</v>
          </cell>
          <cell r="D406">
            <v>96</v>
          </cell>
          <cell r="E406">
            <v>25.423728813559322</v>
          </cell>
          <cell r="F406">
            <v>2440.6779661016949</v>
          </cell>
          <cell r="G406">
            <v>31.874999999999996</v>
          </cell>
          <cell r="H406">
            <v>3059.9999999999995</v>
          </cell>
          <cell r="I406">
            <v>0</v>
          </cell>
          <cell r="J406">
            <v>0</v>
          </cell>
          <cell r="K406">
            <v>5500.6779661016944</v>
          </cell>
        </row>
        <row r="407">
          <cell r="B407" t="str">
            <v>Sida eldaqselva</v>
          </cell>
          <cell r="C407" t="str">
            <v>wert.</v>
          </cell>
          <cell r="D407">
            <v>3960</v>
          </cell>
          <cell r="E407">
            <v>12.906673728813558</v>
          </cell>
          <cell r="F407">
            <v>51110.427966101692</v>
          </cell>
          <cell r="G407">
            <v>10.199999999999999</v>
          </cell>
          <cell r="H407">
            <v>40392</v>
          </cell>
          <cell r="I407">
            <v>0</v>
          </cell>
          <cell r="J407">
            <v>0</v>
          </cell>
          <cell r="K407">
            <v>91502.427966101692</v>
          </cell>
        </row>
        <row r="408">
          <cell r="B408" t="str">
            <v>eldaqselva, niS. 0.00</v>
          </cell>
          <cell r="C408" t="str">
            <v>wert.</v>
          </cell>
          <cell r="D408">
            <v>990</v>
          </cell>
          <cell r="F408">
            <v>0</v>
          </cell>
          <cell r="G408">
            <v>10.199999999999999</v>
          </cell>
          <cell r="H408">
            <v>10098</v>
          </cell>
          <cell r="K408">
            <v>10098</v>
          </cell>
        </row>
        <row r="409">
          <cell r="B409" t="str">
            <v>kabeli 3*2.5</v>
          </cell>
          <cell r="C409" t="str">
            <v>grZ.m</v>
          </cell>
          <cell r="D409">
            <v>3118.5</v>
          </cell>
          <cell r="E409">
            <v>2.5423728813559325</v>
          </cell>
          <cell r="F409">
            <v>7928.3898305084758</v>
          </cell>
          <cell r="K409">
            <v>7928.3898305084758</v>
          </cell>
        </row>
        <row r="410">
          <cell r="B410" t="str">
            <v>kabeli 3*1.5</v>
          </cell>
          <cell r="C410" t="str">
            <v>grZ.m</v>
          </cell>
          <cell r="D410">
            <v>883.57500000000005</v>
          </cell>
          <cell r="E410">
            <v>1.6101694915254237</v>
          </cell>
          <cell r="F410">
            <v>1422.7055084745764</v>
          </cell>
          <cell r="K410">
            <v>1422.7055084745764</v>
          </cell>
        </row>
        <row r="411">
          <cell r="B411" t="str">
            <v>kabeli 2*1.5</v>
          </cell>
          <cell r="C411" t="str">
            <v>grZ.m</v>
          </cell>
          <cell r="D411">
            <v>1819.125</v>
          </cell>
          <cell r="E411">
            <v>1.1016949152542375</v>
          </cell>
          <cell r="F411">
            <v>2004.1207627118647</v>
          </cell>
          <cell r="K411">
            <v>2004.1207627118647</v>
          </cell>
        </row>
        <row r="412">
          <cell r="B412" t="str">
            <v>internetis kabeli</v>
          </cell>
          <cell r="C412" t="str">
            <v>grZ.m</v>
          </cell>
          <cell r="D412">
            <v>643.5</v>
          </cell>
          <cell r="E412">
            <v>1.1016949152542375</v>
          </cell>
          <cell r="F412">
            <v>708.94067796610182</v>
          </cell>
          <cell r="K412">
            <v>708.94067796610182</v>
          </cell>
        </row>
        <row r="413">
          <cell r="B413" t="str">
            <v>Sida eldaqselva damxmare masala</v>
          </cell>
          <cell r="C413" t="str">
            <v>wert.</v>
          </cell>
          <cell r="D413">
            <v>990</v>
          </cell>
          <cell r="E413">
            <v>0.84745762711864414</v>
          </cell>
          <cell r="F413">
            <v>838.98305084745766</v>
          </cell>
          <cell r="K413">
            <v>838.98305084745766</v>
          </cell>
        </row>
        <row r="414">
          <cell r="B414" t="str">
            <v>eldaqselva, niS. 3.20/6.40/9.60</v>
          </cell>
          <cell r="C414" t="str">
            <v>wert.</v>
          </cell>
          <cell r="D414">
            <v>2970</v>
          </cell>
          <cell r="F414">
            <v>0</v>
          </cell>
          <cell r="G414">
            <v>10.199999999999999</v>
          </cell>
          <cell r="H414">
            <v>30293.999999999996</v>
          </cell>
          <cell r="K414">
            <v>30293.999999999996</v>
          </cell>
        </row>
        <row r="415">
          <cell r="B415" t="str">
            <v>kabeli 3*2.5</v>
          </cell>
          <cell r="C415" t="str">
            <v>grZ.m</v>
          </cell>
          <cell r="D415">
            <v>9355.5</v>
          </cell>
          <cell r="E415">
            <v>2.5423728813559325</v>
          </cell>
          <cell r="F415">
            <v>23785.169491525427</v>
          </cell>
          <cell r="K415">
            <v>23785.169491525427</v>
          </cell>
        </row>
        <row r="416">
          <cell r="B416" t="str">
            <v>kabeli 3*1.5</v>
          </cell>
          <cell r="C416" t="str">
            <v>grZ.m</v>
          </cell>
          <cell r="D416">
            <v>2338.875</v>
          </cell>
          <cell r="E416">
            <v>1.6101694915254237</v>
          </cell>
          <cell r="F416">
            <v>3765.9851694915251</v>
          </cell>
          <cell r="K416">
            <v>3765.9851694915251</v>
          </cell>
        </row>
        <row r="417">
          <cell r="B417" t="str">
            <v>kabeli 2*1.5</v>
          </cell>
          <cell r="C417" t="str">
            <v>grZ.m</v>
          </cell>
          <cell r="D417">
            <v>5457.375</v>
          </cell>
          <cell r="E417">
            <v>1.1016949152542375</v>
          </cell>
          <cell r="F417">
            <v>6012.3622881355941</v>
          </cell>
          <cell r="K417">
            <v>6012.3622881355941</v>
          </cell>
        </row>
        <row r="418">
          <cell r="B418" t="str">
            <v>internetis kabeli</v>
          </cell>
          <cell r="C418" t="str">
            <v>grZ.m</v>
          </cell>
          <cell r="D418">
            <v>1930.5</v>
          </cell>
          <cell r="E418">
            <v>1.1016949152542375</v>
          </cell>
          <cell r="F418">
            <v>2126.8220338983056</v>
          </cell>
          <cell r="K418">
            <v>2126.8220338983056</v>
          </cell>
        </row>
        <row r="419">
          <cell r="B419" t="str">
            <v>Sida eldaqselva damxmare masala</v>
          </cell>
          <cell r="C419" t="str">
            <v>wert.</v>
          </cell>
          <cell r="D419">
            <v>2970</v>
          </cell>
          <cell r="E419">
            <v>0.84745762711864414</v>
          </cell>
          <cell r="F419">
            <v>2516.9491525423732</v>
          </cell>
          <cell r="K419">
            <v>2516.9491525423732</v>
          </cell>
        </row>
        <row r="420">
          <cell r="B420" t="str">
            <v>aivnis sanaTebi</v>
          </cell>
          <cell r="C420" t="str">
            <v>cali</v>
          </cell>
          <cell r="D420">
            <v>68</v>
          </cell>
          <cell r="E420">
            <v>8.4745762711864412</v>
          </cell>
          <cell r="F420">
            <v>576.27118644067798</v>
          </cell>
          <cell r="G420">
            <v>10.199999999999999</v>
          </cell>
          <cell r="H420">
            <v>693.59999999999991</v>
          </cell>
          <cell r="I420">
            <v>0</v>
          </cell>
          <cell r="J420">
            <v>0</v>
          </cell>
          <cell r="K420">
            <v>1269.8711864406778</v>
          </cell>
        </row>
        <row r="421">
          <cell r="B421" t="str">
            <v>sanaTi, niS. 0.00</v>
          </cell>
          <cell r="C421" t="str">
            <v>cali</v>
          </cell>
          <cell r="D421">
            <v>17</v>
          </cell>
          <cell r="F421">
            <v>0</v>
          </cell>
          <cell r="G421">
            <v>15.299999999999999</v>
          </cell>
          <cell r="H421">
            <v>260.09999999999997</v>
          </cell>
          <cell r="K421">
            <v>260.09999999999997</v>
          </cell>
        </row>
        <row r="422">
          <cell r="B422" t="str">
            <v>sanaTi</v>
          </cell>
          <cell r="C422" t="str">
            <v>cali</v>
          </cell>
          <cell r="D422">
            <v>17</v>
          </cell>
          <cell r="E422">
            <v>8.4745762711864412</v>
          </cell>
          <cell r="F422">
            <v>144.06779661016949</v>
          </cell>
          <cell r="K422">
            <v>144.06779661016949</v>
          </cell>
        </row>
        <row r="423">
          <cell r="B423" t="str">
            <v>sanaTi, niS. 3.20/6.40/9.60</v>
          </cell>
          <cell r="C423" t="str">
            <v>cali</v>
          </cell>
          <cell r="D423">
            <v>51</v>
          </cell>
          <cell r="F423">
            <v>0</v>
          </cell>
          <cell r="G423">
            <v>15.299999999999999</v>
          </cell>
          <cell r="H423">
            <v>780.3</v>
          </cell>
          <cell r="K423">
            <v>780.3</v>
          </cell>
        </row>
        <row r="424">
          <cell r="B424" t="str">
            <v>sanaTi</v>
          </cell>
          <cell r="C424" t="str">
            <v>cali</v>
          </cell>
          <cell r="D424">
            <v>51</v>
          </cell>
          <cell r="E424">
            <v>8.4745762711864412</v>
          </cell>
          <cell r="F424">
            <v>432.20338983050851</v>
          </cell>
          <cell r="K424">
            <v>432.20338983050851</v>
          </cell>
        </row>
        <row r="425">
          <cell r="B425" t="str">
            <v>sadarbazos sanaTi</v>
          </cell>
          <cell r="C425" t="str">
            <v>cali</v>
          </cell>
          <cell r="D425">
            <v>87</v>
          </cell>
          <cell r="E425">
            <v>22.501461133839861</v>
          </cell>
          <cell r="F425">
            <v>1957.6271186440679</v>
          </cell>
          <cell r="G425">
            <v>57.374999999999993</v>
          </cell>
          <cell r="H425">
            <v>4991.6249999999991</v>
          </cell>
          <cell r="I425">
            <v>0</v>
          </cell>
          <cell r="J425">
            <v>0</v>
          </cell>
          <cell r="K425">
            <v>6949.2521186440672</v>
          </cell>
        </row>
        <row r="426">
          <cell r="B426" t="str">
            <v>sanaTi, niS. -2.3</v>
          </cell>
          <cell r="C426" t="str">
            <v>cali</v>
          </cell>
          <cell r="D426">
            <v>24</v>
          </cell>
          <cell r="F426">
            <v>0</v>
          </cell>
          <cell r="G426">
            <v>57.374999999999993</v>
          </cell>
          <cell r="H426">
            <v>1376.9999999999998</v>
          </cell>
          <cell r="K426">
            <v>1376.9999999999998</v>
          </cell>
        </row>
        <row r="427">
          <cell r="B427" t="str">
            <v>sanaTi</v>
          </cell>
          <cell r="C427" t="str">
            <v>cali</v>
          </cell>
          <cell r="D427">
            <v>24</v>
          </cell>
          <cell r="E427">
            <v>46.610169491525426</v>
          </cell>
          <cell r="F427">
            <v>1118.6440677966102</v>
          </cell>
          <cell r="H427">
            <v>0</v>
          </cell>
          <cell r="K427">
            <v>1118.6440677966102</v>
          </cell>
        </row>
        <row r="428">
          <cell r="B428" t="str">
            <v>sanaTi, niS. 0.00</v>
          </cell>
          <cell r="C428" t="str">
            <v>cali</v>
          </cell>
          <cell r="D428">
            <v>18</v>
          </cell>
          <cell r="F428">
            <v>0</v>
          </cell>
          <cell r="G428">
            <v>57.374999999999993</v>
          </cell>
          <cell r="H428">
            <v>1032.7499999999998</v>
          </cell>
          <cell r="K428">
            <v>1032.7499999999998</v>
          </cell>
        </row>
        <row r="429">
          <cell r="B429" t="str">
            <v>sanaTi</v>
          </cell>
          <cell r="C429" t="str">
            <v>cali</v>
          </cell>
          <cell r="D429">
            <v>18</v>
          </cell>
          <cell r="E429">
            <v>46.610169491525426</v>
          </cell>
          <cell r="F429">
            <v>838.98305084745766</v>
          </cell>
          <cell r="H429">
            <v>0</v>
          </cell>
          <cell r="K429">
            <v>838.98305084745766</v>
          </cell>
        </row>
        <row r="430">
          <cell r="B430" t="str">
            <v>sanaTi, niS. 3.20/6.40/9.60</v>
          </cell>
          <cell r="C430" t="str">
            <v>cali</v>
          </cell>
          <cell r="D430">
            <v>45</v>
          </cell>
          <cell r="F430">
            <v>0</v>
          </cell>
          <cell r="G430">
            <v>57.374999999999993</v>
          </cell>
          <cell r="H430">
            <v>2581.8749999999995</v>
          </cell>
          <cell r="K430">
            <v>2581.8749999999995</v>
          </cell>
        </row>
        <row r="431">
          <cell r="B431" t="str">
            <v>sanaTi</v>
          </cell>
          <cell r="C431" t="str">
            <v>cali</v>
          </cell>
          <cell r="D431">
            <v>45</v>
          </cell>
          <cell r="E431">
            <v>46.610169491525426</v>
          </cell>
          <cell r="F431">
            <v>2097.4576271186443</v>
          </cell>
          <cell r="H431">
            <v>0</v>
          </cell>
          <cell r="K431">
            <v>2097.4576271186443</v>
          </cell>
        </row>
        <row r="432">
          <cell r="B432" t="str">
            <v>sadarbazos daqselva</v>
          </cell>
          <cell r="C432" t="str">
            <v>cali</v>
          </cell>
          <cell r="D432">
            <v>92</v>
          </cell>
          <cell r="E432">
            <v>0</v>
          </cell>
          <cell r="F432">
            <v>0</v>
          </cell>
          <cell r="G432">
            <v>57.374999999999993</v>
          </cell>
          <cell r="H432">
            <v>5278.4999999999991</v>
          </cell>
          <cell r="I432">
            <v>0</v>
          </cell>
          <cell r="J432">
            <v>0</v>
          </cell>
          <cell r="K432">
            <v>5278.4999999999991</v>
          </cell>
        </row>
        <row r="433">
          <cell r="B433" t="str">
            <v>eldaqselva, niS. -2.30</v>
          </cell>
          <cell r="C433" t="str">
            <v>cali</v>
          </cell>
          <cell r="D433">
            <v>48</v>
          </cell>
          <cell r="F433">
            <v>0</v>
          </cell>
          <cell r="G433">
            <v>57.374999999999993</v>
          </cell>
          <cell r="H433">
            <v>2753.9999999999995</v>
          </cell>
          <cell r="K433">
            <v>2753.9999999999995</v>
          </cell>
        </row>
        <row r="434">
          <cell r="B434" t="str">
            <v>kabeli</v>
          </cell>
          <cell r="C434" t="str">
            <v>grZ.m</v>
          </cell>
          <cell r="D434">
            <v>2160</v>
          </cell>
          <cell r="E434">
            <v>4.9152542372881358</v>
          </cell>
          <cell r="F434">
            <v>10616.949152542373</v>
          </cell>
          <cell r="K434">
            <v>10616.949152542373</v>
          </cell>
        </row>
        <row r="435">
          <cell r="B435" t="str">
            <v>kabeli 2*2.5</v>
          </cell>
          <cell r="C435" t="str">
            <v>grZ.m</v>
          </cell>
          <cell r="D435">
            <v>0</v>
          </cell>
          <cell r="E435">
            <v>0</v>
          </cell>
          <cell r="F435">
            <v>0</v>
          </cell>
          <cell r="K435">
            <v>0</v>
          </cell>
        </row>
        <row r="436">
          <cell r="B436" t="str">
            <v>kabeli 2*1.5</v>
          </cell>
          <cell r="C436" t="str">
            <v>grZ.m</v>
          </cell>
          <cell r="D436">
            <v>140</v>
          </cell>
          <cell r="E436">
            <v>1.1016949152542375</v>
          </cell>
          <cell r="F436">
            <v>154.23728813559325</v>
          </cell>
          <cell r="K436">
            <v>154.23728813559325</v>
          </cell>
        </row>
        <row r="437">
          <cell r="B437" t="str">
            <v>sadarbazos eldaqselva damxmare masala</v>
          </cell>
          <cell r="C437" t="str">
            <v>grZ.m</v>
          </cell>
          <cell r="D437">
            <v>48</v>
          </cell>
          <cell r="E437">
            <v>6.7796610169491531</v>
          </cell>
          <cell r="F437">
            <v>325.42372881355936</v>
          </cell>
          <cell r="K437">
            <v>325.42372881355936</v>
          </cell>
        </row>
        <row r="438">
          <cell r="B438" t="str">
            <v>eldaqselva, niS. 0.00</v>
          </cell>
          <cell r="C438" t="str">
            <v>cali</v>
          </cell>
          <cell r="D438">
            <v>11</v>
          </cell>
          <cell r="F438">
            <v>0</v>
          </cell>
          <cell r="G438">
            <v>57.374999999999993</v>
          </cell>
          <cell r="H438">
            <v>631.12499999999989</v>
          </cell>
          <cell r="K438">
            <v>631.12499999999989</v>
          </cell>
        </row>
        <row r="439">
          <cell r="B439" t="str">
            <v>Telasis kabeli</v>
          </cell>
          <cell r="C439" t="str">
            <v>grZ.m</v>
          </cell>
          <cell r="D439">
            <v>330</v>
          </cell>
          <cell r="E439">
            <v>8.0508474576271194</v>
          </cell>
          <cell r="F439">
            <v>2656.7796610169494</v>
          </cell>
          <cell r="K439">
            <v>2656.7796610169494</v>
          </cell>
        </row>
        <row r="440">
          <cell r="B440" t="str">
            <v>რეტრო kabelis samagri</v>
          </cell>
          <cell r="C440" t="str">
            <v>cali</v>
          </cell>
          <cell r="D440">
            <v>166.66666666666669</v>
          </cell>
          <cell r="E440">
            <v>1.6949152542372883</v>
          </cell>
          <cell r="F440">
            <v>282.48587570621476</v>
          </cell>
          <cell r="K440">
            <v>282.48587570621476</v>
          </cell>
        </row>
        <row r="441">
          <cell r="B441" t="str">
            <v>რეტრო kabeli 2*1.5</v>
          </cell>
          <cell r="C441" t="str">
            <v>grZ.m</v>
          </cell>
          <cell r="D441">
            <v>100</v>
          </cell>
          <cell r="E441">
            <v>6.3559322033898304</v>
          </cell>
          <cell r="F441">
            <v>635.59322033898309</v>
          </cell>
          <cell r="K441">
            <v>635.59322033898309</v>
          </cell>
        </row>
        <row r="442">
          <cell r="B442" t="str">
            <v>sadarbazos eldaqselva damxmare masala</v>
          </cell>
          <cell r="C442" t="str">
            <v>cali</v>
          </cell>
          <cell r="D442">
            <v>60</v>
          </cell>
          <cell r="E442">
            <v>6.7796610169491531</v>
          </cell>
          <cell r="F442">
            <v>406.77966101694921</v>
          </cell>
          <cell r="K442">
            <v>406.77966101694921</v>
          </cell>
        </row>
        <row r="443">
          <cell r="B443" t="str">
            <v>eldaqselva, niS. 3.20/6.40/9.60</v>
          </cell>
          <cell r="C443" t="str">
            <v>cali</v>
          </cell>
          <cell r="D443">
            <v>33</v>
          </cell>
          <cell r="F443">
            <v>0</v>
          </cell>
          <cell r="G443">
            <v>57.374999999999993</v>
          </cell>
          <cell r="H443">
            <v>1893.3749999999998</v>
          </cell>
          <cell r="K443">
            <v>1893.3749999999998</v>
          </cell>
        </row>
        <row r="444">
          <cell r="B444" t="str">
            <v>Telasis kabeli</v>
          </cell>
          <cell r="C444" t="str">
            <v>grZ.m</v>
          </cell>
          <cell r="D444">
            <v>1155</v>
          </cell>
          <cell r="E444">
            <v>8.0508474576271194</v>
          </cell>
          <cell r="F444">
            <v>9298.7288135593226</v>
          </cell>
          <cell r="K444">
            <v>9298.7288135593226</v>
          </cell>
        </row>
        <row r="445">
          <cell r="B445" t="str">
            <v>რეტრო kabelis samagri</v>
          </cell>
          <cell r="C445" t="str">
            <v>cali</v>
          </cell>
          <cell r="D445">
            <v>500</v>
          </cell>
          <cell r="E445">
            <v>1.6949152542372883</v>
          </cell>
          <cell r="F445">
            <v>847.45762711864415</v>
          </cell>
          <cell r="K445">
            <v>847.45762711864415</v>
          </cell>
        </row>
        <row r="446">
          <cell r="B446" t="str">
            <v>რეტრო kabeli 2*1.5</v>
          </cell>
          <cell r="C446" t="str">
            <v>grZ.m</v>
          </cell>
          <cell r="D446">
            <v>300</v>
          </cell>
          <cell r="E446">
            <v>6.3559322033898304</v>
          </cell>
          <cell r="F446">
            <v>1906.7796610169491</v>
          </cell>
          <cell r="K446">
            <v>1906.7796610169491</v>
          </cell>
        </row>
        <row r="447">
          <cell r="B447" t="str">
            <v>sadarbazos eldaqselva damxmare masala</v>
          </cell>
          <cell r="C447" t="str">
            <v>cali</v>
          </cell>
          <cell r="D447">
            <v>33</v>
          </cell>
          <cell r="E447">
            <v>6.7796610169491531</v>
          </cell>
          <cell r="F447">
            <v>223.72881355932205</v>
          </cell>
          <cell r="K447">
            <v>223.72881355932205</v>
          </cell>
        </row>
        <row r="448">
          <cell r="B448" t="str">
            <v>wylis centraluri dgari</v>
          </cell>
          <cell r="C448" t="str">
            <v>grZ.m</v>
          </cell>
          <cell r="D448">
            <v>51</v>
          </cell>
          <cell r="E448">
            <v>8.6440677966101696</v>
          </cell>
          <cell r="F448">
            <v>440.84745762711867</v>
          </cell>
          <cell r="G448">
            <v>25.5</v>
          </cell>
          <cell r="H448">
            <v>1300.5</v>
          </cell>
          <cell r="I448">
            <v>0</v>
          </cell>
          <cell r="J448">
            <v>0</v>
          </cell>
          <cell r="K448">
            <v>1741.3474576271187</v>
          </cell>
        </row>
        <row r="449">
          <cell r="B449" t="str">
            <v>wylis dgari, niS. -2.30</v>
          </cell>
          <cell r="C449" t="str">
            <v>grZ.m</v>
          </cell>
          <cell r="D449">
            <v>0</v>
          </cell>
          <cell r="F449">
            <v>0</v>
          </cell>
          <cell r="G449">
            <v>25.5</v>
          </cell>
          <cell r="H449">
            <v>0</v>
          </cell>
          <cell r="K449">
            <v>0</v>
          </cell>
        </row>
        <row r="450">
          <cell r="B450" t="str">
            <v>wylis mili</v>
          </cell>
          <cell r="C450" t="str">
            <v>grZ.m</v>
          </cell>
          <cell r="D450">
            <v>0</v>
          </cell>
          <cell r="E450">
            <v>2.2881355932203391</v>
          </cell>
          <cell r="F450">
            <v>0</v>
          </cell>
          <cell r="K450">
            <v>0</v>
          </cell>
        </row>
        <row r="451">
          <cell r="B451" t="str">
            <v>wylis daqselva damxmare masala</v>
          </cell>
          <cell r="C451" t="str">
            <v>grZ.m</v>
          </cell>
          <cell r="D451">
            <v>0</v>
          </cell>
          <cell r="E451">
            <v>4.2372881355932206</v>
          </cell>
          <cell r="F451">
            <v>0</v>
          </cell>
          <cell r="K451">
            <v>0</v>
          </cell>
        </row>
        <row r="452">
          <cell r="B452" t="str">
            <v>wylis dgari, niS. 0.00</v>
          </cell>
          <cell r="C452" t="str">
            <v>grZ.m</v>
          </cell>
          <cell r="D452">
            <v>13.5</v>
          </cell>
          <cell r="F452">
            <v>0</v>
          </cell>
          <cell r="G452">
            <v>25.5</v>
          </cell>
          <cell r="H452">
            <v>344.25</v>
          </cell>
          <cell r="K452">
            <v>344.25</v>
          </cell>
        </row>
        <row r="453">
          <cell r="B453" t="str">
            <v>wylis mili</v>
          </cell>
          <cell r="C453" t="str">
            <v>grZ.m</v>
          </cell>
          <cell r="D453">
            <v>13.5</v>
          </cell>
          <cell r="E453">
            <v>4.4067796610169498</v>
          </cell>
          <cell r="F453">
            <v>59.491525423728824</v>
          </cell>
          <cell r="K453">
            <v>59.491525423728824</v>
          </cell>
        </row>
        <row r="454">
          <cell r="B454" t="str">
            <v>wylis daqselva damxmare masala</v>
          </cell>
          <cell r="C454" t="str">
            <v>grZ.m</v>
          </cell>
          <cell r="D454">
            <v>13.5</v>
          </cell>
          <cell r="E454">
            <v>4.2372881355932206</v>
          </cell>
          <cell r="F454">
            <v>57.203389830508478</v>
          </cell>
          <cell r="K454">
            <v>57.203389830508478</v>
          </cell>
        </row>
        <row r="455">
          <cell r="B455" t="str">
            <v>wylis dgari, niS. 3.20</v>
          </cell>
          <cell r="C455" t="str">
            <v>grZ.m</v>
          </cell>
          <cell r="D455">
            <v>13.5</v>
          </cell>
          <cell r="F455">
            <v>0</v>
          </cell>
          <cell r="G455">
            <v>25.5</v>
          </cell>
          <cell r="H455">
            <v>344.25</v>
          </cell>
          <cell r="K455">
            <v>344.25</v>
          </cell>
        </row>
        <row r="456">
          <cell r="B456" t="str">
            <v>wylis mili</v>
          </cell>
          <cell r="C456" t="str">
            <v>grZ.m</v>
          </cell>
          <cell r="D456">
            <v>13.5</v>
          </cell>
          <cell r="E456">
            <v>4.4067796610169498</v>
          </cell>
          <cell r="F456">
            <v>59.491525423728824</v>
          </cell>
          <cell r="K456">
            <v>59.491525423728824</v>
          </cell>
        </row>
        <row r="457">
          <cell r="B457" t="str">
            <v>wylis daqselva damxmare masala</v>
          </cell>
          <cell r="C457" t="str">
            <v>grZ.m</v>
          </cell>
          <cell r="D457">
            <v>13.5</v>
          </cell>
          <cell r="E457">
            <v>4.2372881355932206</v>
          </cell>
          <cell r="F457">
            <v>57.203389830508478</v>
          </cell>
          <cell r="K457">
            <v>57.203389830508478</v>
          </cell>
        </row>
        <row r="458">
          <cell r="B458" t="str">
            <v>wylis dgari, niS. 6.40/9.60</v>
          </cell>
          <cell r="C458" t="str">
            <v>grZ.m</v>
          </cell>
          <cell r="D458">
            <v>24</v>
          </cell>
          <cell r="F458">
            <v>0</v>
          </cell>
          <cell r="G458">
            <v>25.5</v>
          </cell>
          <cell r="H458">
            <v>612</v>
          </cell>
          <cell r="K458">
            <v>612</v>
          </cell>
        </row>
        <row r="459">
          <cell r="B459" t="str">
            <v>wylis mili</v>
          </cell>
          <cell r="C459" t="str">
            <v>grZ.m</v>
          </cell>
          <cell r="D459">
            <v>24</v>
          </cell>
          <cell r="E459">
            <v>4.4067796610169498</v>
          </cell>
          <cell r="F459">
            <v>105.7627118644068</v>
          </cell>
          <cell r="K459">
            <v>105.7627118644068</v>
          </cell>
        </row>
        <row r="460">
          <cell r="B460" t="str">
            <v>wylis daqselva damxmare masala</v>
          </cell>
          <cell r="C460" t="str">
            <v>grZ.m</v>
          </cell>
          <cell r="D460">
            <v>24</v>
          </cell>
          <cell r="E460">
            <v>4.2372881355932206</v>
          </cell>
          <cell r="F460">
            <v>101.69491525423729</v>
          </cell>
          <cell r="K460">
            <v>101.69491525423729</v>
          </cell>
        </row>
        <row r="461">
          <cell r="B461" t="str">
            <v>ezos saniaRvris mowyoba</v>
          </cell>
          <cell r="C461" t="str">
            <v>grZ.m</v>
          </cell>
          <cell r="D461">
            <v>0</v>
          </cell>
          <cell r="E461">
            <v>0</v>
          </cell>
          <cell r="F461">
            <v>0</v>
          </cell>
          <cell r="G461">
            <v>63.749999999999993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</row>
        <row r="462">
          <cell r="B462" t="str">
            <v>ezos saniaRvris mowyoba</v>
          </cell>
          <cell r="C462" t="str">
            <v>grZ.m</v>
          </cell>
          <cell r="D462">
            <v>0</v>
          </cell>
          <cell r="F462">
            <v>0</v>
          </cell>
          <cell r="G462">
            <v>63.749999999999993</v>
          </cell>
          <cell r="H462">
            <v>0</v>
          </cell>
          <cell r="K462">
            <v>0</v>
          </cell>
        </row>
        <row r="463">
          <cell r="B463" t="str">
            <v>saniaRvre Rari</v>
          </cell>
          <cell r="C463" t="str">
            <v>c</v>
          </cell>
          <cell r="D463">
            <v>0</v>
          </cell>
          <cell r="E463">
            <v>50.847457627118644</v>
          </cell>
          <cell r="F463">
            <v>0</v>
          </cell>
          <cell r="K463">
            <v>0</v>
          </cell>
        </row>
        <row r="464">
          <cell r="B464" t="str">
            <v>betoni</v>
          </cell>
          <cell r="C464" t="str">
            <v>m3</v>
          </cell>
          <cell r="D464">
            <v>0</v>
          </cell>
          <cell r="E464">
            <v>219.49152542372883</v>
          </cell>
          <cell r="F464">
            <v>0</v>
          </cell>
          <cell r="K464">
            <v>0</v>
          </cell>
        </row>
        <row r="465">
          <cell r="B465" t="str">
            <v>damxmare masala</v>
          </cell>
          <cell r="C465" t="str">
            <v>c</v>
          </cell>
          <cell r="D465">
            <v>0</v>
          </cell>
          <cell r="E465">
            <v>4.2372881355932206</v>
          </cell>
          <cell r="F465">
            <v>0</v>
          </cell>
          <cell r="K465">
            <v>0</v>
          </cell>
        </row>
        <row r="466">
          <cell r="B466" t="str">
            <v>wylis daqselva binebSi</v>
          </cell>
          <cell r="C466" t="str">
            <v>bina</v>
          </cell>
          <cell r="D466">
            <v>44</v>
          </cell>
          <cell r="E466">
            <v>210.59322033898306</v>
          </cell>
          <cell r="F466">
            <v>9266.1016949152545</v>
          </cell>
          <cell r="G466">
            <v>57.374999999999993</v>
          </cell>
          <cell r="H466">
            <v>2524.4999999999995</v>
          </cell>
          <cell r="I466">
            <v>0</v>
          </cell>
          <cell r="J466">
            <v>0</v>
          </cell>
          <cell r="K466">
            <v>11790.601694915254</v>
          </cell>
        </row>
        <row r="467">
          <cell r="B467" t="str">
            <v>daqselva, niS. 0.00</v>
          </cell>
          <cell r="C467" t="str">
            <v>bina</v>
          </cell>
          <cell r="D467">
            <v>11</v>
          </cell>
          <cell r="F467">
            <v>0</v>
          </cell>
          <cell r="G467">
            <v>191.25</v>
          </cell>
          <cell r="H467">
            <v>2103.75</v>
          </cell>
          <cell r="K467">
            <v>2103.75</v>
          </cell>
        </row>
        <row r="468">
          <cell r="B468" t="str">
            <v>wylis mili</v>
          </cell>
          <cell r="C468" t="str">
            <v>grZ.m</v>
          </cell>
          <cell r="D468">
            <v>385</v>
          </cell>
          <cell r="E468">
            <v>1.7796610169491527</v>
          </cell>
          <cell r="F468">
            <v>685.16949152542384</v>
          </cell>
          <cell r="K468">
            <v>685.16949152542384</v>
          </cell>
        </row>
        <row r="469">
          <cell r="B469" t="str">
            <v>wylis daqselva damxmare masala</v>
          </cell>
          <cell r="C469" t="str">
            <v>grZ.m</v>
          </cell>
          <cell r="D469">
            <v>385</v>
          </cell>
          <cell r="E469">
            <v>4.2372881355932206</v>
          </cell>
          <cell r="F469">
            <v>1631.35593220339</v>
          </cell>
          <cell r="K469">
            <v>1631.35593220339</v>
          </cell>
        </row>
        <row r="470">
          <cell r="B470" t="str">
            <v>daqselva, niS. 3.20/6.40/9.60</v>
          </cell>
          <cell r="C470" t="str">
            <v>bina</v>
          </cell>
          <cell r="D470">
            <v>33</v>
          </cell>
          <cell r="F470">
            <v>0</v>
          </cell>
          <cell r="G470">
            <v>191.25</v>
          </cell>
          <cell r="H470">
            <v>6311.25</v>
          </cell>
          <cell r="K470">
            <v>6311.25</v>
          </cell>
        </row>
        <row r="471">
          <cell r="B471" t="str">
            <v>wylis mili</v>
          </cell>
          <cell r="C471" t="str">
            <v>grZ.m</v>
          </cell>
          <cell r="D471">
            <v>1155</v>
          </cell>
          <cell r="E471">
            <v>1.7796610169491527</v>
          </cell>
          <cell r="F471">
            <v>2055.5084745762715</v>
          </cell>
          <cell r="K471">
            <v>2055.5084745762715</v>
          </cell>
        </row>
        <row r="472">
          <cell r="B472" t="str">
            <v>wylis daqselva damxmare masala</v>
          </cell>
          <cell r="C472" t="str">
            <v>grZ.m</v>
          </cell>
          <cell r="D472">
            <v>1155</v>
          </cell>
          <cell r="E472">
            <v>4.2372881355932206</v>
          </cell>
          <cell r="F472">
            <v>4894.0677966101694</v>
          </cell>
          <cell r="K472">
            <v>4894.0677966101694</v>
          </cell>
        </row>
        <row r="473">
          <cell r="B473" t="str">
            <v>liftebi</v>
          </cell>
          <cell r="C473" t="str">
            <v>cali</v>
          </cell>
          <cell r="D473">
            <v>3</v>
          </cell>
          <cell r="E473">
            <v>86556.203389830524</v>
          </cell>
          <cell r="F473">
            <v>259668.61016949156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259668.61016949156</v>
          </cell>
        </row>
        <row r="474">
          <cell r="B474" t="str">
            <v>lifტი</v>
          </cell>
          <cell r="C474" t="str">
            <v>cali</v>
          </cell>
          <cell r="D474">
            <v>3</v>
          </cell>
          <cell r="F474">
            <v>0</v>
          </cell>
          <cell r="H474">
            <v>0</v>
          </cell>
          <cell r="K474">
            <v>0</v>
          </cell>
        </row>
        <row r="475">
          <cell r="B475" t="str">
            <v>lifti</v>
          </cell>
          <cell r="C475" t="str">
            <v>cali</v>
          </cell>
          <cell r="D475">
            <v>3</v>
          </cell>
          <cell r="E475">
            <v>86556.203389830524</v>
          </cell>
          <cell r="F475">
            <v>259668.61016949156</v>
          </cell>
          <cell r="H475">
            <v>0</v>
          </cell>
          <cell r="K475">
            <v>259668.61016949156</v>
          </cell>
        </row>
        <row r="476">
          <cell r="B476" t="str">
            <v>komunikaciis karis damzareba xis dgarebiT</v>
          </cell>
          <cell r="C476" t="str">
            <v>cali</v>
          </cell>
          <cell r="D476">
            <v>3</v>
          </cell>
          <cell r="E476">
            <v>0</v>
          </cell>
          <cell r="F476">
            <v>0</v>
          </cell>
          <cell r="H476">
            <v>0</v>
          </cell>
          <cell r="I476">
            <v>1694.9152542372883</v>
          </cell>
          <cell r="J476">
            <v>5084.7457627118647</v>
          </cell>
          <cell r="K476">
            <v>5084.7457627118647</v>
          </cell>
        </row>
        <row r="477">
          <cell r="B477" t="str">
            <v>korpusis generaluri dasufTaveba</v>
          </cell>
          <cell r="C477" t="str">
            <v>cali</v>
          </cell>
          <cell r="D477">
            <v>3</v>
          </cell>
          <cell r="E477">
            <v>0</v>
          </cell>
          <cell r="F477">
            <v>0</v>
          </cell>
          <cell r="H477">
            <v>0</v>
          </cell>
          <cell r="I477">
            <v>3813.5593220338983</v>
          </cell>
          <cell r="J477">
            <v>11440.677966101695</v>
          </cell>
          <cell r="K477">
            <v>11440.677966101695</v>
          </cell>
        </row>
        <row r="478">
          <cell r="B478" t="str">
            <v>sadarbazos aluminis kari</v>
          </cell>
          <cell r="C478" t="str">
            <v>m2</v>
          </cell>
          <cell r="D478">
            <v>12</v>
          </cell>
          <cell r="E478">
            <v>0</v>
          </cell>
          <cell r="F478">
            <v>0</v>
          </cell>
          <cell r="H478">
            <v>0</v>
          </cell>
          <cell r="I478">
            <v>372.28474576271185</v>
          </cell>
          <cell r="J478">
            <v>4467.4169491525427</v>
          </cell>
          <cell r="K478">
            <v>4467.4169491525427</v>
          </cell>
        </row>
        <row r="479">
          <cell r="B479" t="str">
            <v>tenti</v>
          </cell>
          <cell r="C479" t="str">
            <v>m2</v>
          </cell>
          <cell r="D479">
            <v>0</v>
          </cell>
          <cell r="E479">
            <v>0</v>
          </cell>
          <cell r="F479">
            <v>0</v>
          </cell>
          <cell r="H479">
            <v>0</v>
          </cell>
          <cell r="I479">
            <v>419.49152542372883</v>
          </cell>
          <cell r="J479">
            <v>0</v>
          </cell>
          <cell r="K479">
            <v>0</v>
          </cell>
        </row>
        <row r="480">
          <cell r="B480" t="str">
            <v>asaZromi kibe</v>
          </cell>
          <cell r="C480" t="str">
            <v>c</v>
          </cell>
          <cell r="D480">
            <v>3</v>
          </cell>
          <cell r="E480">
            <v>0</v>
          </cell>
          <cell r="F480">
            <v>0</v>
          </cell>
          <cell r="G480">
            <v>63.749999999999993</v>
          </cell>
          <cell r="H480">
            <v>0</v>
          </cell>
          <cell r="I480">
            <v>186.4406779661017</v>
          </cell>
          <cell r="J480">
            <v>559.32203389830511</v>
          </cell>
          <cell r="K480">
            <v>559.32203389830511</v>
          </cell>
        </row>
        <row r="481">
          <cell r="B481" t="str">
            <v>samisamarTo saxanZro signalizaciis mowyoba</v>
          </cell>
          <cell r="C481" t="str">
            <v>sarTuli</v>
          </cell>
          <cell r="D481">
            <v>15</v>
          </cell>
          <cell r="F481">
            <v>0</v>
          </cell>
          <cell r="H481">
            <v>0</v>
          </cell>
          <cell r="I481">
            <v>4237.2881355932204</v>
          </cell>
          <cell r="J481">
            <v>63559.322033898308</v>
          </cell>
          <cell r="K481">
            <v>63559.322033898308</v>
          </cell>
        </row>
        <row r="482">
          <cell r="B482" t="str">
            <v>saxanZro mildgarebis sistemis mowyoba</v>
          </cell>
          <cell r="C482" t="str">
            <v>sarTuli</v>
          </cell>
          <cell r="D482">
            <v>15</v>
          </cell>
          <cell r="F482">
            <v>0</v>
          </cell>
          <cell r="H482">
            <v>0</v>
          </cell>
          <cell r="I482">
            <v>1101.6949152542375</v>
          </cell>
          <cell r="J482">
            <v>16525.423728813563</v>
          </cell>
          <cell r="K482">
            <v>16525.423728813563</v>
          </cell>
        </row>
        <row r="483">
          <cell r="B483" t="str">
            <v>saxanZro saventilacio danadgarebis mowyoba</v>
          </cell>
          <cell r="C483" t="str">
            <v>sadarbazo</v>
          </cell>
          <cell r="D483">
            <v>3</v>
          </cell>
          <cell r="F483">
            <v>0</v>
          </cell>
          <cell r="H483">
            <v>0</v>
          </cell>
          <cell r="I483">
            <v>2881.3559322033898</v>
          </cell>
          <cell r="J483">
            <v>8644.0677966101684</v>
          </cell>
          <cell r="K483">
            <v>8644.0677966101684</v>
          </cell>
        </row>
        <row r="484">
          <cell r="B484" t="str">
            <v>domofonis mowyoba</v>
          </cell>
          <cell r="C484" t="str">
            <v>bina</v>
          </cell>
          <cell r="D484">
            <v>44</v>
          </cell>
          <cell r="E484">
            <v>0</v>
          </cell>
          <cell r="F484">
            <v>0</v>
          </cell>
          <cell r="H484">
            <v>0</v>
          </cell>
          <cell r="I484">
            <v>363.5593220338983</v>
          </cell>
          <cell r="J484">
            <v>15996.610169491525</v>
          </cell>
          <cell r="K484">
            <v>15996.610169491525</v>
          </cell>
        </row>
        <row r="485">
          <cell r="B485" t="str">
            <v>internetis kabelis daqselva</v>
          </cell>
          <cell r="C485" t="str">
            <v>bina</v>
          </cell>
          <cell r="D485">
            <v>44</v>
          </cell>
          <cell r="E485">
            <v>0</v>
          </cell>
          <cell r="F485">
            <v>0</v>
          </cell>
          <cell r="H485">
            <v>0</v>
          </cell>
          <cell r="I485">
            <v>76.271186440677965</v>
          </cell>
          <cell r="J485">
            <v>3355.9322033898306</v>
          </cell>
          <cell r="K485">
            <v>3355.9322033898306</v>
          </cell>
        </row>
        <row r="486">
          <cell r="B486" t="str">
            <v>monoliTis kedlebis damuSaveba</v>
          </cell>
          <cell r="C486" t="str">
            <v>m2</v>
          </cell>
          <cell r="D486">
            <v>690</v>
          </cell>
          <cell r="E486">
            <v>0.42372881355932207</v>
          </cell>
          <cell r="F486">
            <v>292.37288135593224</v>
          </cell>
          <cell r="G486">
            <v>2.5499999999999998</v>
          </cell>
          <cell r="H486">
            <v>1759.4999999999998</v>
          </cell>
          <cell r="I486">
            <v>1</v>
          </cell>
          <cell r="J486">
            <v>690</v>
          </cell>
          <cell r="K486">
            <v>2741.8728813559319</v>
          </cell>
        </row>
        <row r="487">
          <cell r="B487" t="str">
            <v>kibis mopirkeTeba</v>
          </cell>
          <cell r="C487" t="str">
            <v>c</v>
          </cell>
          <cell r="D487">
            <v>207</v>
          </cell>
          <cell r="E487">
            <v>0</v>
          </cell>
          <cell r="F487">
            <v>17144.161016949151</v>
          </cell>
          <cell r="G487">
            <v>51</v>
          </cell>
          <cell r="H487">
            <v>10557</v>
          </cell>
          <cell r="I487">
            <v>0</v>
          </cell>
          <cell r="J487">
            <v>0</v>
          </cell>
          <cell r="K487">
            <v>27701.161016949151</v>
          </cell>
        </row>
        <row r="488">
          <cell r="B488" t="str">
            <v>bazaltis safexuri</v>
          </cell>
          <cell r="C488" t="str">
            <v>cali</v>
          </cell>
          <cell r="D488">
            <v>207</v>
          </cell>
          <cell r="E488">
            <v>76.271186440677965</v>
          </cell>
          <cell r="F488">
            <v>15788.135593220339</v>
          </cell>
          <cell r="K488">
            <v>15788.135593220339</v>
          </cell>
        </row>
        <row r="489">
          <cell r="B489" t="str">
            <v>webo/cementi</v>
          </cell>
          <cell r="C489" t="str">
            <v>ცალი</v>
          </cell>
          <cell r="D489">
            <v>43.469999999999992</v>
          </cell>
          <cell r="E489">
            <v>11.016949152542374</v>
          </cell>
          <cell r="F489">
            <v>478.90677966101691</v>
          </cell>
          <cell r="K489">
            <v>478.90677966101691</v>
          </cell>
        </row>
        <row r="490">
          <cell r="B490" t="str">
            <v>bazaltis safexuris damxmare masala</v>
          </cell>
          <cell r="C490" t="str">
            <v>grZ.m</v>
          </cell>
          <cell r="D490">
            <v>207</v>
          </cell>
          <cell r="E490">
            <v>4.2372881355932206</v>
          </cell>
          <cell r="F490">
            <v>877.11864406779671</v>
          </cell>
          <cell r="K490">
            <v>877.11864406779671</v>
          </cell>
        </row>
        <row r="491">
          <cell r="B491" t="str">
            <v>dRiuri muSebi</v>
          </cell>
          <cell r="C491" t="str">
            <v>kac/dRe</v>
          </cell>
          <cell r="D491">
            <v>120</v>
          </cell>
          <cell r="F491">
            <v>0</v>
          </cell>
          <cell r="G491">
            <v>612</v>
          </cell>
          <cell r="H491">
            <v>73440</v>
          </cell>
          <cell r="I491">
            <v>0</v>
          </cell>
          <cell r="J491">
            <v>0</v>
          </cell>
          <cell r="K491">
            <v>73440</v>
          </cell>
        </row>
        <row r="492">
          <cell r="B492" t="str">
            <v>usafrTxoebis xarji</v>
          </cell>
          <cell r="C492" t="str">
            <v>Tve</v>
          </cell>
          <cell r="D492">
            <v>4</v>
          </cell>
          <cell r="E492">
            <v>8050.8474576271192</v>
          </cell>
          <cell r="F492">
            <v>32203.389830508477</v>
          </cell>
          <cell r="G492">
            <v>0</v>
          </cell>
          <cell r="H492">
            <v>0</v>
          </cell>
          <cell r="I492">
            <v>8050.8474576271192</v>
          </cell>
          <cell r="J492">
            <v>32203.389830508477</v>
          </cell>
          <cell r="K492">
            <v>64406.779661016953</v>
          </cell>
        </row>
        <row r="493">
          <cell r="B493" t="str">
            <v>jami</v>
          </cell>
          <cell r="F493">
            <v>1049068.3189359161</v>
          </cell>
          <cell r="H493">
            <v>802813.46941124985</v>
          </cell>
          <cell r="J493">
            <v>694611.80776271201</v>
          </cell>
          <cell r="K493">
            <v>2546493.5961098783</v>
          </cell>
        </row>
        <row r="494">
          <cell r="B494" t="str">
            <v>zednadebi xarji</v>
          </cell>
          <cell r="C494">
            <v>7.3999999999999996E-2</v>
          </cell>
          <cell r="K494">
            <v>188440.52611213099</v>
          </cell>
        </row>
        <row r="495">
          <cell r="B495" t="str">
            <v>jami</v>
          </cell>
          <cell r="K495">
            <v>2734934.1222220091</v>
          </cell>
        </row>
        <row r="496">
          <cell r="B496" t="str">
            <v>teqnika</v>
          </cell>
          <cell r="C496">
            <v>3.5000000000000003E-2</v>
          </cell>
          <cell r="K496">
            <v>95722.694277770323</v>
          </cell>
        </row>
        <row r="497">
          <cell r="B497" t="str">
            <v>jami</v>
          </cell>
          <cell r="K497">
            <v>2830656.8164997795</v>
          </cell>
        </row>
        <row r="498">
          <cell r="B498" t="str">
            <v>mogeba</v>
          </cell>
          <cell r="C498">
            <v>0.16500000000000001</v>
          </cell>
          <cell r="K498">
            <v>467058.37472246366</v>
          </cell>
        </row>
        <row r="499">
          <cell r="B499" t="str">
            <v>jami</v>
          </cell>
          <cell r="K499">
            <v>3297715.191222243</v>
          </cell>
        </row>
        <row r="500">
          <cell r="B500" t="str">
            <v>dRg</v>
          </cell>
          <cell r="C500">
            <v>0.18</v>
          </cell>
          <cell r="K500">
            <v>593588.73442000372</v>
          </cell>
        </row>
        <row r="501">
          <cell r="B501" t="str">
            <v>mTliani</v>
          </cell>
          <cell r="K501">
            <v>3891303.9256422468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ფართები"/>
      <sheetName val="შესათანხმებელი ბიუჯეტი"/>
      <sheetName val="ბიუჯეტი"/>
      <sheetName val="სამუშაო"/>
      <sheetName val="მასალა"/>
      <sheetName val="მომსახურება"/>
      <sheetName val="ხელფასები"/>
    </sheetNames>
    <sheetDataSet>
      <sheetData sheetId="0" refreshError="1">
        <row r="2">
          <cell r="E2">
            <v>2.74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zoomScaleNormal="100" workbookViewId="0">
      <selection activeCell="B38" sqref="B38"/>
    </sheetView>
  </sheetViews>
  <sheetFormatPr defaultColWidth="9.08984375" defaultRowHeight="14.5" x14ac:dyDescent="0.35"/>
  <cols>
    <col min="1" max="1" width="17.54296875" style="5" bestFit="1" customWidth="1"/>
    <col min="2" max="2" width="16.6328125" style="5" customWidth="1"/>
    <col min="3" max="3" width="22.08984375" style="5" customWidth="1"/>
    <col min="4" max="4" width="24.453125" style="5" bestFit="1" customWidth="1"/>
    <col min="5" max="5" width="19.36328125" style="5" bestFit="1" customWidth="1"/>
    <col min="6" max="6" width="3" style="5" customWidth="1"/>
    <col min="7" max="7" width="12.36328125" style="5" bestFit="1" customWidth="1"/>
    <col min="8" max="9" width="9.08984375" style="5" customWidth="1"/>
    <col min="10" max="16384" width="9.08984375" style="5"/>
  </cols>
  <sheetData>
    <row r="1" spans="1:8" x14ac:dyDescent="0.35">
      <c r="A1" s="79" t="s">
        <v>433</v>
      </c>
      <c r="B1" s="79"/>
      <c r="C1" s="79"/>
      <c r="D1" s="79"/>
      <c r="E1" s="79"/>
    </row>
    <row r="2" spans="1:8" x14ac:dyDescent="0.35">
      <c r="A2" s="33"/>
      <c r="B2" s="33"/>
      <c r="C2" s="33"/>
      <c r="D2" s="33"/>
      <c r="E2" s="33"/>
    </row>
    <row r="3" spans="1:8" x14ac:dyDescent="0.35">
      <c r="A3" s="29"/>
      <c r="B3" s="30" t="s">
        <v>36</v>
      </c>
      <c r="C3" s="31">
        <v>45590</v>
      </c>
      <c r="D3" s="29" t="s">
        <v>28</v>
      </c>
      <c r="E3" s="32">
        <v>2.71</v>
      </c>
    </row>
    <row r="4" spans="1:8" x14ac:dyDescent="0.35">
      <c r="A4" s="29"/>
      <c r="B4" s="30"/>
      <c r="C4" s="31"/>
      <c r="D4" s="29"/>
      <c r="E4" s="32"/>
    </row>
    <row r="5" spans="1:8" ht="16" x14ac:dyDescent="0.35">
      <c r="A5" s="6" t="s">
        <v>0</v>
      </c>
      <c r="B5" s="6" t="s">
        <v>19</v>
      </c>
      <c r="C5" s="6" t="s">
        <v>20</v>
      </c>
      <c r="D5" s="6" t="s">
        <v>21</v>
      </c>
      <c r="E5" s="6" t="s">
        <v>22</v>
      </c>
    </row>
    <row r="6" spans="1:8" x14ac:dyDescent="0.35">
      <c r="A6" s="7">
        <v>1</v>
      </c>
      <c r="B6" s="7">
        <v>2</v>
      </c>
      <c r="C6" s="7">
        <v>3</v>
      </c>
      <c r="D6" s="7">
        <v>4</v>
      </c>
      <c r="E6" s="7">
        <v>5</v>
      </c>
    </row>
    <row r="7" spans="1:8" x14ac:dyDescent="0.35">
      <c r="A7" s="8">
        <v>1</v>
      </c>
      <c r="B7" s="26" t="s">
        <v>32</v>
      </c>
      <c r="C7" s="10">
        <f>(21.1*15.2)*3</f>
        <v>962.16000000000008</v>
      </c>
      <c r="D7" s="10">
        <v>603.6</v>
      </c>
      <c r="E7" s="27">
        <f t="shared" ref="E7:E13" si="0">D7/C7</f>
        <v>0.62733848840109752</v>
      </c>
    </row>
    <row r="8" spans="1:8" x14ac:dyDescent="0.35">
      <c r="A8" s="8">
        <v>2</v>
      </c>
      <c r="B8" s="8">
        <v>1</v>
      </c>
      <c r="C8" s="10">
        <f>(21.1*15.2)*3</f>
        <v>962.16000000000008</v>
      </c>
      <c r="D8" s="10">
        <v>649.1</v>
      </c>
      <c r="E8" s="27">
        <f t="shared" si="0"/>
        <v>0.6746279205121809</v>
      </c>
    </row>
    <row r="9" spans="1:8" x14ac:dyDescent="0.35">
      <c r="A9" s="8">
        <v>3</v>
      </c>
      <c r="B9" s="8">
        <v>2</v>
      </c>
      <c r="C9" s="10">
        <f>(21.1*15.2)*3+8.3+9.9+0.63+0.63+8.3+9.9+0.63+0.63+8.28+8.28+7.1+7.1</f>
        <v>1031.8399999999997</v>
      </c>
      <c r="D9" s="10">
        <v>788.9</v>
      </c>
      <c r="E9" s="27">
        <f t="shared" si="0"/>
        <v>0.7645565203907585</v>
      </c>
    </row>
    <row r="10" spans="1:8" x14ac:dyDescent="0.35">
      <c r="A10" s="8">
        <v>4</v>
      </c>
      <c r="B10" s="8">
        <v>3</v>
      </c>
      <c r="C10" s="10">
        <f>(21.1*15.2)*3+8.3+9.9+0.63+0.63+8.3+9.9+0.63+0.63+8.28+8.28+7.1+7.1</f>
        <v>1031.8399999999997</v>
      </c>
      <c r="D10" s="10">
        <v>788.9</v>
      </c>
      <c r="E10" s="27">
        <f t="shared" si="0"/>
        <v>0.7645565203907585</v>
      </c>
    </row>
    <row r="11" spans="1:8" x14ac:dyDescent="0.35">
      <c r="A11" s="8">
        <v>5</v>
      </c>
      <c r="B11" s="8">
        <v>4</v>
      </c>
      <c r="C11" s="10">
        <f>(21.1*15.2)*3+8.3+9.9+0.63+0.63+8.3+9.9+0.63+0.63+8.28+8.28+7.1+7.1</f>
        <v>1031.8399999999997</v>
      </c>
      <c r="D11" s="10">
        <v>788.9</v>
      </c>
      <c r="E11" s="27">
        <f t="shared" si="0"/>
        <v>0.7645565203907585</v>
      </c>
    </row>
    <row r="12" spans="1:8" x14ac:dyDescent="0.35">
      <c r="A12" s="8">
        <v>6</v>
      </c>
      <c r="B12" s="28" t="s">
        <v>23</v>
      </c>
      <c r="C12" s="10">
        <f>(21.1*15.2)*3+8.3+9.9+8.3+9.9+8.28+8.28+7.1+7.1</f>
        <v>1029.32</v>
      </c>
      <c r="E12" s="27"/>
    </row>
    <row r="13" spans="1:8" x14ac:dyDescent="0.35">
      <c r="A13" s="8"/>
      <c r="B13" s="11" t="s">
        <v>8</v>
      </c>
      <c r="C13" s="12">
        <f>SUM(C7:C12)</f>
        <v>6049.1599999999989</v>
      </c>
      <c r="D13" s="12">
        <f>SUM(D7:D12)</f>
        <v>3619.4</v>
      </c>
      <c r="E13" s="9">
        <f t="shared" si="0"/>
        <v>0.59833100794159866</v>
      </c>
      <c r="G13" s="15"/>
    </row>
    <row r="14" spans="1:8" x14ac:dyDescent="0.35">
      <c r="D14" s="13"/>
      <c r="G14" s="15"/>
      <c r="H14" s="15"/>
    </row>
    <row r="17" spans="1:5" x14ac:dyDescent="0.35">
      <c r="D17" s="24" t="s">
        <v>24</v>
      </c>
      <c r="E17" s="24" t="s">
        <v>31</v>
      </c>
    </row>
    <row r="18" spans="1:5" x14ac:dyDescent="0.35">
      <c r="A18" s="35" t="s">
        <v>238</v>
      </c>
      <c r="B18" s="14">
        <f>ბიუჯეტი!K25</f>
        <v>177948.79554114016</v>
      </c>
      <c r="C18" s="14"/>
      <c r="D18" s="14">
        <f>B18/C13</f>
        <v>29.417108415241156</v>
      </c>
      <c r="E18" s="14">
        <f>D18/E3</f>
        <v>10.85502155543954</v>
      </c>
    </row>
    <row r="19" spans="1:5" x14ac:dyDescent="0.35">
      <c r="A19" s="35" t="s">
        <v>239</v>
      </c>
      <c r="B19" s="14">
        <f>ბიუჯეტი!K59</f>
        <v>2684765.0455635297</v>
      </c>
      <c r="C19" s="14"/>
      <c r="D19" s="14">
        <f>B19/C13</f>
        <v>443.8244393541467</v>
      </c>
      <c r="E19" s="14">
        <f>D19/E3</f>
        <v>163.77285585023864</v>
      </c>
    </row>
    <row r="20" spans="1:5" x14ac:dyDescent="0.35">
      <c r="A20" s="35" t="s">
        <v>240</v>
      </c>
      <c r="B20" s="14">
        <f>ბიუჯეტი!K502</f>
        <v>3971935.367505433</v>
      </c>
      <c r="C20" s="14"/>
      <c r="D20" s="14">
        <f>B20/C13</f>
        <v>656.60940816666016</v>
      </c>
      <c r="E20" s="14">
        <f>D20/E3</f>
        <v>242.29129452644287</v>
      </c>
    </row>
    <row r="21" spans="1:5" x14ac:dyDescent="0.35">
      <c r="D21" s="12">
        <f>SUM(D18:D20)</f>
        <v>1129.850955936048</v>
      </c>
      <c r="E21" s="12">
        <f>SUM(E18:E20)</f>
        <v>416.91917193212106</v>
      </c>
    </row>
    <row r="25" spans="1:5" x14ac:dyDescent="0.35">
      <c r="B25" s="32" t="s">
        <v>436</v>
      </c>
      <c r="D25" s="24" t="s">
        <v>24</v>
      </c>
      <c r="E25" s="24" t="s">
        <v>31</v>
      </c>
    </row>
    <row r="26" spans="1:5" x14ac:dyDescent="0.35">
      <c r="A26" s="35" t="s">
        <v>238</v>
      </c>
      <c r="B26" s="14">
        <v>212951.22128392433</v>
      </c>
      <c r="C26" s="14"/>
      <c r="D26" s="14">
        <v>35.108543433927942</v>
      </c>
      <c r="E26" s="14">
        <v>12.787202591028533</v>
      </c>
    </row>
    <row r="27" spans="1:5" x14ac:dyDescent="0.35">
      <c r="A27" s="35" t="s">
        <v>239</v>
      </c>
      <c r="B27" s="14">
        <v>2687532.9747018414</v>
      </c>
      <c r="C27" s="14"/>
      <c r="D27" s="14">
        <v>443.08441906811476</v>
      </c>
      <c r="E27" s="14">
        <v>161.37981463727957</v>
      </c>
    </row>
    <row r="28" spans="1:5" x14ac:dyDescent="0.35">
      <c r="A28" s="35" t="s">
        <v>240</v>
      </c>
      <c r="B28" s="14">
        <v>3887861.6676563323</v>
      </c>
      <c r="C28" s="14"/>
      <c r="D28" s="14">
        <v>640.97852738785878</v>
      </c>
      <c r="E28" s="14">
        <v>233.45663147867816</v>
      </c>
    </row>
    <row r="29" spans="1:5" x14ac:dyDescent="0.35">
      <c r="B29" s="15"/>
      <c r="D29" s="12">
        <v>1119.1714898899015</v>
      </c>
      <c r="E29" s="12">
        <v>407.62364870698627</v>
      </c>
    </row>
    <row r="30" spans="1:5" x14ac:dyDescent="0.35">
      <c r="B30" s="15"/>
    </row>
    <row r="31" spans="1:5" x14ac:dyDescent="0.35">
      <c r="B31" s="15"/>
    </row>
  </sheetData>
  <mergeCells count="1">
    <mergeCell ref="A1:E1"/>
  </mergeCells>
  <pageMargins left="0.2" right="0.2" top="0.2" bottom="0.2" header="0.3" footer="0.3"/>
  <pageSetup scale="6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07"/>
  <sheetViews>
    <sheetView topLeftCell="A62" zoomScale="70" zoomScaleNormal="70" workbookViewId="0">
      <selection activeCell="L322" sqref="L322"/>
    </sheetView>
  </sheetViews>
  <sheetFormatPr defaultRowHeight="14.5" outlineLevelRow="1" x14ac:dyDescent="0.35"/>
  <cols>
    <col min="1" max="1" width="4.453125" bestFit="1" customWidth="1"/>
    <col min="2" max="2" width="40.6328125" customWidth="1"/>
    <col min="3" max="3" width="9.6328125" customWidth="1"/>
    <col min="4" max="4" width="12.90625" customWidth="1"/>
    <col min="5" max="5" width="11.08984375" customWidth="1"/>
    <col min="6" max="6" width="10.90625" customWidth="1"/>
    <col min="7" max="7" width="9.453125" customWidth="1"/>
    <col min="8" max="8" width="15" customWidth="1"/>
    <col min="9" max="10" width="10" customWidth="1"/>
    <col min="11" max="11" width="14.453125" bestFit="1" customWidth="1"/>
    <col min="12" max="12" width="21.36328125" bestFit="1" customWidth="1"/>
    <col min="13" max="14" width="10.1796875" bestFit="1" customWidth="1"/>
    <col min="15" max="15" width="11.08984375" bestFit="1" customWidth="1"/>
    <col min="16" max="16" width="8.81640625" bestFit="1" customWidth="1"/>
    <col min="17" max="17" width="11.08984375" bestFit="1" customWidth="1"/>
    <col min="18" max="18" width="9.1796875" bestFit="1" customWidth="1"/>
    <col min="19" max="20" width="11.08984375" bestFit="1" customWidth="1"/>
    <col min="22" max="22" width="9.7265625" bestFit="1" customWidth="1"/>
    <col min="24" max="24" width="9.08984375" bestFit="1" customWidth="1"/>
    <col min="25" max="25" width="10.7265625" bestFit="1" customWidth="1"/>
  </cols>
  <sheetData>
    <row r="1" spans="1:11" x14ac:dyDescent="0.35">
      <c r="A1" s="79" t="s">
        <v>44</v>
      </c>
      <c r="B1" s="79"/>
      <c r="C1" s="79"/>
      <c r="D1" s="79"/>
      <c r="E1" s="79"/>
      <c r="F1" s="79"/>
      <c r="G1" s="79"/>
      <c r="H1" s="79"/>
      <c r="I1" s="79"/>
      <c r="J1" s="79"/>
      <c r="K1" s="79"/>
    </row>
    <row r="2" spans="1:11" x14ac:dyDescent="0.35">
      <c r="A2" s="79" t="s">
        <v>25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1" x14ac:dyDescent="0.35">
      <c r="A3" s="79" t="s">
        <v>434</v>
      </c>
      <c r="B3" s="79"/>
      <c r="C3" s="79"/>
      <c r="D3" s="79"/>
      <c r="E3" s="79"/>
      <c r="F3" s="79"/>
      <c r="G3" s="79"/>
      <c r="H3" s="79"/>
      <c r="I3" s="79"/>
      <c r="J3" s="79"/>
      <c r="K3" s="79"/>
    </row>
    <row r="4" spans="1:11" x14ac:dyDescent="0.35">
      <c r="A4" s="80" t="s">
        <v>26</v>
      </c>
      <c r="B4" s="80"/>
      <c r="C4" s="80"/>
      <c r="D4" s="80"/>
      <c r="E4" s="80"/>
      <c r="F4" s="80"/>
      <c r="G4" s="80"/>
      <c r="H4" s="80"/>
      <c r="I4" s="80"/>
      <c r="J4" s="80"/>
      <c r="K4" s="80"/>
    </row>
    <row r="5" spans="1:11" ht="17.25" customHeight="1" x14ac:dyDescent="0.4">
      <c r="B5" s="36"/>
      <c r="C5" s="36"/>
      <c r="D5" s="36"/>
      <c r="E5" s="37"/>
      <c r="F5" s="36"/>
      <c r="G5" s="36"/>
      <c r="H5" s="36"/>
      <c r="I5" s="81"/>
      <c r="J5" s="81"/>
      <c r="K5" s="81"/>
    </row>
    <row r="6" spans="1:11" ht="51" customHeight="1" x14ac:dyDescent="0.35">
      <c r="A6" s="39" t="s">
        <v>0</v>
      </c>
      <c r="B6" s="39" t="s">
        <v>1</v>
      </c>
      <c r="C6" s="39" t="s">
        <v>2</v>
      </c>
      <c r="D6" s="39" t="s">
        <v>3</v>
      </c>
      <c r="E6" s="39" t="s">
        <v>4</v>
      </c>
      <c r="F6" s="39" t="s">
        <v>5</v>
      </c>
      <c r="G6" s="39" t="s">
        <v>6</v>
      </c>
      <c r="H6" s="39" t="s">
        <v>7</v>
      </c>
      <c r="I6" s="39" t="s">
        <v>33</v>
      </c>
      <c r="J6" s="39" t="s">
        <v>34</v>
      </c>
      <c r="K6" s="39" t="s">
        <v>8</v>
      </c>
    </row>
    <row r="7" spans="1:11" ht="14.4" customHeight="1" x14ac:dyDescent="0.35">
      <c r="A7" s="40">
        <v>1</v>
      </c>
      <c r="B7" s="40">
        <v>2</v>
      </c>
      <c r="C7" s="40">
        <v>3</v>
      </c>
      <c r="D7" s="40">
        <v>4</v>
      </c>
      <c r="E7" s="40">
        <v>5</v>
      </c>
      <c r="F7" s="40">
        <v>6</v>
      </c>
      <c r="G7" s="40">
        <v>7</v>
      </c>
      <c r="H7" s="40">
        <v>8</v>
      </c>
      <c r="I7" s="40">
        <v>9</v>
      </c>
      <c r="J7" s="40">
        <v>10</v>
      </c>
      <c r="K7" s="40">
        <v>11</v>
      </c>
    </row>
    <row r="8" spans="1:11" ht="17.25" customHeight="1" x14ac:dyDescent="0.35">
      <c r="A8" s="8"/>
      <c r="B8" s="41" t="s">
        <v>232</v>
      </c>
      <c r="C8" s="8"/>
      <c r="D8" s="8"/>
      <c r="E8" s="8"/>
      <c r="F8" s="8"/>
      <c r="G8" s="8"/>
      <c r="H8" s="8"/>
      <c r="I8" s="8"/>
      <c r="J8" s="8"/>
      <c r="K8" s="8"/>
    </row>
    <row r="9" spans="1:11" ht="16.75" customHeight="1" x14ac:dyDescent="0.35">
      <c r="A9" s="42">
        <v>1</v>
      </c>
      <c r="B9" s="23" t="s">
        <v>233</v>
      </c>
      <c r="C9" s="4" t="s">
        <v>10</v>
      </c>
      <c r="D9" s="1">
        <f>SUM(D10:D13)</f>
        <v>4909.6034</v>
      </c>
      <c r="E9" s="1">
        <f>SUM(F10:F13)/D9</f>
        <v>0</v>
      </c>
      <c r="F9" s="1">
        <f>D9*E9</f>
        <v>0</v>
      </c>
      <c r="G9" s="1">
        <v>0</v>
      </c>
      <c r="H9" s="1">
        <f t="shared" ref="H9:H14" si="0">D9*G9</f>
        <v>0</v>
      </c>
      <c r="I9" s="1">
        <v>18.7</v>
      </c>
      <c r="J9" s="1">
        <f t="shared" ref="J9:J14" si="1">I9*D9</f>
        <v>91809.583579999991</v>
      </c>
      <c r="K9" s="1">
        <f t="shared" ref="K9:K14" si="2">F9+H9+J9</f>
        <v>91809.583579999991</v>
      </c>
    </row>
    <row r="10" spans="1:11" ht="17.25" customHeight="1" outlineLevel="1" x14ac:dyDescent="0.35">
      <c r="A10" s="42"/>
      <c r="B10" s="3" t="s">
        <v>234</v>
      </c>
      <c r="C10" s="4" t="s">
        <v>9</v>
      </c>
      <c r="D10" s="1">
        <f>(20*69)*2.1*1.3</f>
        <v>3767.4</v>
      </c>
      <c r="E10" s="1">
        <v>0</v>
      </c>
      <c r="F10" s="1">
        <v>0</v>
      </c>
      <c r="G10" s="1">
        <v>0</v>
      </c>
      <c r="H10" s="1">
        <f t="shared" si="0"/>
        <v>0</v>
      </c>
      <c r="I10" s="1">
        <v>0</v>
      </c>
      <c r="J10" s="1">
        <f t="shared" si="1"/>
        <v>0</v>
      </c>
      <c r="K10" s="1">
        <f t="shared" si="2"/>
        <v>0</v>
      </c>
    </row>
    <row r="11" spans="1:11" ht="17.25" customHeight="1" outlineLevel="1" x14ac:dyDescent="0.35">
      <c r="A11" s="2"/>
      <c r="B11" s="3" t="s">
        <v>235</v>
      </c>
      <c r="C11" s="4" t="s">
        <v>9</v>
      </c>
      <c r="D11" s="1">
        <f>(4.7*4.5*2*1.3)*3</f>
        <v>164.97000000000003</v>
      </c>
      <c r="E11" s="1">
        <v>0</v>
      </c>
      <c r="F11" s="1">
        <f>D11*E11</f>
        <v>0</v>
      </c>
      <c r="G11" s="1">
        <v>0</v>
      </c>
      <c r="H11" s="1">
        <f t="shared" si="0"/>
        <v>0</v>
      </c>
      <c r="I11" s="1">
        <v>0</v>
      </c>
      <c r="J11" s="1">
        <f t="shared" si="1"/>
        <v>0</v>
      </c>
      <c r="K11" s="1">
        <f t="shared" si="2"/>
        <v>0</v>
      </c>
    </row>
    <row r="12" spans="1:11" ht="17.25" customHeight="1" outlineLevel="1" x14ac:dyDescent="0.35">
      <c r="A12" s="2"/>
      <c r="B12" s="3" t="s">
        <v>435</v>
      </c>
      <c r="C12" s="4" t="s">
        <v>9</v>
      </c>
      <c r="D12" s="1">
        <f>(47*6*0.7+39*8*0.65)*1.3</f>
        <v>520.26</v>
      </c>
      <c r="E12" s="1">
        <v>0</v>
      </c>
      <c r="F12" s="1">
        <f>D12*E12</f>
        <v>0</v>
      </c>
      <c r="G12" s="1">
        <v>0</v>
      </c>
      <c r="H12" s="1">
        <f t="shared" ref="H12" si="3">D12*G12</f>
        <v>0</v>
      </c>
      <c r="I12" s="1">
        <v>0</v>
      </c>
      <c r="J12" s="1">
        <f t="shared" ref="J12" si="4">I12*D12</f>
        <v>0</v>
      </c>
      <c r="K12" s="1">
        <f t="shared" ref="K12" si="5">F12+H12+J12</f>
        <v>0</v>
      </c>
    </row>
    <row r="13" spans="1:11" ht="17.25" customHeight="1" outlineLevel="1" x14ac:dyDescent="0.35">
      <c r="A13" s="2"/>
      <c r="B13" s="3" t="s">
        <v>236</v>
      </c>
      <c r="C13" s="4" t="s">
        <v>9</v>
      </c>
      <c r="D13" s="1">
        <f>((2*2*2.5*3)+(2*2*1.4*2)+(2*2*1*3)+(2.7*2*2.2*2)+(2.7*2*3)+(4.7*2*1.8)+(2*2*1*4)+(2*2*2.3*2)+(4.7*2*1.5)+(12.2*2.7*2.7)+(2*2*3.4)+(2*2*1.4*3)+(2*2*2.2*2)+(2*2*3.1*3)+(4.7*2*2))*1.3</f>
        <v>456.97340000000014</v>
      </c>
      <c r="E13" s="1">
        <v>0</v>
      </c>
      <c r="F13" s="1">
        <f>D13*E13</f>
        <v>0</v>
      </c>
      <c r="G13" s="1">
        <v>0</v>
      </c>
      <c r="H13" s="1">
        <f t="shared" si="0"/>
        <v>0</v>
      </c>
      <c r="I13" s="1">
        <v>0</v>
      </c>
      <c r="J13" s="1">
        <f t="shared" si="1"/>
        <v>0</v>
      </c>
      <c r="K13" s="1">
        <f t="shared" si="2"/>
        <v>0</v>
      </c>
    </row>
    <row r="14" spans="1:11" ht="17.25" customHeight="1" x14ac:dyDescent="0.35">
      <c r="A14" s="51">
        <v>2</v>
      </c>
      <c r="B14" s="23" t="s">
        <v>237</v>
      </c>
      <c r="C14" s="4" t="s">
        <v>358</v>
      </c>
      <c r="D14" s="1">
        <v>20</v>
      </c>
      <c r="E14" s="1">
        <v>0</v>
      </c>
      <c r="F14" s="1">
        <f>D14*E14</f>
        <v>0</v>
      </c>
      <c r="G14" s="1"/>
      <c r="H14" s="1">
        <f t="shared" si="0"/>
        <v>0</v>
      </c>
      <c r="I14" s="22">
        <f>1400/1.18</f>
        <v>1186.4406779661017</v>
      </c>
      <c r="J14" s="1">
        <f t="shared" si="1"/>
        <v>23728.813559322036</v>
      </c>
      <c r="K14" s="1">
        <f t="shared" si="2"/>
        <v>23728.813559322036</v>
      </c>
    </row>
    <row r="15" spans="1:11" ht="17.25" customHeight="1" x14ac:dyDescent="0.35">
      <c r="A15" s="2"/>
      <c r="B15" s="16" t="s">
        <v>8</v>
      </c>
      <c r="C15" s="4"/>
      <c r="D15" s="25"/>
      <c r="E15" s="25"/>
      <c r="F15" s="25">
        <f>F14+F9</f>
        <v>0</v>
      </c>
      <c r="G15" s="25"/>
      <c r="H15" s="25">
        <f>H14+H9</f>
        <v>0</v>
      </c>
      <c r="I15" s="25"/>
      <c r="J15" s="25">
        <f>J14+J9</f>
        <v>115538.39713932203</v>
      </c>
      <c r="K15" s="25">
        <f>K14+K9</f>
        <v>115538.39713932203</v>
      </c>
    </row>
    <row r="16" spans="1:11" ht="17.25" customHeight="1" x14ac:dyDescent="0.35">
      <c r="A16" s="2"/>
      <c r="B16" s="16" t="s">
        <v>15</v>
      </c>
      <c r="C16" s="17">
        <v>7.3999999999999996E-2</v>
      </c>
      <c r="D16" s="18"/>
      <c r="E16" s="19"/>
      <c r="F16" s="20"/>
      <c r="G16" s="18"/>
      <c r="H16" s="20"/>
      <c r="I16" s="20"/>
      <c r="J16" s="20"/>
      <c r="K16" s="20">
        <f>K15*C16</f>
        <v>8549.8413883098292</v>
      </c>
    </row>
    <row r="17" spans="1:12" ht="17.25" customHeight="1" x14ac:dyDescent="0.35">
      <c r="A17" s="2"/>
      <c r="B17" s="16" t="s">
        <v>8</v>
      </c>
      <c r="C17" s="21"/>
      <c r="D17" s="18"/>
      <c r="E17" s="19"/>
      <c r="F17" s="20"/>
      <c r="G17" s="18"/>
      <c r="H17" s="22"/>
      <c r="I17" s="20"/>
      <c r="J17" s="20"/>
      <c r="K17" s="20">
        <f>SUM(K15:K16)</f>
        <v>124088.23852763185</v>
      </c>
    </row>
    <row r="18" spans="1:12" ht="17.25" customHeight="1" x14ac:dyDescent="0.35">
      <c r="A18" s="2"/>
      <c r="B18" s="16" t="s">
        <v>41</v>
      </c>
      <c r="C18" s="17">
        <v>0.03</v>
      </c>
      <c r="D18" s="18"/>
      <c r="E18" s="19"/>
      <c r="F18" s="22"/>
      <c r="G18" s="18"/>
      <c r="H18" s="22"/>
      <c r="I18" s="22"/>
      <c r="J18" s="22"/>
      <c r="K18" s="20">
        <f>K17*C18</f>
        <v>3722.6471558289554</v>
      </c>
    </row>
    <row r="19" spans="1:12" ht="17.25" customHeight="1" x14ac:dyDescent="0.35">
      <c r="A19" s="2"/>
      <c r="B19" s="16" t="s">
        <v>8</v>
      </c>
      <c r="C19" s="4"/>
      <c r="D19" s="18"/>
      <c r="E19" s="18"/>
      <c r="F19" s="22"/>
      <c r="G19" s="18"/>
      <c r="H19" s="22"/>
      <c r="I19" s="22"/>
      <c r="J19" s="22"/>
      <c r="K19" s="20">
        <f>SUM(K17:K18)</f>
        <v>127810.8856834608</v>
      </c>
    </row>
    <row r="20" spans="1:12" ht="17.25" customHeight="1" x14ac:dyDescent="0.35">
      <c r="A20" s="2"/>
      <c r="B20" s="16" t="s">
        <v>42</v>
      </c>
      <c r="C20" s="17">
        <v>3.5000000000000003E-2</v>
      </c>
      <c r="D20" s="18"/>
      <c r="E20" s="19"/>
      <c r="F20" s="22"/>
      <c r="G20" s="18"/>
      <c r="H20" s="22"/>
      <c r="I20" s="22"/>
      <c r="J20" s="22"/>
      <c r="K20" s="20">
        <f>K19*C20</f>
        <v>4473.3809989211286</v>
      </c>
    </row>
    <row r="21" spans="1:12" ht="17.25" customHeight="1" x14ac:dyDescent="0.35">
      <c r="A21" s="2"/>
      <c r="B21" s="16" t="s">
        <v>8</v>
      </c>
      <c r="C21" s="4"/>
      <c r="D21" s="18"/>
      <c r="E21" s="18"/>
      <c r="F21" s="22"/>
      <c r="G21" s="18"/>
      <c r="H21" s="22"/>
      <c r="I21" s="22"/>
      <c r="J21" s="22"/>
      <c r="K21" s="20">
        <f>SUM(K19:K20)</f>
        <v>132284.26668238192</v>
      </c>
    </row>
    <row r="22" spans="1:12" ht="17.25" customHeight="1" x14ac:dyDescent="0.35">
      <c r="A22" s="2"/>
      <c r="B22" s="16" t="s">
        <v>16</v>
      </c>
      <c r="C22" s="17">
        <v>0.14000000000000001</v>
      </c>
      <c r="D22" s="18"/>
      <c r="E22" s="19"/>
      <c r="F22" s="22"/>
      <c r="G22" s="18"/>
      <c r="H22" s="22"/>
      <c r="I22" s="22"/>
      <c r="J22" s="22"/>
      <c r="K22" s="20">
        <f>K21*C22</f>
        <v>18519.797335533469</v>
      </c>
    </row>
    <row r="23" spans="1:12" ht="17.25" customHeight="1" x14ac:dyDescent="0.35">
      <c r="A23" s="2"/>
      <c r="B23" s="16" t="s">
        <v>8</v>
      </c>
      <c r="C23" s="4"/>
      <c r="D23" s="18"/>
      <c r="E23" s="18"/>
      <c r="F23" s="22"/>
      <c r="G23" s="18"/>
      <c r="H23" s="22"/>
      <c r="I23" s="22"/>
      <c r="J23" s="22"/>
      <c r="K23" s="20">
        <f>SUM(K21:K22)</f>
        <v>150804.0640179154</v>
      </c>
    </row>
    <row r="24" spans="1:12" ht="17.25" customHeight="1" x14ac:dyDescent="0.35">
      <c r="A24" s="2"/>
      <c r="B24" s="16" t="s">
        <v>17</v>
      </c>
      <c r="C24" s="17">
        <v>0.18</v>
      </c>
      <c r="D24" s="18"/>
      <c r="E24" s="18"/>
      <c r="F24" s="22"/>
      <c r="G24" s="18"/>
      <c r="H24" s="22"/>
      <c r="I24" s="22"/>
      <c r="J24" s="22"/>
      <c r="K24" s="20">
        <f>K23*C24</f>
        <v>27144.731523224771</v>
      </c>
    </row>
    <row r="25" spans="1:12" ht="17.25" customHeight="1" x14ac:dyDescent="0.35">
      <c r="A25" s="2"/>
      <c r="B25" s="16" t="s">
        <v>18</v>
      </c>
      <c r="C25" s="4"/>
      <c r="D25" s="18"/>
      <c r="E25" s="18"/>
      <c r="F25" s="22"/>
      <c r="G25" s="18"/>
      <c r="H25" s="22"/>
      <c r="I25" s="22"/>
      <c r="J25" s="22"/>
      <c r="K25" s="20">
        <f>SUM(K23:K24)</f>
        <v>177948.79554114016</v>
      </c>
    </row>
    <row r="26" spans="1:12" ht="17.25" customHeight="1" x14ac:dyDescent="0.4">
      <c r="B26" s="36"/>
      <c r="C26" s="36"/>
      <c r="D26" s="36"/>
      <c r="E26" s="37"/>
      <c r="F26" s="36"/>
      <c r="G26" s="36"/>
      <c r="H26" s="36"/>
      <c r="I26" s="38"/>
      <c r="J26" s="38"/>
      <c r="K26" s="38"/>
    </row>
    <row r="27" spans="1:12" ht="36" customHeight="1" x14ac:dyDescent="0.35">
      <c r="A27" s="39" t="s">
        <v>0</v>
      </c>
      <c r="B27" s="39" t="s">
        <v>1</v>
      </c>
      <c r="C27" s="39" t="s">
        <v>2</v>
      </c>
      <c r="D27" s="39" t="s">
        <v>3</v>
      </c>
      <c r="E27" s="39" t="s">
        <v>4</v>
      </c>
      <c r="F27" s="39" t="s">
        <v>5</v>
      </c>
      <c r="G27" s="39" t="s">
        <v>6</v>
      </c>
      <c r="H27" s="39" t="s">
        <v>7</v>
      </c>
      <c r="I27" s="39" t="s">
        <v>33</v>
      </c>
      <c r="J27" s="39" t="s">
        <v>34</v>
      </c>
      <c r="K27" s="39" t="s">
        <v>8</v>
      </c>
    </row>
    <row r="28" spans="1:12" x14ac:dyDescent="0.35">
      <c r="A28" s="40">
        <v>1</v>
      </c>
      <c r="B28" s="40">
        <v>2</v>
      </c>
      <c r="C28" s="40">
        <v>3</v>
      </c>
      <c r="D28" s="40">
        <v>4</v>
      </c>
      <c r="E28" s="40">
        <v>5</v>
      </c>
      <c r="F28" s="40">
        <v>6</v>
      </c>
      <c r="G28" s="40">
        <v>7</v>
      </c>
      <c r="H28" s="40">
        <v>8</v>
      </c>
      <c r="I28" s="40">
        <v>9</v>
      </c>
      <c r="J28" s="40">
        <v>10</v>
      </c>
      <c r="K28" s="40">
        <v>11</v>
      </c>
    </row>
    <row r="29" spans="1:12" x14ac:dyDescent="0.35">
      <c r="A29" s="8"/>
      <c r="B29" s="41" t="s">
        <v>27</v>
      </c>
      <c r="C29" s="8"/>
      <c r="D29" s="8"/>
      <c r="E29" s="8"/>
      <c r="F29" s="8"/>
      <c r="G29" s="8"/>
      <c r="H29" s="8"/>
      <c r="I29" s="8"/>
      <c r="J29" s="8"/>
      <c r="K29" s="8"/>
    </row>
    <row r="30" spans="1:12" x14ac:dyDescent="0.35">
      <c r="A30" s="42">
        <v>1</v>
      </c>
      <c r="B30" s="23" t="s">
        <v>11</v>
      </c>
      <c r="C30" s="4" t="s">
        <v>10</v>
      </c>
      <c r="D30" s="1">
        <f>D31</f>
        <v>7525.2469999999994</v>
      </c>
      <c r="E30" s="1">
        <f>SUM(F31:F42)/D30</f>
        <v>139.28843159978231</v>
      </c>
      <c r="F30" s="1">
        <f>D30*E30</f>
        <v>1048179.852030967</v>
      </c>
      <c r="G30" s="1">
        <f>SUM(H31:H42)/D30</f>
        <v>64.96989026008049</v>
      </c>
      <c r="H30" s="1">
        <f t="shared" ref="H30:H38" si="6">D30*G30</f>
        <v>488914.47176999989</v>
      </c>
      <c r="I30" s="1">
        <f>SUM(J31:J42)/D30</f>
        <v>6.9729992924405924</v>
      </c>
      <c r="J30" s="1">
        <f>I30*D30</f>
        <v>52473.542006440686</v>
      </c>
      <c r="K30" s="1">
        <f t="shared" ref="K30:K47" si="7">F30+H30+J30</f>
        <v>1589567.8658074075</v>
      </c>
    </row>
    <row r="31" spans="1:12" hidden="1" outlineLevel="1" x14ac:dyDescent="0.35">
      <c r="A31" s="42"/>
      <c r="B31" s="3" t="s">
        <v>35</v>
      </c>
      <c r="C31" s="4" t="s">
        <v>10</v>
      </c>
      <c r="D31" s="1">
        <f>სამუშაო!I111</f>
        <v>7525.2469999999994</v>
      </c>
      <c r="E31" s="1"/>
      <c r="F31" s="1">
        <v>0</v>
      </c>
      <c r="G31" s="1">
        <f>ხელფასი!D3</f>
        <v>63.749999999999993</v>
      </c>
      <c r="H31" s="1">
        <f t="shared" si="6"/>
        <v>479734.49624999991</v>
      </c>
      <c r="I31" s="1"/>
      <c r="J31" s="1"/>
      <c r="K31" s="1">
        <f t="shared" si="7"/>
        <v>479734.49624999991</v>
      </c>
      <c r="L31" s="43"/>
    </row>
    <row r="32" spans="1:12" hidden="1" outlineLevel="1" x14ac:dyDescent="0.35">
      <c r="A32" s="2"/>
      <c r="B32" s="3" t="s">
        <v>195</v>
      </c>
      <c r="C32" s="4" t="s">
        <v>9</v>
      </c>
      <c r="D32" s="1">
        <f>60*1.02</f>
        <v>61.2</v>
      </c>
      <c r="E32" s="1">
        <f>მასალა!D5</f>
        <v>173.72881355932205</v>
      </c>
      <c r="F32" s="1">
        <f t="shared" ref="F32:F46" si="8">D32*E32</f>
        <v>10632.203389830511</v>
      </c>
      <c r="G32" s="1"/>
      <c r="H32" s="1">
        <f t="shared" si="6"/>
        <v>0</v>
      </c>
      <c r="I32" s="1">
        <f>1000/1.18</f>
        <v>847.45762711864415</v>
      </c>
      <c r="J32" s="1">
        <f>I32*6</f>
        <v>5084.7457627118647</v>
      </c>
      <c r="K32" s="1">
        <f t="shared" si="7"/>
        <v>15716.949152542376</v>
      </c>
    </row>
    <row r="33" spans="1:12" hidden="1" outlineLevel="1" x14ac:dyDescent="0.35">
      <c r="A33" s="2"/>
      <c r="B33" s="3" t="s">
        <v>38</v>
      </c>
      <c r="C33" s="4" t="s">
        <v>9</v>
      </c>
      <c r="D33" s="1">
        <f>1870*1.02</f>
        <v>1907.4</v>
      </c>
      <c r="E33" s="1">
        <f>მასალა!D6</f>
        <v>219.49152542372883</v>
      </c>
      <c r="F33" s="1">
        <f t="shared" si="8"/>
        <v>418658.13559322042</v>
      </c>
      <c r="G33" s="1"/>
      <c r="H33" s="1">
        <f t="shared" si="6"/>
        <v>0</v>
      </c>
      <c r="I33" s="1"/>
      <c r="J33" s="1"/>
      <c r="K33" s="1">
        <f t="shared" si="7"/>
        <v>418658.13559322042</v>
      </c>
    </row>
    <row r="34" spans="1:12" hidden="1" outlineLevel="1" x14ac:dyDescent="0.35">
      <c r="A34" s="2"/>
      <c r="B34" s="3" t="s">
        <v>45</v>
      </c>
      <c r="C34" s="4" t="s">
        <v>40</v>
      </c>
      <c r="D34" s="1">
        <f>321.6*1.1194</f>
        <v>359.99904000000004</v>
      </c>
      <c r="E34" s="1">
        <f>მასალა!D9</f>
        <v>98.305084745762713</v>
      </c>
      <c r="F34" s="1">
        <f t="shared" si="8"/>
        <v>35389.736135593223</v>
      </c>
      <c r="G34" s="1">
        <f>ხელფასი!D42</f>
        <v>25.5</v>
      </c>
      <c r="H34" s="1">
        <f t="shared" si="6"/>
        <v>9179.9755200000018</v>
      </c>
      <c r="I34" s="1">
        <v>8</v>
      </c>
      <c r="J34" s="1">
        <f>I34*D34</f>
        <v>2879.9923200000003</v>
      </c>
      <c r="K34" s="1">
        <f t="shared" si="7"/>
        <v>47449.70397559322</v>
      </c>
    </row>
    <row r="35" spans="1:12" hidden="1" outlineLevel="1" x14ac:dyDescent="0.35">
      <c r="A35" s="2"/>
      <c r="B35" s="3" t="s">
        <v>365</v>
      </c>
      <c r="C35" s="4" t="s">
        <v>40</v>
      </c>
      <c r="D35" s="1">
        <f>(3.1*8+3.7*8+2.6*6)*1.1</f>
        <v>77</v>
      </c>
      <c r="E35" s="1">
        <v>0</v>
      </c>
      <c r="F35" s="1">
        <f>D35*E35</f>
        <v>0</v>
      </c>
      <c r="G35" s="1">
        <v>0</v>
      </c>
      <c r="H35" s="1">
        <f>D35*G35</f>
        <v>0</v>
      </c>
      <c r="I35" s="1">
        <f>მომსახურება!D27</f>
        <v>177.96610169491527</v>
      </c>
      <c r="J35" s="1">
        <f>I35*D35+1500</f>
        <v>15203.389830508475</v>
      </c>
      <c r="K35" s="1">
        <f>F35+H35+J35</f>
        <v>15203.389830508475</v>
      </c>
    </row>
    <row r="36" spans="1:12" hidden="1" outlineLevel="1" x14ac:dyDescent="0.35">
      <c r="A36" s="2"/>
      <c r="B36" s="3" t="s">
        <v>43</v>
      </c>
      <c r="C36" s="4" t="s">
        <v>12</v>
      </c>
      <c r="D36" s="50">
        <v>0</v>
      </c>
      <c r="E36" s="1">
        <f>მასალა!$D$7</f>
        <v>1906.1864406779664</v>
      </c>
      <c r="F36" s="1">
        <f t="shared" si="8"/>
        <v>0</v>
      </c>
      <c r="G36" s="1"/>
      <c r="H36" s="1">
        <f t="shared" si="6"/>
        <v>0</v>
      </c>
      <c r="I36" s="1"/>
      <c r="J36" s="1"/>
      <c r="K36" s="1">
        <f t="shared" si="7"/>
        <v>0</v>
      </c>
    </row>
    <row r="37" spans="1:12" hidden="1" outlineLevel="1" x14ac:dyDescent="0.35">
      <c r="A37" s="2"/>
      <c r="B37" s="3" t="s">
        <v>13</v>
      </c>
      <c r="C37" s="4" t="s">
        <v>12</v>
      </c>
      <c r="D37" s="50">
        <f>239.843388295*1.05</f>
        <v>251.83555770975002</v>
      </c>
      <c r="E37" s="1">
        <f>მასალა!$D$7</f>
        <v>1906.1864406779664</v>
      </c>
      <c r="F37" s="1">
        <f t="shared" si="8"/>
        <v>480045.52538689901</v>
      </c>
      <c r="G37" s="1"/>
      <c r="H37" s="1">
        <f t="shared" si="6"/>
        <v>0</v>
      </c>
      <c r="I37" s="1"/>
      <c r="J37" s="1"/>
      <c r="K37" s="1">
        <f t="shared" si="7"/>
        <v>480045.52538689901</v>
      </c>
    </row>
    <row r="38" spans="1:12" hidden="1" outlineLevel="1" x14ac:dyDescent="0.35">
      <c r="A38" s="2"/>
      <c r="B38" s="3" t="s">
        <v>408</v>
      </c>
      <c r="C38" s="4" t="s">
        <v>10</v>
      </c>
      <c r="D38" s="1">
        <f>$D$31</f>
        <v>7525.2469999999994</v>
      </c>
      <c r="E38" s="1">
        <f>SUMIFS(მასალა!D3:D112,მასალა!B3:B112,ბიუჯეტი!B38)</f>
        <v>10.16949152542373</v>
      </c>
      <c r="F38" s="1">
        <f t="shared" si="8"/>
        <v>76527.935593220347</v>
      </c>
      <c r="G38" s="1"/>
      <c r="H38" s="1">
        <f t="shared" si="6"/>
        <v>0</v>
      </c>
      <c r="I38" s="1"/>
      <c r="J38" s="1"/>
      <c r="K38" s="1">
        <f t="shared" si="7"/>
        <v>76527.935593220347</v>
      </c>
    </row>
    <row r="39" spans="1:12" hidden="1" outlineLevel="1" x14ac:dyDescent="0.35">
      <c r="A39" s="2"/>
      <c r="B39" s="3" t="s">
        <v>363</v>
      </c>
      <c r="C39" s="4" t="s">
        <v>55</v>
      </c>
      <c r="D39" s="66">
        <f>D33*0.15</f>
        <v>286.11</v>
      </c>
      <c r="E39" s="1">
        <v>0</v>
      </c>
      <c r="F39" s="1">
        <f>D39*E39</f>
        <v>0</v>
      </c>
      <c r="G39" s="1"/>
      <c r="H39" s="1">
        <f>D39*G39</f>
        <v>0</v>
      </c>
      <c r="I39" s="1">
        <f>მომსახურება!D26</f>
        <v>42.372881355932208</v>
      </c>
      <c r="J39" s="1">
        <f>I39*D39</f>
        <v>12123.305084745765</v>
      </c>
      <c r="K39" s="1">
        <f>F39+H39+J39</f>
        <v>12123.305084745765</v>
      </c>
    </row>
    <row r="40" spans="1:12" hidden="1" outlineLevel="1" x14ac:dyDescent="0.35">
      <c r="A40" s="2"/>
      <c r="B40" s="3" t="s">
        <v>285</v>
      </c>
      <c r="C40" s="4" t="s">
        <v>55</v>
      </c>
      <c r="D40" s="1">
        <v>27</v>
      </c>
      <c r="E40" s="1">
        <v>0</v>
      </c>
      <c r="F40" s="1">
        <f>D40*E40</f>
        <v>0</v>
      </c>
      <c r="G40" s="1"/>
      <c r="H40" s="1">
        <f>D40*G40</f>
        <v>0</v>
      </c>
      <c r="I40" s="1">
        <f>მომსახურება!D25</f>
        <v>466.10169491525426</v>
      </c>
      <c r="J40" s="1">
        <f>I40*D40</f>
        <v>12584.745762711866</v>
      </c>
      <c r="K40" s="1">
        <f>F40+H40+J40</f>
        <v>12584.745762711866</v>
      </c>
    </row>
    <row r="41" spans="1:12" hidden="1" outlineLevel="1" x14ac:dyDescent="0.35">
      <c r="A41" s="42"/>
      <c r="B41" s="3" t="s">
        <v>256</v>
      </c>
      <c r="C41" s="4" t="s">
        <v>9</v>
      </c>
      <c r="D41" s="1">
        <f>64.5*15.8*0.12*1.02+30</f>
        <v>154.73784000000001</v>
      </c>
      <c r="E41" s="1">
        <f>მასალა!D4</f>
        <v>38.135593220338983</v>
      </c>
      <c r="F41" s="1">
        <f>D41*E41</f>
        <v>5901.0193220338988</v>
      </c>
      <c r="G41" s="1"/>
      <c r="H41" s="1">
        <f>G41*D41</f>
        <v>0</v>
      </c>
      <c r="I41" s="1">
        <f>7/1.18</f>
        <v>5.9322033898305087</v>
      </c>
      <c r="J41" s="1">
        <f>I41*D41</f>
        <v>917.93633898305086</v>
      </c>
      <c r="K41" s="1">
        <f>F41+H41+J41</f>
        <v>6818.9556610169493</v>
      </c>
      <c r="L41" s="43"/>
    </row>
    <row r="42" spans="1:12" hidden="1" outlineLevel="1" x14ac:dyDescent="0.35">
      <c r="A42" s="42"/>
      <c r="B42" s="3" t="s">
        <v>196</v>
      </c>
      <c r="C42" s="4" t="s">
        <v>9</v>
      </c>
      <c r="D42" s="1">
        <f>(65.5+16.5)*1.5*3.2*1.3+65.5*0.85*1.5*1.3</f>
        <v>620.24625000000003</v>
      </c>
      <c r="E42" s="1">
        <f>მასალა!D3</f>
        <v>33.898305084745765</v>
      </c>
      <c r="F42" s="1">
        <f t="shared" si="8"/>
        <v>21025.296610169495</v>
      </c>
      <c r="G42" s="1"/>
      <c r="H42" s="1">
        <f>G42*D42</f>
        <v>0</v>
      </c>
      <c r="I42" s="1">
        <f>7/1.18</f>
        <v>5.9322033898305087</v>
      </c>
      <c r="J42" s="1">
        <f>I42*D42</f>
        <v>3679.4269067796613</v>
      </c>
      <c r="K42" s="1">
        <f t="shared" si="7"/>
        <v>24704.723516949154</v>
      </c>
      <c r="L42" s="43"/>
    </row>
    <row r="43" spans="1:12" collapsed="1" x14ac:dyDescent="0.35">
      <c r="A43" s="51">
        <v>2</v>
      </c>
      <c r="B43" s="23" t="s">
        <v>247</v>
      </c>
      <c r="C43" s="4" t="s">
        <v>10</v>
      </c>
      <c r="D43" s="1">
        <f>(61.7+15.2)*3.15+(61.7*0.85)</f>
        <v>294.68</v>
      </c>
      <c r="E43" s="1">
        <f>SUM(F44:F46)/D43</f>
        <v>2.6271186440677972</v>
      </c>
      <c r="F43" s="1">
        <f t="shared" si="8"/>
        <v>774.15932203389843</v>
      </c>
      <c r="G43" s="1">
        <f>SUM(H44:H46)/D43</f>
        <v>0</v>
      </c>
      <c r="H43" s="1">
        <f>G43*D43</f>
        <v>0</v>
      </c>
      <c r="I43" s="1">
        <f>მომსახურება!D33</f>
        <v>53.389830508474581</v>
      </c>
      <c r="J43" s="1">
        <f>D43*I43</f>
        <v>15732.91525423729</v>
      </c>
      <c r="K43" s="1">
        <f t="shared" si="7"/>
        <v>16507.074576271189</v>
      </c>
      <c r="L43" s="43"/>
    </row>
    <row r="44" spans="1:12" hidden="1" outlineLevel="1" x14ac:dyDescent="0.35">
      <c r="A44" s="51"/>
      <c r="B44" s="23" t="s">
        <v>427</v>
      </c>
      <c r="C44" s="4" t="s">
        <v>10</v>
      </c>
      <c r="D44" s="1">
        <f>D43</f>
        <v>294.68</v>
      </c>
      <c r="E44" s="1"/>
      <c r="F44" s="1">
        <f t="shared" si="8"/>
        <v>0</v>
      </c>
      <c r="G44" s="1">
        <v>0</v>
      </c>
      <c r="H44" s="1">
        <f>D44*G44</f>
        <v>0</v>
      </c>
      <c r="I44" s="1"/>
      <c r="J44" s="1">
        <f>D44*I44</f>
        <v>0</v>
      </c>
      <c r="K44" s="1">
        <f t="shared" si="7"/>
        <v>0</v>
      </c>
      <c r="L44" s="43"/>
    </row>
    <row r="45" spans="1:12" hidden="1" outlineLevel="1" x14ac:dyDescent="0.35">
      <c r="A45" s="51"/>
      <c r="B45" s="3" t="s">
        <v>359</v>
      </c>
      <c r="C45" s="4" t="s">
        <v>248</v>
      </c>
      <c r="D45" s="1">
        <f>D44*1.05</f>
        <v>309.41400000000004</v>
      </c>
      <c r="E45" s="1">
        <f>მასალა!D91</f>
        <v>1.6949152542372883</v>
      </c>
      <c r="F45" s="1">
        <f>D45*E45</f>
        <v>524.43050847457641</v>
      </c>
      <c r="G45" s="1"/>
      <c r="H45" s="1">
        <f>D45*G45</f>
        <v>0</v>
      </c>
      <c r="I45" s="1"/>
      <c r="J45" s="1"/>
      <c r="K45" s="1">
        <f>F45+H45</f>
        <v>524.43050847457641</v>
      </c>
      <c r="L45" s="43"/>
    </row>
    <row r="46" spans="1:12" hidden="1" outlineLevel="1" x14ac:dyDescent="0.35">
      <c r="A46" s="51"/>
      <c r="B46" s="3" t="s">
        <v>429</v>
      </c>
      <c r="C46" s="4" t="s">
        <v>10</v>
      </c>
      <c r="D46" s="1">
        <f>D44</f>
        <v>294.68</v>
      </c>
      <c r="E46" s="1">
        <f>მასალა!D95</f>
        <v>0.84745762711864414</v>
      </c>
      <c r="F46" s="1">
        <f t="shared" si="8"/>
        <v>249.72881355932205</v>
      </c>
      <c r="G46" s="1"/>
      <c r="H46" s="1">
        <f>D46*G46</f>
        <v>0</v>
      </c>
      <c r="I46" s="1"/>
      <c r="J46" s="1"/>
      <c r="K46" s="1">
        <f>F46+H46</f>
        <v>249.72881355932205</v>
      </c>
      <c r="L46" s="43"/>
    </row>
    <row r="47" spans="1:12" ht="17.25" customHeight="1" collapsed="1" x14ac:dyDescent="0.35">
      <c r="A47" s="51">
        <v>3</v>
      </c>
      <c r="B47" s="23" t="s">
        <v>37</v>
      </c>
      <c r="C47" s="4" t="s">
        <v>39</v>
      </c>
      <c r="D47" s="1">
        <v>3</v>
      </c>
      <c r="E47" s="1">
        <f>9500/1.18</f>
        <v>8050.8474576271192</v>
      </c>
      <c r="F47" s="1">
        <f>D47*E47</f>
        <v>24152.542372881358</v>
      </c>
      <c r="G47" s="1"/>
      <c r="H47" s="1">
        <f>D47*G47</f>
        <v>0</v>
      </c>
      <c r="I47" s="1">
        <f>9500/1.18</f>
        <v>8050.8474576271192</v>
      </c>
      <c r="J47" s="1">
        <f>I47*D47</f>
        <v>24152.542372881358</v>
      </c>
      <c r="K47" s="71">
        <f t="shared" si="7"/>
        <v>48305.084745762717</v>
      </c>
    </row>
    <row r="48" spans="1:12" ht="17.25" customHeight="1" x14ac:dyDescent="0.35">
      <c r="A48" s="51">
        <v>4</v>
      </c>
      <c r="B48" s="23" t="s">
        <v>29</v>
      </c>
      <c r="C48" s="4" t="s">
        <v>30</v>
      </c>
      <c r="D48" s="1">
        <v>60</v>
      </c>
      <c r="E48" s="1"/>
      <c r="F48" s="1">
        <f>D48*E48</f>
        <v>0</v>
      </c>
      <c r="G48" s="1">
        <f>4*80*1.275</f>
        <v>408</v>
      </c>
      <c r="H48" s="1">
        <f>G48*D48</f>
        <v>24480</v>
      </c>
      <c r="I48" s="1">
        <v>0</v>
      </c>
      <c r="J48" s="1">
        <v>0</v>
      </c>
      <c r="K48" s="1">
        <f>F48+H48</f>
        <v>24480</v>
      </c>
    </row>
    <row r="49" spans="1:25" ht="17.25" customHeight="1" x14ac:dyDescent="0.35">
      <c r="A49" s="2"/>
      <c r="B49" s="16" t="s">
        <v>8</v>
      </c>
      <c r="C49" s="4"/>
      <c r="D49" s="25"/>
      <c r="E49" s="25"/>
      <c r="F49" s="25">
        <f>F48+F47+F30+F43</f>
        <v>1073106.5537258822</v>
      </c>
      <c r="G49" s="25"/>
      <c r="H49" s="25">
        <f>H48+H47+H30+H43</f>
        <v>513394.47176999989</v>
      </c>
      <c r="I49" s="25"/>
      <c r="J49" s="25">
        <f>J48+J47+J30+J43</f>
        <v>92358.999633559331</v>
      </c>
      <c r="K49" s="25">
        <f>K48+K47+K30+K43</f>
        <v>1678860.0251294414</v>
      </c>
    </row>
    <row r="50" spans="1:25" ht="17.25" customHeight="1" x14ac:dyDescent="0.35">
      <c r="A50" s="2"/>
      <c r="B50" s="16" t="s">
        <v>15</v>
      </c>
      <c r="C50" s="17">
        <v>7.3999999999999996E-2</v>
      </c>
      <c r="D50" s="18"/>
      <c r="E50" s="19"/>
      <c r="F50" s="20"/>
      <c r="G50" s="18"/>
      <c r="H50" s="20"/>
      <c r="I50" s="20"/>
      <c r="J50" s="20"/>
      <c r="K50" s="20">
        <f>K49*C50</f>
        <v>124235.64185957865</v>
      </c>
    </row>
    <row r="51" spans="1:25" ht="17.25" customHeight="1" x14ac:dyDescent="0.35">
      <c r="A51" s="2"/>
      <c r="B51" s="16" t="s">
        <v>8</v>
      </c>
      <c r="C51" s="21"/>
      <c r="D51" s="18"/>
      <c r="E51" s="19"/>
      <c r="F51" s="20"/>
      <c r="G51" s="18"/>
      <c r="H51" s="22"/>
      <c r="I51" s="20"/>
      <c r="J51" s="20"/>
      <c r="K51" s="20">
        <f>SUM(K49:K50)</f>
        <v>1803095.6669890201</v>
      </c>
    </row>
    <row r="52" spans="1:25" ht="17.25" customHeight="1" x14ac:dyDescent="0.35">
      <c r="A52" s="2"/>
      <c r="B52" s="16" t="s">
        <v>41</v>
      </c>
      <c r="C52" s="17">
        <v>4.65E-2</v>
      </c>
      <c r="D52" s="18"/>
      <c r="E52" s="19"/>
      <c r="F52" s="22"/>
      <c r="G52" s="18"/>
      <c r="H52" s="22"/>
      <c r="I52" s="22"/>
      <c r="J52" s="22"/>
      <c r="K52" s="20">
        <f>K51*C52</f>
        <v>83843.948514989432</v>
      </c>
    </row>
    <row r="53" spans="1:25" ht="17.25" customHeight="1" x14ac:dyDescent="0.35">
      <c r="A53" s="2"/>
      <c r="B53" s="16" t="s">
        <v>8</v>
      </c>
      <c r="C53" s="4"/>
      <c r="D53" s="18"/>
      <c r="E53" s="18"/>
      <c r="F53" s="22"/>
      <c r="G53" s="18"/>
      <c r="H53" s="22"/>
      <c r="I53" s="22"/>
      <c r="J53" s="22"/>
      <c r="K53" s="20">
        <f>SUM(K51:K52)</f>
        <v>1886939.6155040094</v>
      </c>
    </row>
    <row r="54" spans="1:25" ht="17.25" customHeight="1" x14ac:dyDescent="0.35">
      <c r="A54" s="2"/>
      <c r="B54" s="16" t="s">
        <v>42</v>
      </c>
      <c r="C54" s="17">
        <v>3.5000000000000003E-2</v>
      </c>
      <c r="D54" s="18"/>
      <c r="E54" s="19"/>
      <c r="F54" s="22"/>
      <c r="G54" s="18"/>
      <c r="H54" s="22"/>
      <c r="I54" s="22"/>
      <c r="J54" s="22"/>
      <c r="K54" s="20">
        <f>K53*C54</f>
        <v>66042.886542640335</v>
      </c>
    </row>
    <row r="55" spans="1:25" ht="17.25" customHeight="1" x14ac:dyDescent="0.35">
      <c r="A55" s="2"/>
      <c r="B55" s="16" t="s">
        <v>8</v>
      </c>
      <c r="C55" s="4"/>
      <c r="D55" s="18"/>
      <c r="E55" s="18"/>
      <c r="F55" s="22"/>
      <c r="G55" s="18"/>
      <c r="H55" s="22"/>
      <c r="I55" s="22"/>
      <c r="J55" s="22"/>
      <c r="K55" s="20">
        <f>SUM(K53:K54)</f>
        <v>1952982.5020466498</v>
      </c>
    </row>
    <row r="56" spans="1:25" ht="17.25" customHeight="1" x14ac:dyDescent="0.35">
      <c r="A56" s="2"/>
      <c r="B56" s="16" t="s">
        <v>16</v>
      </c>
      <c r="C56" s="17">
        <v>0.16500000000000001</v>
      </c>
      <c r="D56" s="18"/>
      <c r="E56" s="19"/>
      <c r="F56" s="22"/>
      <c r="G56" s="18"/>
      <c r="H56" s="22"/>
      <c r="I56" s="22"/>
      <c r="J56" s="22"/>
      <c r="K56" s="20">
        <f>K55*C56</f>
        <v>322242.11283769726</v>
      </c>
    </row>
    <row r="57" spans="1:25" ht="17.25" customHeight="1" x14ac:dyDescent="0.35">
      <c r="A57" s="2"/>
      <c r="B57" s="16" t="s">
        <v>8</v>
      </c>
      <c r="C57" s="4"/>
      <c r="D57" s="18"/>
      <c r="E57" s="18"/>
      <c r="F57" s="22"/>
      <c r="G57" s="18"/>
      <c r="H57" s="22"/>
      <c r="I57" s="22"/>
      <c r="J57" s="22"/>
      <c r="K57" s="20">
        <f>SUM(K55:K56)</f>
        <v>2275224.6148843472</v>
      </c>
    </row>
    <row r="58" spans="1:25" ht="17.25" customHeight="1" x14ac:dyDescent="0.35">
      <c r="A58" s="2"/>
      <c r="B58" s="16" t="s">
        <v>17</v>
      </c>
      <c r="C58" s="17">
        <v>0.18</v>
      </c>
      <c r="D58" s="18"/>
      <c r="E58" s="18"/>
      <c r="F58" s="22"/>
      <c r="G58" s="18"/>
      <c r="H58" s="22"/>
      <c r="I58" s="22"/>
      <c r="J58" s="22"/>
      <c r="K58" s="20">
        <f>K57*C58</f>
        <v>409540.43067918246</v>
      </c>
    </row>
    <row r="59" spans="1:25" ht="17.25" customHeight="1" x14ac:dyDescent="0.35">
      <c r="A59" s="2"/>
      <c r="B59" s="16" t="s">
        <v>18</v>
      </c>
      <c r="C59" s="4"/>
      <c r="D59" s="18"/>
      <c r="E59" s="18"/>
      <c r="F59" s="22"/>
      <c r="G59" s="18"/>
      <c r="H59" s="22"/>
      <c r="I59" s="22"/>
      <c r="J59" s="22"/>
      <c r="K59" s="20">
        <f>SUM(K57:K58)</f>
        <v>2684765.0455635297</v>
      </c>
    </row>
    <row r="60" spans="1:25" x14ac:dyDescent="0.35">
      <c r="L60" s="43"/>
    </row>
    <row r="61" spans="1:25" ht="32" x14ac:dyDescent="0.35">
      <c r="A61" s="44"/>
      <c r="B61" s="45" t="s">
        <v>46</v>
      </c>
      <c r="C61" s="44"/>
      <c r="D61" s="44"/>
      <c r="E61" s="44"/>
      <c r="F61" s="44"/>
      <c r="G61" s="44"/>
      <c r="H61" s="44"/>
      <c r="I61" s="44"/>
      <c r="J61" s="44"/>
      <c r="K61" s="44"/>
      <c r="M61" s="39" t="s">
        <v>3</v>
      </c>
      <c r="N61" s="39" t="s">
        <v>4</v>
      </c>
      <c r="O61" s="39" t="s">
        <v>5</v>
      </c>
      <c r="P61" s="39" t="s">
        <v>6</v>
      </c>
      <c r="Q61" s="39" t="s">
        <v>7</v>
      </c>
      <c r="R61" s="39" t="s">
        <v>33</v>
      </c>
      <c r="S61" s="39" t="s">
        <v>34</v>
      </c>
      <c r="T61" s="39" t="s">
        <v>8</v>
      </c>
      <c r="V61" s="75" t="s">
        <v>439</v>
      </c>
      <c r="W61" s="75" t="s">
        <v>440</v>
      </c>
      <c r="X61" s="75" t="s">
        <v>441</v>
      </c>
    </row>
    <row r="62" spans="1:25" x14ac:dyDescent="0.35">
      <c r="A62" s="51">
        <v>1</v>
      </c>
      <c r="B62" s="23" t="s">
        <v>47</v>
      </c>
      <c r="C62" s="4" t="s">
        <v>10</v>
      </c>
      <c r="D62" s="1">
        <f>SUM(,D63,D72,D81)</f>
        <v>4153.3832000000002</v>
      </c>
      <c r="E62" s="1">
        <f>SUM(F82:F89,F73:F80,F64:F71,)/D62</f>
        <v>27.23742858657894</v>
      </c>
      <c r="F62" s="1">
        <f t="shared" ref="F62:F136" si="9">D62*E62</f>
        <v>113127.47830269672</v>
      </c>
      <c r="G62" s="1">
        <f>SUM(H86,H81,H77,H72,H65,H63,)/D62</f>
        <v>24.350601607142824</v>
      </c>
      <c r="H62" s="1">
        <f>G62*D62</f>
        <v>101137.37962500002</v>
      </c>
      <c r="I62" s="1">
        <v>0</v>
      </c>
      <c r="J62" s="1">
        <v>0</v>
      </c>
      <c r="K62" s="1">
        <f>F62+H62+J62</f>
        <v>214264.85792769672</v>
      </c>
      <c r="M62" s="77">
        <f>VLOOKUP($B62,[1]ბიუჯეტი!$B:$K,3,FALSE)</f>
        <v>4151.9690000000001</v>
      </c>
      <c r="N62" s="77">
        <f>VLOOKUP($B62,[1]ბიუჯეტი!$B:$K,4,FALSE)</f>
        <v>27.127081185359391</v>
      </c>
      <c r="O62" s="77">
        <f>VLOOKUP($B62,[1]ბიუჯეტი!$B:$K,5,FALSE)</f>
        <v>112630.80014209544</v>
      </c>
      <c r="P62" s="77">
        <f>VLOOKUP($B62,[1]ბიუჯეტი!$B:$K,6,FALSE)</f>
        <v>24.242506123299574</v>
      </c>
      <c r="Q62" s="77">
        <f>VLOOKUP($B62,[1]ბიუჯეტი!$B:$K,7,FALSE)</f>
        <v>100654.13390625</v>
      </c>
      <c r="R62" s="77">
        <f>VLOOKUP($B62,[1]ბიუჯეტი!$B:$K,8,FALSE)</f>
        <v>0</v>
      </c>
      <c r="S62" s="77">
        <f>VLOOKUP($B62,[1]ბიუჯეტი!$B:$K,9,FALSE)</f>
        <v>0</v>
      </c>
      <c r="T62" s="77">
        <f>VLOOKUP($B62,[1]ბიუჯეტი!$B:$K,10,FALSE)</f>
        <v>213284.93404834543</v>
      </c>
      <c r="V62" s="78">
        <f>E62-N62</f>
        <v>0.11034740121954911</v>
      </c>
      <c r="W62" s="78">
        <f>G62-P62</f>
        <v>0.10809548384325041</v>
      </c>
      <c r="X62" s="78">
        <f>I62-R62</f>
        <v>0</v>
      </c>
      <c r="Y62" s="78">
        <f>D62-M62</f>
        <v>1.4142000000001644</v>
      </c>
    </row>
    <row r="63" spans="1:25" hidden="1" outlineLevel="1" x14ac:dyDescent="0.35">
      <c r="A63" s="51">
        <v>1</v>
      </c>
      <c r="B63" s="23" t="s">
        <v>255</v>
      </c>
      <c r="C63" s="4" t="s">
        <v>10</v>
      </c>
      <c r="D63" s="1">
        <f>სამუშაო!I4</f>
        <v>722.33759999999984</v>
      </c>
      <c r="E63" s="1"/>
      <c r="F63" s="1">
        <f t="shared" si="9"/>
        <v>0</v>
      </c>
      <c r="G63" s="1">
        <f>ხელფასი!D4</f>
        <v>23.90625</v>
      </c>
      <c r="H63" s="1">
        <f t="shared" ref="H63:H89" si="10">D63*G63</f>
        <v>17268.383249999995</v>
      </c>
      <c r="I63" s="1"/>
      <c r="J63" s="1"/>
      <c r="K63" s="1">
        <f t="shared" ref="K63:K89" si="11">F63+H63</f>
        <v>17268.383249999995</v>
      </c>
      <c r="M63" s="77">
        <f>VLOOKUP(B63,[1]ბიუჯეტი!$B:$K,3,FALSE)</f>
        <v>658.10799999999995</v>
      </c>
      <c r="N63" s="77">
        <f>VLOOKUP($B63,[1]ბიუჯეტი!$B:$K,4,FALSE)</f>
        <v>0</v>
      </c>
      <c r="O63" s="77">
        <f>VLOOKUP($B63,[1]ბიუჯეტი!$B:$K,5,FALSE)</f>
        <v>0</v>
      </c>
      <c r="P63" s="77">
        <f>VLOOKUP($B63,[1]ბიუჯეტი!$B:$K,6,FALSE)</f>
        <v>23.90625</v>
      </c>
      <c r="Q63" s="77">
        <f>VLOOKUP($B63,[1]ბიუჯეტი!$B:$K,7,FALSE)</f>
        <v>15732.894374999998</v>
      </c>
      <c r="R63" s="77">
        <f>VLOOKUP($B63,[1]ბიუჯეტი!$B:$K,8,FALSE)</f>
        <v>0</v>
      </c>
      <c r="S63" s="77">
        <f>VLOOKUP($B63,[1]ბიუჯეტი!$B:$K,9,FALSE)</f>
        <v>0</v>
      </c>
      <c r="T63" s="77">
        <f>VLOOKUP($B63,[1]ბიუჯეტი!$B:$K,10,FALSE)</f>
        <v>15732.894374999998</v>
      </c>
      <c r="V63" s="78">
        <f t="shared" ref="V63:V126" si="12">E63-N63</f>
        <v>0</v>
      </c>
      <c r="W63" s="78">
        <f t="shared" ref="W63:W126" si="13">G63-P63</f>
        <v>0</v>
      </c>
      <c r="X63" s="78">
        <f t="shared" ref="X63:X126" si="14">I63-R63</f>
        <v>0</v>
      </c>
      <c r="Y63" s="78">
        <f t="shared" ref="Y63:Y126" si="15">D63-M63</f>
        <v>64.229599999999891</v>
      </c>
    </row>
    <row r="64" spans="1:25" hidden="1" outlineLevel="1" x14ac:dyDescent="0.35">
      <c r="A64" s="51"/>
      <c r="B64" s="3" t="s">
        <v>48</v>
      </c>
      <c r="C64" s="4" t="s">
        <v>49</v>
      </c>
      <c r="D64" s="1">
        <f>D63*13</f>
        <v>9390.388799999997</v>
      </c>
      <c r="E64" s="1">
        <f>SUMIFS(მასალა!D3:D139,მასალა!B3:B139,ბიუჯეტი!B64)</f>
        <v>1.6694915254237288</v>
      </c>
      <c r="F64" s="1">
        <f t="shared" si="9"/>
        <v>15677.174522033893</v>
      </c>
      <c r="G64" s="1"/>
      <c r="H64" s="1">
        <f t="shared" si="10"/>
        <v>0</v>
      </c>
      <c r="I64" s="1"/>
      <c r="J64" s="1"/>
      <c r="K64" s="1">
        <f t="shared" si="11"/>
        <v>15677.174522033893</v>
      </c>
      <c r="M64" s="77">
        <f>VLOOKUP(B64,[1]ბიუჯეტი!$B:$K,3,FALSE)</f>
        <v>8555.4039999999986</v>
      </c>
      <c r="N64" s="77">
        <f>VLOOKUP($B64,[1]ბიუჯეტი!$B:$K,4,FALSE)</f>
        <v>1.6694915254237288</v>
      </c>
      <c r="O64" s="77">
        <f>VLOOKUP($B64,[1]ბიუჯეტი!$B:$K,5,FALSE)</f>
        <v>14283.174474576268</v>
      </c>
      <c r="P64" s="77">
        <f>VLOOKUP($B64,[1]ბიუჯეტი!$B:$K,6,FALSE)</f>
        <v>0</v>
      </c>
      <c r="Q64" s="77">
        <f>VLOOKUP($B64,[1]ბიუჯეტი!$B:$K,7,FALSE)</f>
        <v>0</v>
      </c>
      <c r="R64" s="77">
        <f>VLOOKUP($B64,[1]ბიუჯეტი!$B:$K,8,FALSE)</f>
        <v>0</v>
      </c>
      <c r="S64" s="77">
        <f>VLOOKUP($B64,[1]ბიუჯეტი!$B:$K,9,FALSE)</f>
        <v>0</v>
      </c>
      <c r="T64" s="77">
        <f>VLOOKUP($B64,[1]ბიუჯეტი!$B:$K,10,FALSE)</f>
        <v>14283.174474576268</v>
      </c>
      <c r="V64" s="78">
        <f t="shared" si="12"/>
        <v>0</v>
      </c>
      <c r="W64" s="78">
        <f t="shared" si="13"/>
        <v>0</v>
      </c>
      <c r="X64" s="78">
        <f t="shared" si="14"/>
        <v>0</v>
      </c>
      <c r="Y64" s="78">
        <f t="shared" si="15"/>
        <v>834.98479999999836</v>
      </c>
    </row>
    <row r="65" spans="1:25" hidden="1" outlineLevel="1" x14ac:dyDescent="0.35">
      <c r="A65" s="51"/>
      <c r="B65" s="3" t="s">
        <v>368</v>
      </c>
      <c r="C65" s="4" t="s">
        <v>40</v>
      </c>
      <c r="D65" s="1">
        <f>სამუშაო!H4</f>
        <v>7.5</v>
      </c>
      <c r="E65" s="1">
        <f>SUMIFS(მასალა!D4:D140,მასალა!B4:B140,ბიუჯეტი!B65)</f>
        <v>0</v>
      </c>
      <c r="F65" s="1">
        <f t="shared" si="9"/>
        <v>0</v>
      </c>
      <c r="G65" s="1">
        <f>ხელფასი!D6</f>
        <v>51</v>
      </c>
      <c r="H65" s="1">
        <f t="shared" si="10"/>
        <v>382.5</v>
      </c>
      <c r="I65" s="1"/>
      <c r="J65" s="1"/>
      <c r="K65" s="1">
        <f t="shared" si="11"/>
        <v>382.5</v>
      </c>
      <c r="M65" s="77">
        <f>VLOOKUP(B65,[1]ბიუჯეტი!$B:$K,3,FALSE)</f>
        <v>3</v>
      </c>
      <c r="N65" s="77">
        <f>VLOOKUP($B65,[1]ბიუჯეტი!$B:$K,4,FALSE)</f>
        <v>0</v>
      </c>
      <c r="O65" s="77">
        <f>VLOOKUP($B65,[1]ბიუჯეტი!$B:$K,5,FALSE)</f>
        <v>0</v>
      </c>
      <c r="P65" s="77">
        <f>VLOOKUP($B65,[1]ბიუჯეტი!$B:$K,6,FALSE)</f>
        <v>44.625</v>
      </c>
      <c r="Q65" s="77">
        <f>VLOOKUP($B65,[1]ბიუჯეტი!$B:$K,7,FALSE)</f>
        <v>133.875</v>
      </c>
      <c r="R65" s="77">
        <f>VLOOKUP($B65,[1]ბიუჯეტი!$B:$K,8,FALSE)</f>
        <v>0</v>
      </c>
      <c r="S65" s="77">
        <f>VLOOKUP($B65,[1]ბიუჯეტი!$B:$K,9,FALSE)</f>
        <v>0</v>
      </c>
      <c r="T65" s="77">
        <f>VLOOKUP($B65,[1]ბიუჯეტი!$B:$K,10,FALSE)</f>
        <v>133.875</v>
      </c>
      <c r="V65" s="78">
        <f t="shared" si="12"/>
        <v>0</v>
      </c>
      <c r="W65" s="78">
        <f t="shared" si="13"/>
        <v>6.375</v>
      </c>
      <c r="X65" s="78">
        <f t="shared" si="14"/>
        <v>0</v>
      </c>
      <c r="Y65" s="78">
        <f t="shared" si="15"/>
        <v>4.5</v>
      </c>
    </row>
    <row r="66" spans="1:25" hidden="1" outlineLevel="1" x14ac:dyDescent="0.35">
      <c r="A66" s="51"/>
      <c r="B66" s="3" t="s">
        <v>38</v>
      </c>
      <c r="C66" s="4" t="s">
        <v>244</v>
      </c>
      <c r="D66" s="1">
        <f>(D65+D68)*0.2*0.4*1.05</f>
        <v>1.0080000000000002</v>
      </c>
      <c r="E66" s="1">
        <f>SUMIFS(მასალა!D3:D141,მასალა!B3:B141,ბიუჯეტი!B66)</f>
        <v>219.49152542372883</v>
      </c>
      <c r="F66" s="1">
        <f>D66*E66</f>
        <v>221.24745762711871</v>
      </c>
      <c r="G66" s="1"/>
      <c r="H66" s="1">
        <f>D66*G66</f>
        <v>0</v>
      </c>
      <c r="I66" s="1"/>
      <c r="J66" s="1"/>
      <c r="K66" s="1">
        <f>F66+H66</f>
        <v>221.24745762711871</v>
      </c>
      <c r="M66" s="77">
        <f>VLOOKUP(B66,[1]ბიუჯეტი!$B:$K,3,FALSE)</f>
        <v>1850.79</v>
      </c>
      <c r="N66" s="77">
        <f>VLOOKUP($B66,[1]ბიუჯეტი!$B:$K,4,FALSE)</f>
        <v>219.49152542372883</v>
      </c>
      <c r="O66" s="77">
        <f>VLOOKUP($B66,[1]ბიუჯეტი!$B:$K,5,FALSE)</f>
        <v>406232.72033898305</v>
      </c>
      <c r="P66" s="77">
        <f>VLOOKUP($B66,[1]ბიუჯეტი!$B:$K,6,FALSE)</f>
        <v>0</v>
      </c>
      <c r="Q66" s="77">
        <f>VLOOKUP($B66,[1]ბიუჯეტი!$B:$K,7,FALSE)</f>
        <v>0</v>
      </c>
      <c r="R66" s="77">
        <f>VLOOKUP($B66,[1]ბიუჯეტი!$B:$K,8,FALSE)</f>
        <v>0</v>
      </c>
      <c r="S66" s="77">
        <f>VLOOKUP($B66,[1]ბიუჯეტი!$B:$K,9,FALSE)</f>
        <v>0</v>
      </c>
      <c r="T66" s="77">
        <f>VLOOKUP($B66,[1]ბიუჯეტი!$B:$K,10,FALSE)</f>
        <v>406232.72033898305</v>
      </c>
      <c r="V66" s="78">
        <f t="shared" si="12"/>
        <v>0</v>
      </c>
      <c r="W66" s="78">
        <f t="shared" si="13"/>
        <v>0</v>
      </c>
      <c r="X66" s="78">
        <f t="shared" si="14"/>
        <v>0</v>
      </c>
      <c r="Y66" s="78">
        <f t="shared" si="15"/>
        <v>-1849.7819999999999</v>
      </c>
    </row>
    <row r="67" spans="1:25" hidden="1" outlineLevel="1" x14ac:dyDescent="0.35">
      <c r="A67" s="51"/>
      <c r="B67" s="3" t="s">
        <v>13</v>
      </c>
      <c r="C67" s="4" t="s">
        <v>250</v>
      </c>
      <c r="D67" s="1">
        <v>1.4999999999999999E-2</v>
      </c>
      <c r="E67" s="1">
        <f>SUMIFS(მასალა!D3:D142,მასალა!B3:B142,ბიუჯეტი!B67)</f>
        <v>0</v>
      </c>
      <c r="F67" s="1">
        <f>D67*E67</f>
        <v>0</v>
      </c>
      <c r="G67" s="1"/>
      <c r="H67" s="1">
        <f>D67*G67</f>
        <v>0</v>
      </c>
      <c r="I67" s="1"/>
      <c r="J67" s="1"/>
      <c r="K67" s="1">
        <f>F67+H67</f>
        <v>0</v>
      </c>
      <c r="M67" s="77">
        <f>VLOOKUP(B67,[1]ბიუჯეტი!$B:$K,3,FALSE)</f>
        <v>228.13875000000002</v>
      </c>
      <c r="N67" s="77">
        <f>VLOOKUP($B67,[1]ბიუჯეტი!$B:$K,4,FALSE)</f>
        <v>1931.2271186440678</v>
      </c>
      <c r="O67" s="77">
        <f>VLOOKUP($B67,[1]ბიუჯეტი!$B:$K,5,FALSE)</f>
        <v>440587.74081355933</v>
      </c>
      <c r="P67" s="77">
        <f>VLOOKUP($B67,[1]ბიუჯეტი!$B:$K,6,FALSE)</f>
        <v>0</v>
      </c>
      <c r="Q67" s="77">
        <f>VLOOKUP($B67,[1]ბიუჯეტი!$B:$K,7,FALSE)</f>
        <v>0</v>
      </c>
      <c r="R67" s="77">
        <f>VLOOKUP($B67,[1]ბიუჯეტი!$B:$K,8,FALSE)</f>
        <v>0</v>
      </c>
      <c r="S67" s="77">
        <f>VLOOKUP($B67,[1]ბიუჯეტი!$B:$K,9,FALSE)</f>
        <v>0</v>
      </c>
      <c r="T67" s="77">
        <f>VLOOKUP($B67,[1]ბიუჯეტი!$B:$K,10,FALSE)</f>
        <v>440587.74081355933</v>
      </c>
      <c r="V67" s="78">
        <f t="shared" si="12"/>
        <v>-1931.2271186440678</v>
      </c>
      <c r="W67" s="78">
        <f t="shared" si="13"/>
        <v>0</v>
      </c>
      <c r="X67" s="78">
        <f t="shared" si="14"/>
        <v>0</v>
      </c>
      <c r="Y67" s="78">
        <f t="shared" si="15"/>
        <v>-228.12375000000003</v>
      </c>
    </row>
    <row r="68" spans="1:25" hidden="1" outlineLevel="1" x14ac:dyDescent="0.35">
      <c r="A68" s="51"/>
      <c r="B68" s="3" t="s">
        <v>191</v>
      </c>
      <c r="C68" s="4" t="s">
        <v>190</v>
      </c>
      <c r="D68" s="1">
        <f>სამუშაო!G4</f>
        <v>4.5</v>
      </c>
      <c r="E68" s="1">
        <f>SUMIFS(მასალა!D4:D143,მასალა!B4:B143,ბიუჯეტი!B68)</f>
        <v>0</v>
      </c>
      <c r="F68" s="1">
        <f>D68*E68</f>
        <v>0</v>
      </c>
      <c r="G68" s="1"/>
      <c r="H68" s="1">
        <f>D68*G68</f>
        <v>0</v>
      </c>
      <c r="I68" s="1"/>
      <c r="J68" s="1"/>
      <c r="K68" s="1">
        <f>F68+H68</f>
        <v>0</v>
      </c>
      <c r="M68" s="77">
        <f>VLOOKUP(B68,[1]ბიუჯეტი!$B:$K,3,FALSE)</f>
        <v>4</v>
      </c>
      <c r="N68" s="77">
        <f>VLOOKUP($B68,[1]ბიუჯეტი!$B:$K,4,FALSE)</f>
        <v>0</v>
      </c>
      <c r="O68" s="77">
        <f>VLOOKUP($B68,[1]ბიუჯეტი!$B:$K,5,FALSE)</f>
        <v>0</v>
      </c>
      <c r="P68" s="77">
        <f>VLOOKUP($B68,[1]ბიუჯეტი!$B:$K,6,FALSE)</f>
        <v>0</v>
      </c>
      <c r="Q68" s="77">
        <f>VLOOKUP($B68,[1]ბიუჯეტი!$B:$K,7,FALSE)</f>
        <v>0</v>
      </c>
      <c r="R68" s="77">
        <f>VLOOKUP($B68,[1]ბიუჯეტი!$B:$K,8,FALSE)</f>
        <v>0</v>
      </c>
      <c r="S68" s="77">
        <f>VLOOKUP($B68,[1]ბიუჯეტი!$B:$K,9,FALSE)</f>
        <v>0</v>
      </c>
      <c r="T68" s="77">
        <f>VLOOKUP($B68,[1]ბიუჯეტი!$B:$K,10,FALSE)</f>
        <v>0</v>
      </c>
      <c r="V68" s="78">
        <f t="shared" si="12"/>
        <v>0</v>
      </c>
      <c r="W68" s="78">
        <f t="shared" si="13"/>
        <v>0</v>
      </c>
      <c r="X68" s="78">
        <f t="shared" si="14"/>
        <v>0</v>
      </c>
      <c r="Y68" s="78">
        <f t="shared" si="15"/>
        <v>0.5</v>
      </c>
    </row>
    <row r="69" spans="1:25" hidden="1" outlineLevel="1" x14ac:dyDescent="0.35">
      <c r="A69" s="51"/>
      <c r="B69" s="3" t="s">
        <v>50</v>
      </c>
      <c r="C69" s="4" t="s">
        <v>9</v>
      </c>
      <c r="D69" s="1">
        <f>D63*0.03*1.05</f>
        <v>22.753634399999996</v>
      </c>
      <c r="E69" s="1">
        <f>SUMIFS(მასალა!D3:D143,მასალა!B3:B143,ბიუჯეტი!B69)</f>
        <v>59.322033898305087</v>
      </c>
      <c r="F69" s="1">
        <f t="shared" si="9"/>
        <v>1349.7918711864404</v>
      </c>
      <c r="G69" s="1"/>
      <c r="H69" s="1">
        <f t="shared" si="10"/>
        <v>0</v>
      </c>
      <c r="I69" s="1"/>
      <c r="J69" s="1"/>
      <c r="K69" s="1">
        <f t="shared" si="11"/>
        <v>1349.7918711864404</v>
      </c>
      <c r="M69" s="77">
        <f>VLOOKUP(B69,[1]ბიუჯეტი!$B:$K,3,FALSE)</f>
        <v>20.730401999999998</v>
      </c>
      <c r="N69" s="77">
        <f>VLOOKUP($B69,[1]ბიუჯეტი!$B:$K,4,FALSE)</f>
        <v>59.322033898305087</v>
      </c>
      <c r="O69" s="77">
        <f>VLOOKUP($B69,[1]ბიუჯეტი!$B:$K,5,FALSE)</f>
        <v>1229.7696101694914</v>
      </c>
      <c r="P69" s="77">
        <f>VLOOKUP($B69,[1]ბიუჯეტი!$B:$K,6,FALSE)</f>
        <v>0</v>
      </c>
      <c r="Q69" s="77">
        <f>VLOOKUP($B69,[1]ბიუჯეტი!$B:$K,7,FALSE)</f>
        <v>0</v>
      </c>
      <c r="R69" s="77">
        <f>VLOOKUP($B69,[1]ბიუჯეტი!$B:$K,8,FALSE)</f>
        <v>0</v>
      </c>
      <c r="S69" s="77">
        <f>VLOOKUP($B69,[1]ბიუჯეტი!$B:$K,9,FALSE)</f>
        <v>0</v>
      </c>
      <c r="T69" s="77">
        <f>VLOOKUP($B69,[1]ბიუჯეტი!$B:$K,10,FALSE)</f>
        <v>1229.7696101694914</v>
      </c>
      <c r="V69" s="78">
        <f t="shared" si="12"/>
        <v>0</v>
      </c>
      <c r="W69" s="78">
        <f t="shared" si="13"/>
        <v>0</v>
      </c>
      <c r="X69" s="78">
        <f t="shared" si="14"/>
        <v>0</v>
      </c>
      <c r="Y69" s="78">
        <f t="shared" si="15"/>
        <v>2.0232323999999977</v>
      </c>
    </row>
    <row r="70" spans="1:25" hidden="1" outlineLevel="1" x14ac:dyDescent="0.35">
      <c r="A70" s="51"/>
      <c r="B70" s="3" t="s">
        <v>51</v>
      </c>
      <c r="C70" s="4" t="s">
        <v>12</v>
      </c>
      <c r="D70" s="1">
        <f>D69/4*1.05</f>
        <v>5.9728290299999989</v>
      </c>
      <c r="E70" s="1">
        <f>SUMIFS(მასალა!D3:D144,მასალა!B3:B144,ბიუჯეტი!B70)</f>
        <v>265.50000000000006</v>
      </c>
      <c r="F70" s="1">
        <f t="shared" si="9"/>
        <v>1585.786107465</v>
      </c>
      <c r="G70" s="1"/>
      <c r="H70" s="1">
        <f t="shared" si="10"/>
        <v>0</v>
      </c>
      <c r="I70" s="1"/>
      <c r="J70" s="1"/>
      <c r="K70" s="1">
        <f t="shared" si="11"/>
        <v>1585.786107465</v>
      </c>
      <c r="M70" s="77">
        <f>VLOOKUP(B70,[1]ბიუჯეტი!$B:$K,3,FALSE)</f>
        <v>5.4417305249999997</v>
      </c>
      <c r="N70" s="77">
        <f>VLOOKUP($B70,[1]ბიუჯეტი!$B:$K,4,FALSE)</f>
        <v>265.47457627118644</v>
      </c>
      <c r="O70" s="77">
        <f>VLOOKUP($B70,[1]ბიუჯეტი!$B:$K,5,FALSE)</f>
        <v>1444.6411053063557</v>
      </c>
      <c r="P70" s="77">
        <f>VLOOKUP($B70,[1]ბიუჯეტი!$B:$K,6,FALSE)</f>
        <v>0</v>
      </c>
      <c r="Q70" s="77">
        <f>VLOOKUP($B70,[1]ბიუჯეტი!$B:$K,7,FALSE)</f>
        <v>0</v>
      </c>
      <c r="R70" s="77">
        <f>VLOOKUP($B70,[1]ბიუჯეტი!$B:$K,8,FALSE)</f>
        <v>0</v>
      </c>
      <c r="S70" s="77">
        <f>VLOOKUP($B70,[1]ბიუჯეტი!$B:$K,9,FALSE)</f>
        <v>0</v>
      </c>
      <c r="T70" s="77">
        <f>VLOOKUP($B70,[1]ბიუჯეტი!$B:$K,10,FALSE)</f>
        <v>1444.6411053063557</v>
      </c>
      <c r="V70" s="78">
        <f t="shared" si="12"/>
        <v>2.5423728813620983E-2</v>
      </c>
      <c r="W70" s="78">
        <f t="shared" si="13"/>
        <v>0</v>
      </c>
      <c r="X70" s="78">
        <f t="shared" si="14"/>
        <v>0</v>
      </c>
      <c r="Y70" s="78">
        <f t="shared" si="15"/>
        <v>0.53109850499999922</v>
      </c>
    </row>
    <row r="71" spans="1:25" hidden="1" outlineLevel="1" x14ac:dyDescent="0.35">
      <c r="A71" s="51"/>
      <c r="B71" s="3" t="s">
        <v>369</v>
      </c>
      <c r="C71" s="4" t="s">
        <v>10</v>
      </c>
      <c r="D71" s="1">
        <f>D63</f>
        <v>722.33759999999984</v>
      </c>
      <c r="E71" s="1">
        <f>SUMIFS(მასალა!D9:D145,მასალა!B9:B145,ბიუჯეტი!B71)</f>
        <v>0.84745762711864414</v>
      </c>
      <c r="F71" s="1">
        <f t="shared" si="9"/>
        <v>612.15050847457621</v>
      </c>
      <c r="G71" s="1"/>
      <c r="H71" s="1">
        <f t="shared" si="10"/>
        <v>0</v>
      </c>
      <c r="I71" s="1"/>
      <c r="J71" s="1"/>
      <c r="K71" s="1">
        <f t="shared" si="11"/>
        <v>612.15050847457621</v>
      </c>
      <c r="M71" s="77">
        <f>VLOOKUP(B71,[1]ბიუჯეტი!$B:$K,3,FALSE)</f>
        <v>658.10799999999995</v>
      </c>
      <c r="N71" s="77">
        <f>VLOOKUP($B71,[1]ბიუჯეტი!$B:$K,4,FALSE)</f>
        <v>0.84745762711864414</v>
      </c>
      <c r="O71" s="77">
        <f>VLOOKUP($B71,[1]ბიუჯეტი!$B:$K,5,FALSE)</f>
        <v>557.71864406779662</v>
      </c>
      <c r="P71" s="77">
        <f>VLOOKUP($B71,[1]ბიუჯეტი!$B:$K,6,FALSE)</f>
        <v>0</v>
      </c>
      <c r="Q71" s="77">
        <f>VLOOKUP($B71,[1]ბიუჯეტი!$B:$K,7,FALSE)</f>
        <v>0</v>
      </c>
      <c r="R71" s="77">
        <f>VLOOKUP($B71,[1]ბიუჯეტი!$B:$K,8,FALSE)</f>
        <v>0</v>
      </c>
      <c r="S71" s="77">
        <f>VLOOKUP($B71,[1]ბიუჯეტი!$B:$K,9,FALSE)</f>
        <v>0</v>
      </c>
      <c r="T71" s="77">
        <f>VLOOKUP($B71,[1]ბიუჯეტი!$B:$K,10,FALSE)</f>
        <v>557.71864406779662</v>
      </c>
      <c r="V71" s="78">
        <f t="shared" si="12"/>
        <v>0</v>
      </c>
      <c r="W71" s="78">
        <f t="shared" si="13"/>
        <v>0</v>
      </c>
      <c r="X71" s="78">
        <f t="shared" si="14"/>
        <v>0</v>
      </c>
      <c r="Y71" s="78">
        <f t="shared" si="15"/>
        <v>64.229599999999891</v>
      </c>
    </row>
    <row r="72" spans="1:25" hidden="1" outlineLevel="1" x14ac:dyDescent="0.35">
      <c r="A72" s="51">
        <v>2</v>
      </c>
      <c r="B72" s="23" t="s">
        <v>52</v>
      </c>
      <c r="C72" s="4" t="s">
        <v>10</v>
      </c>
      <c r="D72" s="1">
        <f>სამუშაო!I5</f>
        <v>932.21060000000023</v>
      </c>
      <c r="E72" s="1"/>
      <c r="F72" s="1">
        <f t="shared" si="9"/>
        <v>0</v>
      </c>
      <c r="G72" s="1">
        <f>ხელფასი!D4</f>
        <v>23.90625</v>
      </c>
      <c r="H72" s="1">
        <f t="shared" si="10"/>
        <v>22285.659656250005</v>
      </c>
      <c r="I72" s="1"/>
      <c r="J72" s="1"/>
      <c r="K72" s="1">
        <f t="shared" si="11"/>
        <v>22285.659656250005</v>
      </c>
      <c r="M72" s="77">
        <f>VLOOKUP(B72,[1]ბიუჯეტი!$B:$K,3,FALSE)</f>
        <v>917.83000000000015</v>
      </c>
      <c r="N72" s="77">
        <f>VLOOKUP($B72,[1]ბიუჯეტი!$B:$K,4,FALSE)</f>
        <v>0</v>
      </c>
      <c r="O72" s="77">
        <f>VLOOKUP($B72,[1]ბიუჯეტი!$B:$K,5,FALSE)</f>
        <v>0</v>
      </c>
      <c r="P72" s="77">
        <f>VLOOKUP($B72,[1]ბიუჯეტი!$B:$K,6,FALSE)</f>
        <v>23.90625</v>
      </c>
      <c r="Q72" s="77">
        <f>VLOOKUP($B72,[1]ბიუჯეტი!$B:$K,7,FALSE)</f>
        <v>21941.873437500002</v>
      </c>
      <c r="R72" s="77">
        <f>VLOOKUP($B72,[1]ბიუჯეტი!$B:$K,8,FALSE)</f>
        <v>0</v>
      </c>
      <c r="S72" s="77">
        <f>VLOOKUP($B72,[1]ბიუჯეტი!$B:$K,9,FALSE)</f>
        <v>0</v>
      </c>
      <c r="T72" s="77">
        <f>VLOOKUP($B72,[1]ბიუჯეტი!$B:$K,10,FALSE)</f>
        <v>21941.873437500002</v>
      </c>
      <c r="V72" s="78">
        <f t="shared" si="12"/>
        <v>0</v>
      </c>
      <c r="W72" s="78">
        <f t="shared" si="13"/>
        <v>0</v>
      </c>
      <c r="X72" s="78">
        <f t="shared" si="14"/>
        <v>0</v>
      </c>
      <c r="Y72" s="78">
        <f t="shared" si="15"/>
        <v>14.380600000000072</v>
      </c>
    </row>
    <row r="73" spans="1:25" hidden="1" outlineLevel="1" x14ac:dyDescent="0.35">
      <c r="A73" s="51"/>
      <c r="B73" s="3" t="s">
        <v>48</v>
      </c>
      <c r="C73" s="4" t="s">
        <v>49</v>
      </c>
      <c r="D73" s="1">
        <f>D72*13</f>
        <v>12118.737800000003</v>
      </c>
      <c r="E73" s="1">
        <f>SUMIFS(მასალა!D3:D147,მასალა!B3:B147,ბიუჯეტი!B73)</f>
        <v>1.6694915254237288</v>
      </c>
      <c r="F73" s="1">
        <f t="shared" si="9"/>
        <v>20232.130055932208</v>
      </c>
      <c r="G73" s="1"/>
      <c r="H73" s="1">
        <f t="shared" si="10"/>
        <v>0</v>
      </c>
      <c r="I73" s="1"/>
      <c r="J73" s="1"/>
      <c r="K73" s="1">
        <f t="shared" si="11"/>
        <v>20232.130055932208</v>
      </c>
      <c r="M73" s="77">
        <f>VLOOKUP(B73,[1]ბიუჯეტი!$B:$K,3,FALSE)</f>
        <v>8555.4039999999986</v>
      </c>
      <c r="N73" s="77">
        <f>VLOOKUP($B73,[1]ბიუჯეტი!$B:$K,4,FALSE)</f>
        <v>1.6694915254237288</v>
      </c>
      <c r="O73" s="77">
        <f>VLOOKUP($B73,[1]ბიუჯეტი!$B:$K,5,FALSE)</f>
        <v>14283.174474576268</v>
      </c>
      <c r="P73" s="77">
        <f>VLOOKUP($B73,[1]ბიუჯეტი!$B:$K,6,FALSE)</f>
        <v>0</v>
      </c>
      <c r="Q73" s="77">
        <f>VLOOKUP($B73,[1]ბიუჯეტი!$B:$K,7,FALSE)</f>
        <v>0</v>
      </c>
      <c r="R73" s="77">
        <f>VLOOKUP($B73,[1]ბიუჯეტი!$B:$K,8,FALSE)</f>
        <v>0</v>
      </c>
      <c r="S73" s="77">
        <f>VLOOKUP($B73,[1]ბიუჯეტი!$B:$K,9,FALSE)</f>
        <v>0</v>
      </c>
      <c r="T73" s="77">
        <f>VLOOKUP($B73,[1]ბიუჯეტი!$B:$K,10,FALSE)</f>
        <v>14283.174474576268</v>
      </c>
      <c r="V73" s="78">
        <f t="shared" si="12"/>
        <v>0</v>
      </c>
      <c r="W73" s="78">
        <f t="shared" si="13"/>
        <v>0</v>
      </c>
      <c r="X73" s="78">
        <f t="shared" si="14"/>
        <v>0</v>
      </c>
      <c r="Y73" s="78">
        <f t="shared" si="15"/>
        <v>3563.333800000004</v>
      </c>
    </row>
    <row r="74" spans="1:25" hidden="1" outlineLevel="1" x14ac:dyDescent="0.35">
      <c r="A74" s="51"/>
      <c r="B74" s="3" t="s">
        <v>368</v>
      </c>
      <c r="C74" s="4" t="s">
        <v>40</v>
      </c>
      <c r="D74" s="1">
        <f>სამუშაო!H5</f>
        <v>34.199999999999996</v>
      </c>
      <c r="E74" s="1">
        <f>SUMIFS(მასალა!D4:D148,მასალა!B4:B148,ბიუჯეტი!B74)</f>
        <v>0</v>
      </c>
      <c r="F74" s="1">
        <f>D74*E74</f>
        <v>0</v>
      </c>
      <c r="G74" s="1">
        <f>ხელფასი!D6</f>
        <v>51</v>
      </c>
      <c r="H74" s="1">
        <f>D74*G74</f>
        <v>1744.1999999999998</v>
      </c>
      <c r="I74" s="1"/>
      <c r="J74" s="1"/>
      <c r="K74" s="1">
        <f>F74+H74</f>
        <v>1744.1999999999998</v>
      </c>
      <c r="M74" s="77">
        <f>VLOOKUP(B74,[1]ბიუჯეტი!$B:$K,3,FALSE)</f>
        <v>3</v>
      </c>
      <c r="N74" s="77">
        <f>VLOOKUP($B74,[1]ბიუჯეტი!$B:$K,4,FALSE)</f>
        <v>0</v>
      </c>
      <c r="O74" s="77">
        <f>VLOOKUP($B74,[1]ბიუჯეტი!$B:$K,5,FALSE)</f>
        <v>0</v>
      </c>
      <c r="P74" s="77">
        <f>VLOOKUP($B74,[1]ბიუჯეტი!$B:$K,6,FALSE)</f>
        <v>44.625</v>
      </c>
      <c r="Q74" s="77">
        <f>VLOOKUP($B74,[1]ბიუჯეტი!$B:$K,7,FALSE)</f>
        <v>133.875</v>
      </c>
      <c r="R74" s="77">
        <f>VLOOKUP($B74,[1]ბიუჯეტი!$B:$K,8,FALSE)</f>
        <v>0</v>
      </c>
      <c r="S74" s="77">
        <f>VLOOKUP($B74,[1]ბიუჯეტი!$B:$K,9,FALSE)</f>
        <v>0</v>
      </c>
      <c r="T74" s="77">
        <f>VLOOKUP($B74,[1]ბიუჯეტი!$B:$K,10,FALSE)</f>
        <v>133.875</v>
      </c>
      <c r="V74" s="78">
        <f t="shared" si="12"/>
        <v>0</v>
      </c>
      <c r="W74" s="78">
        <f t="shared" si="13"/>
        <v>6.375</v>
      </c>
      <c r="X74" s="78">
        <f t="shared" si="14"/>
        <v>0</v>
      </c>
      <c r="Y74" s="78">
        <f t="shared" si="15"/>
        <v>31.199999999999996</v>
      </c>
    </row>
    <row r="75" spans="1:25" hidden="1" outlineLevel="1" x14ac:dyDescent="0.35">
      <c r="A75" s="51"/>
      <c r="B75" s="3" t="s">
        <v>38</v>
      </c>
      <c r="C75" s="4" t="s">
        <v>244</v>
      </c>
      <c r="D75" s="1">
        <f>(D74+D77)*0.2*0.2*1.05</f>
        <v>2.1924000000000001</v>
      </c>
      <c r="E75" s="1">
        <f>SUMIFS(მასალა!D5:D149,მასალა!B5:B149,ბიუჯეტი!B75)</f>
        <v>219.49152542372883</v>
      </c>
      <c r="F75" s="1">
        <f>D75*E75</f>
        <v>481.21322033898309</v>
      </c>
      <c r="G75" s="1"/>
      <c r="H75" s="1">
        <f>D75*G75</f>
        <v>0</v>
      </c>
      <c r="I75" s="1"/>
      <c r="J75" s="1"/>
      <c r="K75" s="1">
        <f>F75+H75</f>
        <v>481.21322033898309</v>
      </c>
      <c r="M75" s="77">
        <f>VLOOKUP(B75,[1]ბიუჯეტი!$B:$K,3,FALSE)</f>
        <v>1850.79</v>
      </c>
      <c r="N75" s="77">
        <f>VLOOKUP($B75,[1]ბიუჯეტი!$B:$K,4,FALSE)</f>
        <v>219.49152542372883</v>
      </c>
      <c r="O75" s="77">
        <f>VLOOKUP($B75,[1]ბიუჯეტი!$B:$K,5,FALSE)</f>
        <v>406232.72033898305</v>
      </c>
      <c r="P75" s="77">
        <f>VLOOKUP($B75,[1]ბიუჯეტი!$B:$K,6,FALSE)</f>
        <v>0</v>
      </c>
      <c r="Q75" s="77">
        <f>VLOOKUP($B75,[1]ბიუჯეტი!$B:$K,7,FALSE)</f>
        <v>0</v>
      </c>
      <c r="R75" s="77">
        <f>VLOOKUP($B75,[1]ბიუჯეტი!$B:$K,8,FALSE)</f>
        <v>0</v>
      </c>
      <c r="S75" s="77">
        <f>VLOOKUP($B75,[1]ბიუჯეტი!$B:$K,9,FALSE)</f>
        <v>0</v>
      </c>
      <c r="T75" s="77">
        <f>VLOOKUP($B75,[1]ბიუჯეტი!$B:$K,10,FALSE)</f>
        <v>406232.72033898305</v>
      </c>
      <c r="V75" s="78">
        <f t="shared" si="12"/>
        <v>0</v>
      </c>
      <c r="W75" s="78">
        <f t="shared" si="13"/>
        <v>0</v>
      </c>
      <c r="X75" s="78">
        <f t="shared" si="14"/>
        <v>0</v>
      </c>
      <c r="Y75" s="78">
        <f t="shared" si="15"/>
        <v>-1848.5976000000001</v>
      </c>
    </row>
    <row r="76" spans="1:25" hidden="1" outlineLevel="1" x14ac:dyDescent="0.35">
      <c r="A76" s="51"/>
      <c r="B76" s="3" t="s">
        <v>13</v>
      </c>
      <c r="C76" s="4" t="s">
        <v>250</v>
      </c>
      <c r="D76" s="1">
        <v>0.06</v>
      </c>
      <c r="E76" s="1">
        <f>SUMIFS(მასალა!D6:D150,მასალა!B6:B150,ბიუჯეტი!B76)</f>
        <v>0</v>
      </c>
      <c r="F76" s="1">
        <f>D76*E76</f>
        <v>0</v>
      </c>
      <c r="G76" s="1"/>
      <c r="H76" s="1">
        <f>D76*G76</f>
        <v>0</v>
      </c>
      <c r="I76" s="1"/>
      <c r="J76" s="1"/>
      <c r="K76" s="1">
        <f>F76+H76</f>
        <v>0</v>
      </c>
      <c r="M76" s="77">
        <f>VLOOKUP(B76,[1]ბიუჯეტი!$B:$K,3,FALSE)</f>
        <v>228.13875000000002</v>
      </c>
      <c r="N76" s="77">
        <f>VLOOKUP($B76,[1]ბიუჯეტი!$B:$K,4,FALSE)</f>
        <v>1931.2271186440678</v>
      </c>
      <c r="O76" s="77">
        <f>VLOOKUP($B76,[1]ბიუჯეტი!$B:$K,5,FALSE)</f>
        <v>440587.74081355933</v>
      </c>
      <c r="P76" s="77">
        <f>VLOOKUP($B76,[1]ბიუჯეტი!$B:$K,6,FALSE)</f>
        <v>0</v>
      </c>
      <c r="Q76" s="77">
        <f>VLOOKUP($B76,[1]ბიუჯეტი!$B:$K,7,FALSE)</f>
        <v>0</v>
      </c>
      <c r="R76" s="77">
        <f>VLOOKUP($B76,[1]ბიუჯეტი!$B:$K,8,FALSE)</f>
        <v>0</v>
      </c>
      <c r="S76" s="77">
        <f>VLOOKUP($B76,[1]ბიუჯეტი!$B:$K,9,FALSE)</f>
        <v>0</v>
      </c>
      <c r="T76" s="77">
        <f>VLOOKUP($B76,[1]ბიუჯეტი!$B:$K,10,FALSE)</f>
        <v>440587.74081355933</v>
      </c>
      <c r="V76" s="78">
        <f t="shared" si="12"/>
        <v>-1931.2271186440678</v>
      </c>
      <c r="W76" s="78">
        <f t="shared" si="13"/>
        <v>0</v>
      </c>
      <c r="X76" s="78">
        <f t="shared" si="14"/>
        <v>0</v>
      </c>
      <c r="Y76" s="78">
        <f t="shared" si="15"/>
        <v>-228.07875000000001</v>
      </c>
    </row>
    <row r="77" spans="1:25" hidden="1" outlineLevel="1" x14ac:dyDescent="0.35">
      <c r="A77" s="51"/>
      <c r="B77" s="3" t="s">
        <v>191</v>
      </c>
      <c r="C77" s="4" t="s">
        <v>190</v>
      </c>
      <c r="D77" s="1">
        <f>სამუშაო!G5</f>
        <v>18</v>
      </c>
      <c r="E77" s="1">
        <f>SUMIFS(მასალა!D7:D151,მასალა!B7:B151,ბიუჯეტი!B77)</f>
        <v>0</v>
      </c>
      <c r="F77" s="1">
        <f t="shared" si="9"/>
        <v>0</v>
      </c>
      <c r="G77" s="1">
        <f>ხელფასი!D5</f>
        <v>19.125</v>
      </c>
      <c r="H77" s="1">
        <f t="shared" si="10"/>
        <v>344.25</v>
      </c>
      <c r="I77" s="1"/>
      <c r="J77" s="1"/>
      <c r="K77" s="1">
        <f t="shared" si="11"/>
        <v>344.25</v>
      </c>
      <c r="M77" s="77">
        <f>VLOOKUP(B77,[1]ბიუჯეტი!$B:$K,3,FALSE)</f>
        <v>4</v>
      </c>
      <c r="N77" s="77">
        <f>VLOOKUP($B77,[1]ბიუჯეტი!$B:$K,4,FALSE)</f>
        <v>0</v>
      </c>
      <c r="O77" s="77">
        <f>VLOOKUP($B77,[1]ბიუჯეტი!$B:$K,5,FALSE)</f>
        <v>0</v>
      </c>
      <c r="P77" s="77">
        <f>VLOOKUP($B77,[1]ბიუჯეტი!$B:$K,6,FALSE)</f>
        <v>0</v>
      </c>
      <c r="Q77" s="77">
        <f>VLOOKUP($B77,[1]ბიუჯეტი!$B:$K,7,FALSE)</f>
        <v>0</v>
      </c>
      <c r="R77" s="77">
        <f>VLOOKUP($B77,[1]ბიუჯეტი!$B:$K,8,FALSE)</f>
        <v>0</v>
      </c>
      <c r="S77" s="77">
        <f>VLOOKUP($B77,[1]ბიუჯეტი!$B:$K,9,FALSE)</f>
        <v>0</v>
      </c>
      <c r="T77" s="77">
        <f>VLOOKUP($B77,[1]ბიუჯეტი!$B:$K,10,FALSE)</f>
        <v>0</v>
      </c>
      <c r="V77" s="78">
        <f t="shared" si="12"/>
        <v>0</v>
      </c>
      <c r="W77" s="78">
        <f t="shared" si="13"/>
        <v>19.125</v>
      </c>
      <c r="X77" s="78">
        <f t="shared" si="14"/>
        <v>0</v>
      </c>
      <c r="Y77" s="78">
        <f t="shared" si="15"/>
        <v>14</v>
      </c>
    </row>
    <row r="78" spans="1:25" hidden="1" outlineLevel="1" x14ac:dyDescent="0.35">
      <c r="A78" s="51"/>
      <c r="B78" s="3" t="s">
        <v>50</v>
      </c>
      <c r="C78" s="4" t="s">
        <v>9</v>
      </c>
      <c r="D78" s="1">
        <f>D72*0.03*1.05</f>
        <v>29.364633900000005</v>
      </c>
      <c r="E78" s="1">
        <f>SUMIFS(მასალა!D8:D152,მასალა!B8:B152,ბიუჯეტი!B78)</f>
        <v>59.322033898305087</v>
      </c>
      <c r="F78" s="1">
        <f t="shared" si="9"/>
        <v>1741.9698076271191</v>
      </c>
      <c r="G78" s="1"/>
      <c r="H78" s="1">
        <f t="shared" si="10"/>
        <v>0</v>
      </c>
      <c r="I78" s="1"/>
      <c r="J78" s="1"/>
      <c r="K78" s="1">
        <f t="shared" si="11"/>
        <v>1741.9698076271191</v>
      </c>
      <c r="M78" s="77">
        <f>VLOOKUP(B78,[1]ბიუჯეტი!$B:$K,3,FALSE)</f>
        <v>20.730401999999998</v>
      </c>
      <c r="N78" s="77">
        <f>VLOOKUP($B78,[1]ბიუჯეტი!$B:$K,4,FALSE)</f>
        <v>59.322033898305087</v>
      </c>
      <c r="O78" s="77">
        <f>VLOOKUP($B78,[1]ბიუჯეტი!$B:$K,5,FALSE)</f>
        <v>1229.7696101694914</v>
      </c>
      <c r="P78" s="77">
        <f>VLOOKUP($B78,[1]ბიუჯეტი!$B:$K,6,FALSE)</f>
        <v>0</v>
      </c>
      <c r="Q78" s="77">
        <f>VLOOKUP($B78,[1]ბიუჯეტი!$B:$K,7,FALSE)</f>
        <v>0</v>
      </c>
      <c r="R78" s="77">
        <f>VLOOKUP($B78,[1]ბიუჯეტი!$B:$K,8,FALSE)</f>
        <v>0</v>
      </c>
      <c r="S78" s="77">
        <f>VLOOKUP($B78,[1]ბიუჯეტი!$B:$K,9,FALSE)</f>
        <v>0</v>
      </c>
      <c r="T78" s="77">
        <f>VLOOKUP($B78,[1]ბიუჯეტი!$B:$K,10,FALSE)</f>
        <v>1229.7696101694914</v>
      </c>
      <c r="V78" s="78">
        <f t="shared" si="12"/>
        <v>0</v>
      </c>
      <c r="W78" s="78">
        <f t="shared" si="13"/>
        <v>0</v>
      </c>
      <c r="X78" s="78">
        <f t="shared" si="14"/>
        <v>0</v>
      </c>
      <c r="Y78" s="78">
        <f t="shared" si="15"/>
        <v>8.6342319000000067</v>
      </c>
    </row>
    <row r="79" spans="1:25" hidden="1" outlineLevel="1" x14ac:dyDescent="0.35">
      <c r="A79" s="51"/>
      <c r="B79" s="3" t="s">
        <v>51</v>
      </c>
      <c r="C79" s="4" t="s">
        <v>12</v>
      </c>
      <c r="D79" s="1">
        <f>D78/4*1.05</f>
        <v>7.7082163987500012</v>
      </c>
      <c r="E79" s="1">
        <f>SUMIFS(მასალა!D9:D153,მასალა!B9:B153,ბიუჯეტი!B79)</f>
        <v>265.50000000000006</v>
      </c>
      <c r="F79" s="1">
        <f t="shared" si="9"/>
        <v>2046.5314538681257</v>
      </c>
      <c r="G79" s="1"/>
      <c r="H79" s="1">
        <f t="shared" si="10"/>
        <v>0</v>
      </c>
      <c r="I79" s="1"/>
      <c r="J79" s="1"/>
      <c r="K79" s="1">
        <f t="shared" si="11"/>
        <v>2046.5314538681257</v>
      </c>
      <c r="M79" s="77">
        <f>VLOOKUP(B79,[1]ბიუჯეტი!$B:$K,3,FALSE)</f>
        <v>5.4417305249999997</v>
      </c>
      <c r="N79" s="77">
        <f>VLOOKUP($B79,[1]ბიუჯეტი!$B:$K,4,FALSE)</f>
        <v>265.47457627118644</v>
      </c>
      <c r="O79" s="77">
        <f>VLOOKUP($B79,[1]ბიუჯეტი!$B:$K,5,FALSE)</f>
        <v>1444.6411053063557</v>
      </c>
      <c r="P79" s="77">
        <f>VLOOKUP($B79,[1]ბიუჯეტი!$B:$K,6,FALSE)</f>
        <v>0</v>
      </c>
      <c r="Q79" s="77">
        <f>VLOOKUP($B79,[1]ბიუჯეტი!$B:$K,7,FALSE)</f>
        <v>0</v>
      </c>
      <c r="R79" s="77">
        <f>VLOOKUP($B79,[1]ბიუჯეტი!$B:$K,8,FALSE)</f>
        <v>0</v>
      </c>
      <c r="S79" s="77">
        <f>VLOOKUP($B79,[1]ბიუჯეტი!$B:$K,9,FALSE)</f>
        <v>0</v>
      </c>
      <c r="T79" s="77">
        <f>VLOOKUP($B79,[1]ბიუჯეტი!$B:$K,10,FALSE)</f>
        <v>1444.6411053063557</v>
      </c>
      <c r="V79" s="78">
        <f t="shared" si="12"/>
        <v>2.5423728813620983E-2</v>
      </c>
      <c r="W79" s="78">
        <f t="shared" si="13"/>
        <v>0</v>
      </c>
      <c r="X79" s="78">
        <f t="shared" si="14"/>
        <v>0</v>
      </c>
      <c r="Y79" s="78">
        <f t="shared" si="15"/>
        <v>2.2664858737500015</v>
      </c>
    </row>
    <row r="80" spans="1:25" hidden="1" outlineLevel="1" x14ac:dyDescent="0.35">
      <c r="A80" s="51"/>
      <c r="B80" s="3" t="s">
        <v>369</v>
      </c>
      <c r="C80" s="4" t="s">
        <v>10</v>
      </c>
      <c r="D80" s="1">
        <f>D72</f>
        <v>932.21060000000023</v>
      </c>
      <c r="E80" s="1">
        <f>SUMIFS(მასალა!D10:D154,მასალა!B10:B154,ბიუჯეტი!B80)</f>
        <v>0.84745762711864414</v>
      </c>
      <c r="F80" s="1">
        <f t="shared" si="9"/>
        <v>790.00898305084775</v>
      </c>
      <c r="G80" s="1"/>
      <c r="H80" s="1">
        <f t="shared" si="10"/>
        <v>0</v>
      </c>
      <c r="I80" s="1"/>
      <c r="J80" s="1"/>
      <c r="K80" s="1">
        <f t="shared" si="11"/>
        <v>790.00898305084775</v>
      </c>
      <c r="M80" s="77">
        <f>VLOOKUP(B80,[1]ბიუჯეტი!$B:$K,3,FALSE)</f>
        <v>658.10799999999995</v>
      </c>
      <c r="N80" s="77">
        <f>VLOOKUP($B80,[1]ბიუჯეტი!$B:$K,4,FALSE)</f>
        <v>0.84745762711864414</v>
      </c>
      <c r="O80" s="77">
        <f>VLOOKUP($B80,[1]ბიუჯეტი!$B:$K,5,FALSE)</f>
        <v>557.71864406779662</v>
      </c>
      <c r="P80" s="77">
        <f>VLOOKUP($B80,[1]ბიუჯეტი!$B:$K,6,FALSE)</f>
        <v>0</v>
      </c>
      <c r="Q80" s="77">
        <f>VLOOKUP($B80,[1]ბიუჯეტი!$B:$K,7,FALSE)</f>
        <v>0</v>
      </c>
      <c r="R80" s="77">
        <f>VLOOKUP($B80,[1]ბიუჯეტი!$B:$K,8,FALSE)</f>
        <v>0</v>
      </c>
      <c r="S80" s="77">
        <f>VLOOKUP($B80,[1]ბიუჯეტი!$B:$K,9,FALSE)</f>
        <v>0</v>
      </c>
      <c r="T80" s="77">
        <f>VLOOKUP($B80,[1]ბიუჯეტი!$B:$K,10,FALSE)</f>
        <v>557.71864406779662</v>
      </c>
      <c r="V80" s="78">
        <f t="shared" si="12"/>
        <v>0</v>
      </c>
      <c r="W80" s="78">
        <f t="shared" si="13"/>
        <v>0</v>
      </c>
      <c r="X80" s="78">
        <f t="shared" si="14"/>
        <v>0</v>
      </c>
      <c r="Y80" s="78">
        <f t="shared" si="15"/>
        <v>274.10260000000028</v>
      </c>
    </row>
    <row r="81" spans="1:25" hidden="1" outlineLevel="1" x14ac:dyDescent="0.35">
      <c r="A81" s="51">
        <v>3</v>
      </c>
      <c r="B81" s="23" t="s">
        <v>156</v>
      </c>
      <c r="C81" s="4" t="s">
        <v>10</v>
      </c>
      <c r="D81" s="1">
        <f>სამუშაო!I6+სამუშაო!I7+სამუშაო!I8</f>
        <v>2498.835</v>
      </c>
      <c r="E81" s="1"/>
      <c r="F81" s="1">
        <f t="shared" si="9"/>
        <v>0</v>
      </c>
      <c r="G81" s="1">
        <f>ხელფასი!D4</f>
        <v>23.90625</v>
      </c>
      <c r="H81" s="1">
        <f t="shared" si="10"/>
        <v>59737.774218750004</v>
      </c>
      <c r="I81" s="1"/>
      <c r="J81" s="1"/>
      <c r="K81" s="1">
        <f t="shared" si="11"/>
        <v>59737.774218750004</v>
      </c>
      <c r="M81" s="77">
        <f>VLOOKUP(B81,[1]ბიუჯეტი!$B:$K,3,FALSE)</f>
        <v>2576.0309999999999</v>
      </c>
      <c r="N81" s="77">
        <f>VLOOKUP($B81,[1]ბიუჯეტი!$B:$K,4,FALSE)</f>
        <v>0</v>
      </c>
      <c r="O81" s="77">
        <f>VLOOKUP($B81,[1]ბიუჯეტი!$B:$K,5,FALSE)</f>
        <v>0</v>
      </c>
      <c r="P81" s="77">
        <f>VLOOKUP($B81,[1]ბიუჯეტი!$B:$K,6,FALSE)</f>
        <v>23.90625</v>
      </c>
      <c r="Q81" s="77">
        <f>VLOOKUP($B81,[1]ბიუჯეტი!$B:$K,7,FALSE)</f>
        <v>61583.241093749995</v>
      </c>
      <c r="R81" s="77">
        <f>VLOOKUP($B81,[1]ბიუჯეტი!$B:$K,8,FALSE)</f>
        <v>0</v>
      </c>
      <c r="S81" s="77">
        <f>VLOOKUP($B81,[1]ბიუჯეტი!$B:$K,9,FALSE)</f>
        <v>0</v>
      </c>
      <c r="T81" s="77">
        <f>VLOOKUP($B81,[1]ბიუჯეტი!$B:$K,10,FALSE)</f>
        <v>61583.241093749995</v>
      </c>
      <c r="V81" s="78">
        <f t="shared" si="12"/>
        <v>0</v>
      </c>
      <c r="W81" s="78">
        <f t="shared" si="13"/>
        <v>0</v>
      </c>
      <c r="X81" s="78">
        <f t="shared" si="14"/>
        <v>0</v>
      </c>
      <c r="Y81" s="78">
        <f t="shared" si="15"/>
        <v>-77.195999999999913</v>
      </c>
    </row>
    <row r="82" spans="1:25" hidden="1" outlineLevel="1" x14ac:dyDescent="0.35">
      <c r="A82" s="51"/>
      <c r="B82" s="3" t="s">
        <v>48</v>
      </c>
      <c r="C82" s="4" t="s">
        <v>49</v>
      </c>
      <c r="D82" s="1">
        <f>D81*13</f>
        <v>32484.855</v>
      </c>
      <c r="E82" s="1">
        <f>SUMIFS(მასალა!D1:D156,მასალა!B1:B156,ბიუჯეტი!B82)</f>
        <v>1.6694915254237288</v>
      </c>
      <c r="F82" s="1">
        <f t="shared" si="9"/>
        <v>54233.190127118643</v>
      </c>
      <c r="G82" s="1"/>
      <c r="H82" s="1">
        <f t="shared" si="10"/>
        <v>0</v>
      </c>
      <c r="I82" s="1"/>
      <c r="J82" s="1"/>
      <c r="K82" s="1">
        <f t="shared" si="11"/>
        <v>54233.190127118643</v>
      </c>
      <c r="M82" s="77">
        <f>VLOOKUP(B82,[1]ბიუჯეტი!$B:$K,3,FALSE)</f>
        <v>8555.4039999999986</v>
      </c>
      <c r="N82" s="77">
        <f>VLOOKUP($B82,[1]ბიუჯეტი!$B:$K,4,FALSE)</f>
        <v>1.6694915254237288</v>
      </c>
      <c r="O82" s="77">
        <f>VLOOKUP($B82,[1]ბიუჯეტი!$B:$K,5,FALSE)</f>
        <v>14283.174474576268</v>
      </c>
      <c r="P82" s="77">
        <f>VLOOKUP($B82,[1]ბიუჯეტი!$B:$K,6,FALSE)</f>
        <v>0</v>
      </c>
      <c r="Q82" s="77">
        <f>VLOOKUP($B82,[1]ბიუჯეტი!$B:$K,7,FALSE)</f>
        <v>0</v>
      </c>
      <c r="R82" s="77">
        <f>VLOOKUP($B82,[1]ბიუჯეტი!$B:$K,8,FALSE)</f>
        <v>0</v>
      </c>
      <c r="S82" s="77">
        <f>VLOOKUP($B82,[1]ბიუჯეტი!$B:$K,9,FALSE)</f>
        <v>0</v>
      </c>
      <c r="T82" s="77">
        <f>VLOOKUP($B82,[1]ბიუჯეტი!$B:$K,10,FALSE)</f>
        <v>14283.174474576268</v>
      </c>
      <c r="V82" s="78">
        <f t="shared" si="12"/>
        <v>0</v>
      </c>
      <c r="W82" s="78">
        <f t="shared" si="13"/>
        <v>0</v>
      </c>
      <c r="X82" s="78">
        <f t="shared" si="14"/>
        <v>0</v>
      </c>
      <c r="Y82" s="78">
        <f t="shared" si="15"/>
        <v>23929.451000000001</v>
      </c>
    </row>
    <row r="83" spans="1:25" hidden="1" outlineLevel="1" x14ac:dyDescent="0.35">
      <c r="A83" s="51"/>
      <c r="B83" s="3" t="s">
        <v>368</v>
      </c>
      <c r="C83" s="4" t="s">
        <v>40</v>
      </c>
      <c r="D83" s="1">
        <f>სამუშაო!H6+სამუშაო!H7+სამუშაო!H8</f>
        <v>145.80000000000001</v>
      </c>
      <c r="E83" s="1">
        <f>SUMIFS(მასალა!D2:D157,მასალა!B2:B157,ბიუჯეტი!B83)</f>
        <v>0</v>
      </c>
      <c r="F83" s="1">
        <f t="shared" si="9"/>
        <v>0</v>
      </c>
      <c r="G83" s="1">
        <f>ხელფასი!D6</f>
        <v>51</v>
      </c>
      <c r="H83" s="1">
        <f t="shared" si="10"/>
        <v>7435.8</v>
      </c>
      <c r="I83" s="1"/>
      <c r="J83" s="1"/>
      <c r="K83" s="1">
        <f t="shared" si="11"/>
        <v>7435.8</v>
      </c>
      <c r="M83" s="77">
        <f>VLOOKUP(B83,[1]ბიუჯეტი!$B:$K,3,FALSE)</f>
        <v>3</v>
      </c>
      <c r="N83" s="77">
        <f>VLOOKUP($B83,[1]ბიუჯეტი!$B:$K,4,FALSE)</f>
        <v>0</v>
      </c>
      <c r="O83" s="77">
        <f>VLOOKUP($B83,[1]ბიუჯეტი!$B:$K,5,FALSE)</f>
        <v>0</v>
      </c>
      <c r="P83" s="77">
        <f>VLOOKUP($B83,[1]ბიუჯეტი!$B:$K,6,FALSE)</f>
        <v>44.625</v>
      </c>
      <c r="Q83" s="77">
        <f>VLOOKUP($B83,[1]ბიუჯეტი!$B:$K,7,FALSE)</f>
        <v>133.875</v>
      </c>
      <c r="R83" s="77">
        <f>VLOOKUP($B83,[1]ბიუჯეტი!$B:$K,8,FALSE)</f>
        <v>0</v>
      </c>
      <c r="S83" s="77">
        <f>VLOOKUP($B83,[1]ბიუჯეტი!$B:$K,9,FALSE)</f>
        <v>0</v>
      </c>
      <c r="T83" s="77">
        <f>VLOOKUP($B83,[1]ბიუჯეტი!$B:$K,10,FALSE)</f>
        <v>133.875</v>
      </c>
      <c r="V83" s="78">
        <f t="shared" si="12"/>
        <v>0</v>
      </c>
      <c r="W83" s="78">
        <f t="shared" si="13"/>
        <v>6.375</v>
      </c>
      <c r="X83" s="78">
        <f t="shared" si="14"/>
        <v>0</v>
      </c>
      <c r="Y83" s="78">
        <f t="shared" si="15"/>
        <v>142.80000000000001</v>
      </c>
    </row>
    <row r="84" spans="1:25" hidden="1" outlineLevel="1" x14ac:dyDescent="0.35">
      <c r="A84" s="51"/>
      <c r="B84" s="3" t="s">
        <v>38</v>
      </c>
      <c r="C84" s="4" t="s">
        <v>244</v>
      </c>
      <c r="D84" s="1">
        <f>(D83+D86)*0.2*0.2*1.05</f>
        <v>8.5806000000000022</v>
      </c>
      <c r="E84" s="1">
        <f>SUMIFS(მასალა!D3:D158,მასალა!B3:B158,ბიუჯეტი!B84)</f>
        <v>219.49152542372883</v>
      </c>
      <c r="F84" s="1">
        <f t="shared" si="9"/>
        <v>1883.3689830508481</v>
      </c>
      <c r="G84" s="1"/>
      <c r="H84" s="1">
        <f t="shared" si="10"/>
        <v>0</v>
      </c>
      <c r="I84" s="1"/>
      <c r="J84" s="1"/>
      <c r="K84" s="1">
        <f t="shared" si="11"/>
        <v>1883.3689830508481</v>
      </c>
      <c r="M84" s="77">
        <f>VLOOKUP(B84,[1]ბიუჯეტი!$B:$K,3,FALSE)</f>
        <v>1850.79</v>
      </c>
      <c r="N84" s="77">
        <f>VLOOKUP($B84,[1]ბიუჯეტი!$B:$K,4,FALSE)</f>
        <v>219.49152542372883</v>
      </c>
      <c r="O84" s="77">
        <f>VLOOKUP($B84,[1]ბიუჯეტი!$B:$K,5,FALSE)</f>
        <v>406232.72033898305</v>
      </c>
      <c r="P84" s="77">
        <f>VLOOKUP($B84,[1]ბიუჯეტი!$B:$K,6,FALSE)</f>
        <v>0</v>
      </c>
      <c r="Q84" s="77">
        <f>VLOOKUP($B84,[1]ბიუჯეტი!$B:$K,7,FALSE)</f>
        <v>0</v>
      </c>
      <c r="R84" s="77">
        <f>VLOOKUP($B84,[1]ბიუჯეტი!$B:$K,8,FALSE)</f>
        <v>0</v>
      </c>
      <c r="S84" s="77">
        <f>VLOOKUP($B84,[1]ბიუჯეტი!$B:$K,9,FALSE)</f>
        <v>0</v>
      </c>
      <c r="T84" s="77">
        <f>VLOOKUP($B84,[1]ბიუჯეტი!$B:$K,10,FALSE)</f>
        <v>406232.72033898305</v>
      </c>
      <c r="V84" s="78">
        <f t="shared" si="12"/>
        <v>0</v>
      </c>
      <c r="W84" s="78">
        <f t="shared" si="13"/>
        <v>0</v>
      </c>
      <c r="X84" s="78">
        <f t="shared" si="14"/>
        <v>0</v>
      </c>
      <c r="Y84" s="78">
        <f t="shared" si="15"/>
        <v>-1842.2094</v>
      </c>
    </row>
    <row r="85" spans="1:25" hidden="1" outlineLevel="1" x14ac:dyDescent="0.35">
      <c r="A85" s="51"/>
      <c r="B85" s="3" t="s">
        <v>13</v>
      </c>
      <c r="C85" s="4" t="s">
        <v>250</v>
      </c>
      <c r="D85" s="1">
        <v>0.3</v>
      </c>
      <c r="E85" s="1">
        <f>SUMIFS(მასალა!D3:D159,მასალა!B3:B159,ბიუჯეტი!B85)</f>
        <v>0</v>
      </c>
      <c r="F85" s="1">
        <f t="shared" si="9"/>
        <v>0</v>
      </c>
      <c r="G85" s="1"/>
      <c r="H85" s="1">
        <f t="shared" si="10"/>
        <v>0</v>
      </c>
      <c r="I85" s="1"/>
      <c r="J85" s="1"/>
      <c r="K85" s="1">
        <f t="shared" si="11"/>
        <v>0</v>
      </c>
      <c r="M85" s="77">
        <f>VLOOKUP(B85,[1]ბიუჯეტი!$B:$K,3,FALSE)</f>
        <v>228.13875000000002</v>
      </c>
      <c r="N85" s="77">
        <f>VLOOKUP($B85,[1]ბიუჯეტი!$B:$K,4,FALSE)</f>
        <v>1931.2271186440678</v>
      </c>
      <c r="O85" s="77">
        <f>VLOOKUP($B85,[1]ბიუჯეტი!$B:$K,5,FALSE)</f>
        <v>440587.74081355933</v>
      </c>
      <c r="P85" s="77">
        <f>VLOOKUP($B85,[1]ბიუჯეტი!$B:$K,6,FALSE)</f>
        <v>0</v>
      </c>
      <c r="Q85" s="77">
        <f>VLOOKUP($B85,[1]ბიუჯეტი!$B:$K,7,FALSE)</f>
        <v>0</v>
      </c>
      <c r="R85" s="77">
        <f>VLOOKUP($B85,[1]ბიუჯეტი!$B:$K,8,FALSE)</f>
        <v>0</v>
      </c>
      <c r="S85" s="77">
        <f>VLOOKUP($B85,[1]ბიუჯეტი!$B:$K,9,FALSE)</f>
        <v>0</v>
      </c>
      <c r="T85" s="77">
        <f>VLOOKUP($B85,[1]ბიუჯეტი!$B:$K,10,FALSE)</f>
        <v>440587.74081355933</v>
      </c>
      <c r="V85" s="78">
        <f t="shared" si="12"/>
        <v>-1931.2271186440678</v>
      </c>
      <c r="W85" s="78">
        <f t="shared" si="13"/>
        <v>0</v>
      </c>
      <c r="X85" s="78">
        <f t="shared" si="14"/>
        <v>0</v>
      </c>
      <c r="Y85" s="78">
        <f t="shared" si="15"/>
        <v>-227.83875</v>
      </c>
    </row>
    <row r="86" spans="1:25" hidden="1" outlineLevel="1" x14ac:dyDescent="0.35">
      <c r="A86" s="51"/>
      <c r="B86" s="3" t="s">
        <v>191</v>
      </c>
      <c r="C86" s="4" t="s">
        <v>190</v>
      </c>
      <c r="D86" s="1">
        <f>სამუშაო!G6+სამუშაო!G7+სამუშაო!G8</f>
        <v>58.5</v>
      </c>
      <c r="E86" s="1">
        <f>SUMIFS(მასალა!D5:D160,მასალა!B5:B160,ბიუჯეტი!B86)</f>
        <v>0</v>
      </c>
      <c r="F86" s="1">
        <f t="shared" si="9"/>
        <v>0</v>
      </c>
      <c r="G86" s="1">
        <f>ხელფასი!D5</f>
        <v>19.125</v>
      </c>
      <c r="H86" s="1">
        <f t="shared" si="10"/>
        <v>1118.8125</v>
      </c>
      <c r="I86" s="1"/>
      <c r="J86" s="1"/>
      <c r="K86" s="1">
        <f t="shared" si="11"/>
        <v>1118.8125</v>
      </c>
      <c r="M86" s="77">
        <f>VLOOKUP(B86,[1]ბიუჯეტი!$B:$K,3,FALSE)</f>
        <v>4</v>
      </c>
      <c r="N86" s="77">
        <f>VLOOKUP($B86,[1]ბიუჯეტი!$B:$K,4,FALSE)</f>
        <v>0</v>
      </c>
      <c r="O86" s="77">
        <f>VLOOKUP($B86,[1]ბიუჯეტი!$B:$K,5,FALSE)</f>
        <v>0</v>
      </c>
      <c r="P86" s="77">
        <f>VLOOKUP($B86,[1]ბიუჯეტი!$B:$K,6,FALSE)</f>
        <v>0</v>
      </c>
      <c r="Q86" s="77">
        <f>VLOOKUP($B86,[1]ბიუჯეტი!$B:$K,7,FALSE)</f>
        <v>0</v>
      </c>
      <c r="R86" s="77">
        <f>VLOOKUP($B86,[1]ბიუჯეტი!$B:$K,8,FALSE)</f>
        <v>0</v>
      </c>
      <c r="S86" s="77">
        <f>VLOOKUP($B86,[1]ბიუჯეტი!$B:$K,9,FALSE)</f>
        <v>0</v>
      </c>
      <c r="T86" s="77">
        <f>VLOOKUP($B86,[1]ბიუჯეტი!$B:$K,10,FALSE)</f>
        <v>0</v>
      </c>
      <c r="V86" s="78">
        <f t="shared" si="12"/>
        <v>0</v>
      </c>
      <c r="W86" s="78">
        <f t="shared" si="13"/>
        <v>19.125</v>
      </c>
      <c r="X86" s="78">
        <f t="shared" si="14"/>
        <v>0</v>
      </c>
      <c r="Y86" s="78">
        <f t="shared" si="15"/>
        <v>54.5</v>
      </c>
    </row>
    <row r="87" spans="1:25" hidden="1" outlineLevel="1" x14ac:dyDescent="0.35">
      <c r="A87" s="51"/>
      <c r="B87" s="3" t="s">
        <v>50</v>
      </c>
      <c r="C87" s="4" t="s">
        <v>9</v>
      </c>
      <c r="D87" s="1">
        <f>D81*0.03*1.05</f>
        <v>78.713302500000012</v>
      </c>
      <c r="E87" s="1">
        <f>SUMIFS(მასალა!D3:D161,მასალა!B3:B161,ბიუჯეტი!B87)</f>
        <v>59.322033898305087</v>
      </c>
      <c r="F87" s="1">
        <f t="shared" si="9"/>
        <v>4669.4331991525432</v>
      </c>
      <c r="G87" s="1"/>
      <c r="H87" s="1">
        <f t="shared" si="10"/>
        <v>0</v>
      </c>
      <c r="I87" s="1"/>
      <c r="J87" s="1"/>
      <c r="K87" s="1">
        <f t="shared" si="11"/>
        <v>4669.4331991525432</v>
      </c>
      <c r="M87" s="77">
        <f>VLOOKUP(B87,[1]ბიუჯეტი!$B:$K,3,FALSE)</f>
        <v>20.730401999999998</v>
      </c>
      <c r="N87" s="77">
        <f>VLOOKUP($B87,[1]ბიუჯეტი!$B:$K,4,FALSE)</f>
        <v>59.322033898305087</v>
      </c>
      <c r="O87" s="77">
        <f>VLOOKUP($B87,[1]ბიუჯეტი!$B:$K,5,FALSE)</f>
        <v>1229.7696101694914</v>
      </c>
      <c r="P87" s="77">
        <f>VLOOKUP($B87,[1]ბიუჯეტი!$B:$K,6,FALSE)</f>
        <v>0</v>
      </c>
      <c r="Q87" s="77">
        <f>VLOOKUP($B87,[1]ბიუჯეტი!$B:$K,7,FALSE)</f>
        <v>0</v>
      </c>
      <c r="R87" s="77">
        <f>VLOOKUP($B87,[1]ბიუჯეტი!$B:$K,8,FALSE)</f>
        <v>0</v>
      </c>
      <c r="S87" s="77">
        <f>VLOOKUP($B87,[1]ბიუჯეტი!$B:$K,9,FALSE)</f>
        <v>0</v>
      </c>
      <c r="T87" s="77">
        <f>VLOOKUP($B87,[1]ბიუჯეტი!$B:$K,10,FALSE)</f>
        <v>1229.7696101694914</v>
      </c>
      <c r="V87" s="78">
        <f t="shared" si="12"/>
        <v>0</v>
      </c>
      <c r="W87" s="78">
        <f t="shared" si="13"/>
        <v>0</v>
      </c>
      <c r="X87" s="78">
        <f t="shared" si="14"/>
        <v>0</v>
      </c>
      <c r="Y87" s="78">
        <f t="shared" si="15"/>
        <v>57.982900500000014</v>
      </c>
    </row>
    <row r="88" spans="1:25" hidden="1" outlineLevel="1" x14ac:dyDescent="0.35">
      <c r="A88" s="51"/>
      <c r="B88" s="3" t="s">
        <v>51</v>
      </c>
      <c r="C88" s="4" t="s">
        <v>12</v>
      </c>
      <c r="D88" s="1">
        <f>D87/4*1.05</f>
        <v>20.662241906250003</v>
      </c>
      <c r="E88" s="1">
        <f>SUMIFS(მასალა!D3:D162,მასალა!B3:B162,ბიუჯეტი!B88)</f>
        <v>265.50000000000006</v>
      </c>
      <c r="F88" s="1">
        <f t="shared" si="9"/>
        <v>5485.8252261093767</v>
      </c>
      <c r="G88" s="1"/>
      <c r="H88" s="1">
        <f t="shared" si="10"/>
        <v>0</v>
      </c>
      <c r="I88" s="1"/>
      <c r="J88" s="1"/>
      <c r="K88" s="1">
        <f t="shared" si="11"/>
        <v>5485.8252261093767</v>
      </c>
      <c r="M88" s="77">
        <f>VLOOKUP(B88,[1]ბიუჯეტი!$B:$K,3,FALSE)</f>
        <v>5.4417305249999997</v>
      </c>
      <c r="N88" s="77">
        <f>VLOOKUP($B88,[1]ბიუჯეტი!$B:$K,4,FALSE)</f>
        <v>265.47457627118644</v>
      </c>
      <c r="O88" s="77">
        <f>VLOOKUP($B88,[1]ბიუჯეტი!$B:$K,5,FALSE)</f>
        <v>1444.6411053063557</v>
      </c>
      <c r="P88" s="77">
        <f>VLOOKUP($B88,[1]ბიუჯეტი!$B:$K,6,FALSE)</f>
        <v>0</v>
      </c>
      <c r="Q88" s="77">
        <f>VLOOKUP($B88,[1]ბიუჯეტი!$B:$K,7,FALSE)</f>
        <v>0</v>
      </c>
      <c r="R88" s="77">
        <f>VLOOKUP($B88,[1]ბიუჯეტი!$B:$K,8,FALSE)</f>
        <v>0</v>
      </c>
      <c r="S88" s="77">
        <f>VLOOKUP($B88,[1]ბიუჯეტი!$B:$K,9,FALSE)</f>
        <v>0</v>
      </c>
      <c r="T88" s="77">
        <f>VLOOKUP($B88,[1]ბიუჯეტი!$B:$K,10,FALSE)</f>
        <v>1444.6411053063557</v>
      </c>
      <c r="V88" s="78">
        <f t="shared" si="12"/>
        <v>2.5423728813620983E-2</v>
      </c>
      <c r="W88" s="78">
        <f t="shared" si="13"/>
        <v>0</v>
      </c>
      <c r="X88" s="78">
        <f t="shared" si="14"/>
        <v>0</v>
      </c>
      <c r="Y88" s="78">
        <f t="shared" si="15"/>
        <v>15.220511381250002</v>
      </c>
    </row>
    <row r="89" spans="1:25" hidden="1" outlineLevel="1" x14ac:dyDescent="0.35">
      <c r="A89" s="51"/>
      <c r="B89" s="3" t="s">
        <v>369</v>
      </c>
      <c r="C89" s="4" t="s">
        <v>10</v>
      </c>
      <c r="D89" s="1">
        <f>D81</f>
        <v>2498.835</v>
      </c>
      <c r="E89" s="1">
        <f>SUMIFS(მასალა!D3:D163,მასალა!B3:B163,ბიუჯეტი!B89)</f>
        <v>0.84745762711864414</v>
      </c>
      <c r="F89" s="1">
        <f t="shared" si="9"/>
        <v>2117.656779661017</v>
      </c>
      <c r="G89" s="1"/>
      <c r="H89" s="1">
        <f t="shared" si="10"/>
        <v>0</v>
      </c>
      <c r="I89" s="1"/>
      <c r="J89" s="1"/>
      <c r="K89" s="1">
        <f t="shared" si="11"/>
        <v>2117.656779661017</v>
      </c>
      <c r="M89" s="77">
        <f>VLOOKUP(B89,[1]ბიუჯეტი!$B:$K,3,FALSE)</f>
        <v>658.10799999999995</v>
      </c>
      <c r="N89" s="77">
        <f>VLOOKUP($B89,[1]ბიუჯეტი!$B:$K,4,FALSE)</f>
        <v>0.84745762711864414</v>
      </c>
      <c r="O89" s="77">
        <f>VLOOKUP($B89,[1]ბიუჯეტი!$B:$K,5,FALSE)</f>
        <v>557.71864406779662</v>
      </c>
      <c r="P89" s="77">
        <f>VLOOKUP($B89,[1]ბიუჯეტი!$B:$K,6,FALSE)</f>
        <v>0</v>
      </c>
      <c r="Q89" s="77">
        <f>VLOOKUP($B89,[1]ბიუჯეტი!$B:$K,7,FALSE)</f>
        <v>0</v>
      </c>
      <c r="R89" s="77">
        <f>VLOOKUP($B89,[1]ბიუჯეტი!$B:$K,8,FALSE)</f>
        <v>0</v>
      </c>
      <c r="S89" s="77">
        <f>VLOOKUP($B89,[1]ბიუჯეტი!$B:$K,9,FALSE)</f>
        <v>0</v>
      </c>
      <c r="T89" s="77">
        <f>VLOOKUP($B89,[1]ბიუჯეტი!$B:$K,10,FALSE)</f>
        <v>557.71864406779662</v>
      </c>
      <c r="V89" s="78">
        <f t="shared" si="12"/>
        <v>0</v>
      </c>
      <c r="W89" s="78">
        <f t="shared" si="13"/>
        <v>0</v>
      </c>
      <c r="X89" s="78">
        <f t="shared" si="14"/>
        <v>0</v>
      </c>
      <c r="Y89" s="78">
        <f t="shared" si="15"/>
        <v>1840.7270000000001</v>
      </c>
    </row>
    <row r="90" spans="1:25" collapsed="1" x14ac:dyDescent="0.35">
      <c r="A90" s="51">
        <v>2</v>
      </c>
      <c r="B90" s="23" t="s">
        <v>252</v>
      </c>
      <c r="C90" s="4" t="s">
        <v>10</v>
      </c>
      <c r="D90" s="1">
        <f>SUM(D91,D92,D93)</f>
        <v>620.35</v>
      </c>
      <c r="E90" s="1">
        <f>SUM(F91:F93)/D90</f>
        <v>0</v>
      </c>
      <c r="F90" s="1">
        <f t="shared" si="9"/>
        <v>0</v>
      </c>
      <c r="G90" s="1">
        <f>SUM(H91:H93)/D90</f>
        <v>0</v>
      </c>
      <c r="H90" s="1">
        <f>G90*D90</f>
        <v>0</v>
      </c>
      <c r="I90" s="1">
        <f>SUM(J91:J93)/D90</f>
        <v>301.86440677966101</v>
      </c>
      <c r="J90" s="1">
        <f>I90*D90</f>
        <v>187261.58474576272</v>
      </c>
      <c r="K90" s="1">
        <f t="shared" ref="K90:K153" si="16">F90+H90+J90</f>
        <v>187261.58474576272</v>
      </c>
      <c r="L90" s="43"/>
      <c r="M90" s="77">
        <f>VLOOKUP(B90,[1]ბიუჯეტი!$B:$K,3,FALSE)</f>
        <v>592.40000000000009</v>
      </c>
      <c r="N90" s="77">
        <f>VLOOKUP($B90,[1]ბიუჯეტი!$B:$K,4,FALSE)</f>
        <v>0</v>
      </c>
      <c r="O90" s="77">
        <f>VLOOKUP($B90,[1]ბიუჯეტი!$B:$K,5,FALSE)</f>
        <v>0</v>
      </c>
      <c r="P90" s="77">
        <f>VLOOKUP($B90,[1]ბიუჯეტი!$B:$K,6,FALSE)</f>
        <v>0</v>
      </c>
      <c r="Q90" s="77">
        <f>VLOOKUP($B90,[1]ბიუჯეტი!$B:$K,7,FALSE)</f>
        <v>0</v>
      </c>
      <c r="R90" s="77">
        <f>VLOOKUP($B90,[1]ბიუჯეტი!$B:$K,8,FALSE)</f>
        <v>301.86440677966107</v>
      </c>
      <c r="S90" s="77">
        <f>VLOOKUP($B90,[1]ბიუჯეტი!$B:$K,9,FALSE)</f>
        <v>178824.47457627126</v>
      </c>
      <c r="T90" s="77">
        <f>VLOOKUP($B90,[1]ბიუჯეტი!$B:$K,10,FALSE)</f>
        <v>178824.47457627126</v>
      </c>
      <c r="V90" s="78">
        <f t="shared" si="12"/>
        <v>0</v>
      </c>
      <c r="W90" s="78">
        <f t="shared" si="13"/>
        <v>0</v>
      </c>
      <c r="X90" s="78">
        <f t="shared" si="14"/>
        <v>0</v>
      </c>
      <c r="Y90" s="78">
        <f t="shared" si="15"/>
        <v>27.949999999999932</v>
      </c>
    </row>
    <row r="91" spans="1:25" hidden="1" outlineLevel="1" x14ac:dyDescent="0.35">
      <c r="A91" s="62">
        <v>1</v>
      </c>
      <c r="B91" s="3" t="s">
        <v>158</v>
      </c>
      <c r="C91" s="4" t="s">
        <v>10</v>
      </c>
      <c r="D91" s="1">
        <f>სამუშაო!I14</f>
        <v>14.399999999999999</v>
      </c>
      <c r="E91" s="1"/>
      <c r="F91" s="1">
        <f t="shared" si="9"/>
        <v>0</v>
      </c>
      <c r="G91" s="1"/>
      <c r="H91" s="1">
        <f>D91*G91</f>
        <v>0</v>
      </c>
      <c r="I91" s="1">
        <f>მომსახურება!D3</f>
        <v>301.86440677966107</v>
      </c>
      <c r="J91" s="1">
        <f>I91*D91</f>
        <v>4346.8474576271192</v>
      </c>
      <c r="K91" s="1">
        <f t="shared" si="16"/>
        <v>4346.8474576271192</v>
      </c>
      <c r="M91" s="77">
        <f>VLOOKUP(B91,[1]ბიუჯეტი!$B:$K,3,FALSE)</f>
        <v>17.28</v>
      </c>
      <c r="N91" s="77">
        <f>VLOOKUP($B91,[1]ბიუჯეტი!$B:$K,4,FALSE)</f>
        <v>0</v>
      </c>
      <c r="O91" s="77">
        <f>VLOOKUP($B91,[1]ბიუჯეტი!$B:$K,5,FALSE)</f>
        <v>0</v>
      </c>
      <c r="P91" s="77">
        <f>VLOOKUP($B91,[1]ბიუჯეტი!$B:$K,6,FALSE)</f>
        <v>0</v>
      </c>
      <c r="Q91" s="77">
        <f>VLOOKUP($B91,[1]ბიუჯეტი!$B:$K,7,FALSE)</f>
        <v>0</v>
      </c>
      <c r="R91" s="77">
        <f>VLOOKUP($B91,[1]ბიუჯეტი!$B:$K,8,FALSE)</f>
        <v>301.86440677966107</v>
      </c>
      <c r="S91" s="77">
        <f>VLOOKUP($B91,[1]ბიუჯეტი!$B:$K,9,FALSE)</f>
        <v>5216.2169491525437</v>
      </c>
      <c r="T91" s="77">
        <f>VLOOKUP($B91,[1]ბიუჯეტი!$B:$K,10,FALSE)</f>
        <v>5216.2169491525437</v>
      </c>
      <c r="V91" s="78">
        <f t="shared" si="12"/>
        <v>0</v>
      </c>
      <c r="W91" s="78">
        <f t="shared" si="13"/>
        <v>0</v>
      </c>
      <c r="X91" s="78">
        <f t="shared" si="14"/>
        <v>0</v>
      </c>
      <c r="Y91" s="78">
        <f t="shared" si="15"/>
        <v>-2.8800000000000026</v>
      </c>
    </row>
    <row r="92" spans="1:25" hidden="1" outlineLevel="1" x14ac:dyDescent="0.35">
      <c r="A92" s="62">
        <v>2</v>
      </c>
      <c r="B92" s="3" t="s">
        <v>312</v>
      </c>
      <c r="C92" s="4" t="s">
        <v>10</v>
      </c>
      <c r="D92" s="1">
        <f>სამუშაო!I15</f>
        <v>146.02000000000001</v>
      </c>
      <c r="E92" s="1"/>
      <c r="F92" s="1">
        <f t="shared" si="9"/>
        <v>0</v>
      </c>
      <c r="G92" s="1"/>
      <c r="H92" s="1">
        <f>D92*G92</f>
        <v>0</v>
      </c>
      <c r="I92" s="1">
        <f>მომსახურება!D3</f>
        <v>301.86440677966107</v>
      </c>
      <c r="J92" s="1">
        <f>I92*D92</f>
        <v>44078.240677966111</v>
      </c>
      <c r="K92" s="1">
        <f t="shared" si="16"/>
        <v>44078.240677966111</v>
      </c>
      <c r="M92" s="77">
        <f>VLOOKUP(B92,[1]ბიუჯეტი!$B:$K,3,FALSE)</f>
        <v>118.16</v>
      </c>
      <c r="N92" s="77">
        <f>VLOOKUP($B92,[1]ბიუჯეტი!$B:$K,4,FALSE)</f>
        <v>0</v>
      </c>
      <c r="O92" s="77">
        <f>VLOOKUP($B92,[1]ბიუჯეტი!$B:$K,5,FALSE)</f>
        <v>0</v>
      </c>
      <c r="P92" s="77">
        <f>VLOOKUP($B92,[1]ბიუჯეტი!$B:$K,6,FALSE)</f>
        <v>0</v>
      </c>
      <c r="Q92" s="77">
        <f>VLOOKUP($B92,[1]ბიუჯეტი!$B:$K,7,FALSE)</f>
        <v>0</v>
      </c>
      <c r="R92" s="77">
        <f>VLOOKUP($B92,[1]ბიუჯეტი!$B:$K,8,FALSE)</f>
        <v>301.86440677966107</v>
      </c>
      <c r="S92" s="77">
        <f>VLOOKUP($B92,[1]ბიუჯეტი!$B:$K,9,FALSE)</f>
        <v>35668.298305084754</v>
      </c>
      <c r="T92" s="77">
        <f>VLOOKUP($B92,[1]ბიუჯეტი!$B:$K,10,FALSE)</f>
        <v>35668.298305084754</v>
      </c>
      <c r="V92" s="78">
        <f t="shared" si="12"/>
        <v>0</v>
      </c>
      <c r="W92" s="78">
        <f t="shared" si="13"/>
        <v>0</v>
      </c>
      <c r="X92" s="78">
        <f t="shared" si="14"/>
        <v>0</v>
      </c>
      <c r="Y92" s="78">
        <f t="shared" si="15"/>
        <v>27.860000000000014</v>
      </c>
    </row>
    <row r="93" spans="1:25" hidden="1" outlineLevel="1" x14ac:dyDescent="0.35">
      <c r="A93" s="62">
        <v>3</v>
      </c>
      <c r="B93" s="3" t="s">
        <v>157</v>
      </c>
      <c r="C93" s="4" t="s">
        <v>10</v>
      </c>
      <c r="D93" s="1">
        <f>სამუშაო!I16+სამუშაო!I17+სამუშაო!I18</f>
        <v>459.93</v>
      </c>
      <c r="E93" s="1"/>
      <c r="F93" s="1">
        <f t="shared" si="9"/>
        <v>0</v>
      </c>
      <c r="G93" s="1"/>
      <c r="H93" s="1">
        <f>D93*G93</f>
        <v>0</v>
      </c>
      <c r="I93" s="1">
        <f>მომსახურება!D3</f>
        <v>301.86440677966107</v>
      </c>
      <c r="J93" s="1">
        <f>I93*D93</f>
        <v>138836.4966101695</v>
      </c>
      <c r="K93" s="1">
        <f t="shared" si="16"/>
        <v>138836.4966101695</v>
      </c>
      <c r="M93" s="77">
        <f>VLOOKUP(B93,[1]ბიუჯეტი!$B:$K,3,FALSE)</f>
        <v>456.96000000000004</v>
      </c>
      <c r="N93" s="77">
        <f>VLOOKUP($B93,[1]ბიუჯეტი!$B:$K,4,FALSE)</f>
        <v>0</v>
      </c>
      <c r="O93" s="77">
        <f>VLOOKUP($B93,[1]ბიუჯეტი!$B:$K,5,FALSE)</f>
        <v>0</v>
      </c>
      <c r="P93" s="77">
        <f>VLOOKUP($B93,[1]ბიუჯეტი!$B:$K,6,FALSE)</f>
        <v>0</v>
      </c>
      <c r="Q93" s="77">
        <f>VLOOKUP($B93,[1]ბიუჯეტი!$B:$K,7,FALSE)</f>
        <v>0</v>
      </c>
      <c r="R93" s="77">
        <f>VLOOKUP($B93,[1]ბიუჯეტი!$B:$K,8,FALSE)</f>
        <v>301.86440677966107</v>
      </c>
      <c r="S93" s="77">
        <f>VLOOKUP($B93,[1]ბიუჯეტი!$B:$K,9,FALSE)</f>
        <v>137939.95932203394</v>
      </c>
      <c r="T93" s="77">
        <f>VLOOKUP($B93,[1]ბიუჯეტი!$B:$K,10,FALSE)</f>
        <v>137939.95932203394</v>
      </c>
      <c r="V93" s="78">
        <f t="shared" si="12"/>
        <v>0</v>
      </c>
      <c r="W93" s="78">
        <f t="shared" si="13"/>
        <v>0</v>
      </c>
      <c r="X93" s="78">
        <f t="shared" si="14"/>
        <v>0</v>
      </c>
      <c r="Y93" s="78">
        <f t="shared" si="15"/>
        <v>2.9699999999999704</v>
      </c>
    </row>
    <row r="94" spans="1:25" collapsed="1" x14ac:dyDescent="0.35">
      <c r="A94" s="51">
        <v>3</v>
      </c>
      <c r="B94" s="23" t="s">
        <v>53</v>
      </c>
      <c r="C94" s="4" t="s">
        <v>10</v>
      </c>
      <c r="D94" s="1">
        <f>D101+D95</f>
        <v>894.5</v>
      </c>
      <c r="E94" s="1">
        <f>SUM(F95:F106)/D94</f>
        <v>47.034784185133262</v>
      </c>
      <c r="F94" s="1">
        <f t="shared" si="9"/>
        <v>42072.614453601702</v>
      </c>
      <c r="G94" s="1">
        <f>SUM(H95:H106)/D94</f>
        <v>85.287593627724988</v>
      </c>
      <c r="H94" s="1">
        <f>G94*D94</f>
        <v>76289.752500000002</v>
      </c>
      <c r="I94" s="1">
        <v>15</v>
      </c>
      <c r="J94" s="1">
        <f>I94*D94</f>
        <v>13417.5</v>
      </c>
      <c r="K94" s="1">
        <f t="shared" si="16"/>
        <v>131779.86695360171</v>
      </c>
      <c r="M94" s="77">
        <f>VLOOKUP(B94,[1]ბიუჯეტი!$B:$K,3,FALSE)</f>
        <v>1072.18</v>
      </c>
      <c r="N94" s="77">
        <f>VLOOKUP($B94,[1]ბიუჯეტი!$B:$K,4,FALSE)</f>
        <v>46.640923051230018</v>
      </c>
      <c r="O94" s="77">
        <f>VLOOKUP($B94,[1]ბიუჯეტი!$B:$K,5,FALSE)</f>
        <v>50007.464877067803</v>
      </c>
      <c r="P94" s="77">
        <f>VLOOKUP($B94,[1]ბიუჯეტი!$B:$K,6,FALSE)</f>
        <v>84.887782368632145</v>
      </c>
      <c r="Q94" s="77">
        <f>VLOOKUP($B94,[1]ბიუჯეტი!$B:$K,7,FALSE)</f>
        <v>91014.982500000013</v>
      </c>
      <c r="R94" s="77">
        <f>VLOOKUP($B94,[1]ბიუჯეტი!$B:$K,8,FALSE)</f>
        <v>15</v>
      </c>
      <c r="S94" s="77">
        <f>VLOOKUP($B94,[1]ბიუჯეტი!$B:$K,9,FALSE)</f>
        <v>16082.7</v>
      </c>
      <c r="T94" s="77">
        <f>VLOOKUP($B94,[1]ბიუჯეტი!$B:$K,10,FALSE)</f>
        <v>157105.14737706783</v>
      </c>
      <c r="V94" s="78">
        <f t="shared" si="12"/>
        <v>0.3938611339032434</v>
      </c>
      <c r="W94" s="78">
        <f t="shared" si="13"/>
        <v>0.39981125909284287</v>
      </c>
      <c r="X94" s="78">
        <f t="shared" si="14"/>
        <v>0</v>
      </c>
      <c r="Y94" s="78">
        <f t="shared" si="15"/>
        <v>-177.68000000000006</v>
      </c>
    </row>
    <row r="95" spans="1:25" hidden="1" outlineLevel="1" x14ac:dyDescent="0.35">
      <c r="A95" s="51">
        <v>1</v>
      </c>
      <c r="B95" s="23" t="s">
        <v>184</v>
      </c>
      <c r="C95" s="4" t="s">
        <v>10</v>
      </c>
      <c r="D95" s="1">
        <f>სამუშაო!D24</f>
        <v>0</v>
      </c>
      <c r="E95" s="1"/>
      <c r="F95" s="1">
        <f t="shared" si="9"/>
        <v>0</v>
      </c>
      <c r="G95" s="1">
        <f>ხელფასი!D7</f>
        <v>82.875</v>
      </c>
      <c r="H95" s="1">
        <f t="shared" ref="H95:H106" si="17">D95*G95</f>
        <v>0</v>
      </c>
      <c r="I95" s="1"/>
      <c r="J95" s="1"/>
      <c r="K95" s="1">
        <f t="shared" si="16"/>
        <v>0</v>
      </c>
      <c r="M95" s="77">
        <f>VLOOKUP(B95,[1]ბიუჯეტი!$B:$K,3,FALSE)</f>
        <v>0</v>
      </c>
      <c r="N95" s="77">
        <f>VLOOKUP($B95,[1]ბიუჯეტი!$B:$K,4,FALSE)</f>
        <v>0</v>
      </c>
      <c r="O95" s="77">
        <f>VLOOKUP($B95,[1]ბიუჯეტი!$B:$K,5,FALSE)</f>
        <v>0</v>
      </c>
      <c r="P95" s="77">
        <f>VLOOKUP($B95,[1]ბიუჯეტი!$B:$K,6,FALSE)</f>
        <v>82.875</v>
      </c>
      <c r="Q95" s="77">
        <f>VLOOKUP($B95,[1]ბიუჯეტი!$B:$K,7,FALSE)</f>
        <v>0</v>
      </c>
      <c r="R95" s="77">
        <f>VLOOKUP($B95,[1]ბიუჯეტი!$B:$K,8,FALSE)</f>
        <v>0</v>
      </c>
      <c r="S95" s="77">
        <f>VLOOKUP($B95,[1]ბიუჯეტი!$B:$K,9,FALSE)</f>
        <v>0</v>
      </c>
      <c r="T95" s="77">
        <f>VLOOKUP($B95,[1]ბიუჯეტი!$B:$K,10,FALSE)</f>
        <v>0</v>
      </c>
      <c r="V95" s="78">
        <f t="shared" si="12"/>
        <v>0</v>
      </c>
      <c r="W95" s="78">
        <f t="shared" si="13"/>
        <v>0</v>
      </c>
      <c r="X95" s="78">
        <f t="shared" si="14"/>
        <v>0</v>
      </c>
      <c r="Y95" s="78">
        <f t="shared" si="15"/>
        <v>0</v>
      </c>
    </row>
    <row r="96" spans="1:25" hidden="1" outlineLevel="1" x14ac:dyDescent="0.35">
      <c r="A96" s="51"/>
      <c r="B96" s="3" t="s">
        <v>54</v>
      </c>
      <c r="C96" s="4" t="s">
        <v>55</v>
      </c>
      <c r="D96" s="1">
        <f>D95*35*1.05</f>
        <v>0</v>
      </c>
      <c r="E96" s="1">
        <f>SUMIFS(მასალა!D1:D170,მასალა!B1:B170,ბიუჯეტი!B96)</f>
        <v>0.80508474576271183</v>
      </c>
      <c r="F96" s="1">
        <f t="shared" si="9"/>
        <v>0</v>
      </c>
      <c r="G96" s="1"/>
      <c r="H96" s="1">
        <f t="shared" si="17"/>
        <v>0</v>
      </c>
      <c r="I96" s="1"/>
      <c r="J96" s="1"/>
      <c r="K96" s="1">
        <f t="shared" si="16"/>
        <v>0</v>
      </c>
      <c r="M96" s="77">
        <f>VLOOKUP(B96,[1]ბიუჯეტი!$B:$K,3,FALSE)</f>
        <v>0</v>
      </c>
      <c r="N96" s="77">
        <f>VLOOKUP($B96,[1]ბიუჯეტი!$B:$K,4,FALSE)</f>
        <v>0.80508474576271183</v>
      </c>
      <c r="O96" s="77">
        <f>VLOOKUP($B96,[1]ბიუჯეტი!$B:$K,5,FALSE)</f>
        <v>0</v>
      </c>
      <c r="P96" s="77">
        <f>VLOOKUP($B96,[1]ბიუჯეტი!$B:$K,6,FALSE)</f>
        <v>0</v>
      </c>
      <c r="Q96" s="77">
        <f>VLOOKUP($B96,[1]ბიუჯეტი!$B:$K,7,FALSE)</f>
        <v>0</v>
      </c>
      <c r="R96" s="77">
        <f>VLOOKUP($B96,[1]ბიუჯეტი!$B:$K,8,FALSE)</f>
        <v>0</v>
      </c>
      <c r="S96" s="77">
        <f>VLOOKUP($B96,[1]ბიუჯეტი!$B:$K,9,FALSE)</f>
        <v>0</v>
      </c>
      <c r="T96" s="77">
        <f>VLOOKUP($B96,[1]ბიუჯეტი!$B:$K,10,FALSE)</f>
        <v>0</v>
      </c>
      <c r="V96" s="78">
        <f t="shared" si="12"/>
        <v>0</v>
      </c>
      <c r="W96" s="78">
        <f t="shared" si="13"/>
        <v>0</v>
      </c>
      <c r="X96" s="78">
        <f t="shared" si="14"/>
        <v>0</v>
      </c>
      <c r="Y96" s="78">
        <f t="shared" si="15"/>
        <v>0</v>
      </c>
    </row>
    <row r="97" spans="1:25" hidden="1" outlineLevel="1" x14ac:dyDescent="0.35">
      <c r="A97" s="51"/>
      <c r="B97" s="3" t="s">
        <v>50</v>
      </c>
      <c r="C97" s="4" t="s">
        <v>9</v>
      </c>
      <c r="D97" s="1">
        <f>D95*0.03*1.05</f>
        <v>0</v>
      </c>
      <c r="E97" s="1">
        <f>SUMIFS(მასალა!D2:D171,მასალა!B2:B171,ბიუჯეტი!B97)</f>
        <v>59.322033898305087</v>
      </c>
      <c r="F97" s="1">
        <f t="shared" si="9"/>
        <v>0</v>
      </c>
      <c r="G97" s="1"/>
      <c r="H97" s="1">
        <f t="shared" si="17"/>
        <v>0</v>
      </c>
      <c r="I97" s="1"/>
      <c r="J97" s="1"/>
      <c r="K97" s="1">
        <f t="shared" si="16"/>
        <v>0</v>
      </c>
      <c r="M97" s="77">
        <f>VLOOKUP(B97,[1]ბიუჯეტი!$B:$K,3,FALSE)</f>
        <v>20.730401999999998</v>
      </c>
      <c r="N97" s="77">
        <f>VLOOKUP($B97,[1]ბიუჯეტი!$B:$K,4,FALSE)</f>
        <v>59.322033898305087</v>
      </c>
      <c r="O97" s="77">
        <f>VLOOKUP($B97,[1]ბიუჯეტი!$B:$K,5,FALSE)</f>
        <v>1229.7696101694914</v>
      </c>
      <c r="P97" s="77">
        <f>VLOOKUP($B97,[1]ბიუჯეტი!$B:$K,6,FALSE)</f>
        <v>0</v>
      </c>
      <c r="Q97" s="77">
        <f>VLOOKUP($B97,[1]ბიუჯეტი!$B:$K,7,FALSE)</f>
        <v>0</v>
      </c>
      <c r="R97" s="77">
        <f>VLOOKUP($B97,[1]ბიუჯეტი!$B:$K,8,FALSE)</f>
        <v>0</v>
      </c>
      <c r="S97" s="77">
        <f>VLOOKUP($B97,[1]ბიუჯეტი!$B:$K,9,FALSE)</f>
        <v>0</v>
      </c>
      <c r="T97" s="77">
        <f>VLOOKUP($B97,[1]ბიუჯეტი!$B:$K,10,FALSE)</f>
        <v>1229.7696101694914</v>
      </c>
      <c r="V97" s="78">
        <f t="shared" si="12"/>
        <v>0</v>
      </c>
      <c r="W97" s="78">
        <f t="shared" si="13"/>
        <v>0</v>
      </c>
      <c r="X97" s="78">
        <f t="shared" si="14"/>
        <v>0</v>
      </c>
      <c r="Y97" s="78">
        <f t="shared" si="15"/>
        <v>-20.730401999999998</v>
      </c>
    </row>
    <row r="98" spans="1:25" hidden="1" outlineLevel="1" x14ac:dyDescent="0.35">
      <c r="A98" s="51"/>
      <c r="B98" s="3" t="s">
        <v>185</v>
      </c>
      <c r="C98" s="4" t="s">
        <v>40</v>
      </c>
      <c r="D98" s="1">
        <v>0</v>
      </c>
      <c r="E98" s="1">
        <f>SUMIFS(მასალა!D3:D172,მასალა!B3:B172,ბიუჯეტი!B98)</f>
        <v>12.542372881355934</v>
      </c>
      <c r="F98" s="1">
        <f t="shared" si="9"/>
        <v>0</v>
      </c>
      <c r="G98" s="1">
        <f>ხელფასი!D31</f>
        <v>12.75</v>
      </c>
      <c r="H98" s="1">
        <f t="shared" si="17"/>
        <v>0</v>
      </c>
      <c r="I98" s="1"/>
      <c r="J98" s="1"/>
      <c r="K98" s="1">
        <f t="shared" si="16"/>
        <v>0</v>
      </c>
      <c r="M98" s="77">
        <f>VLOOKUP(B98,[1]ბიუჯეტი!$B:$K,3,FALSE)</f>
        <v>0</v>
      </c>
      <c r="N98" s="77">
        <f>VLOOKUP($B98,[1]ბიუჯეტი!$B:$K,4,FALSE)</f>
        <v>12.542372881355934</v>
      </c>
      <c r="O98" s="77">
        <f>VLOOKUP($B98,[1]ბიუჯეტი!$B:$K,5,FALSE)</f>
        <v>0</v>
      </c>
      <c r="P98" s="77">
        <f>VLOOKUP($B98,[1]ბიუჯეტი!$B:$K,6,FALSE)</f>
        <v>12.75</v>
      </c>
      <c r="Q98" s="77">
        <f>VLOOKUP($B98,[1]ბიუჯეტი!$B:$K,7,FALSE)</f>
        <v>0</v>
      </c>
      <c r="R98" s="77">
        <f>VLOOKUP($B98,[1]ბიუჯეტი!$B:$K,8,FALSE)</f>
        <v>0</v>
      </c>
      <c r="S98" s="77">
        <f>VLOOKUP($B98,[1]ბიუჯეტი!$B:$K,9,FALSE)</f>
        <v>0</v>
      </c>
      <c r="T98" s="77">
        <f>VLOOKUP($B98,[1]ბიუჯეტი!$B:$K,10,FALSE)</f>
        <v>0</v>
      </c>
      <c r="V98" s="78">
        <f t="shared" si="12"/>
        <v>0</v>
      </c>
      <c r="W98" s="78">
        <f t="shared" si="13"/>
        <v>0</v>
      </c>
      <c r="X98" s="78">
        <f t="shared" si="14"/>
        <v>0</v>
      </c>
      <c r="Y98" s="78">
        <f t="shared" si="15"/>
        <v>0</v>
      </c>
    </row>
    <row r="99" spans="1:25" hidden="1" outlineLevel="1" x14ac:dyDescent="0.35">
      <c r="A99" s="51"/>
      <c r="B99" s="3" t="s">
        <v>51</v>
      </c>
      <c r="C99" s="4" t="s">
        <v>12</v>
      </c>
      <c r="D99" s="1">
        <f>D97/4*1.05</f>
        <v>0</v>
      </c>
      <c r="E99" s="1">
        <f>SUMIFS(მასალა!D4:D173,მასალა!B4:B173,ბიუჯეტი!B99)</f>
        <v>265.50000000000006</v>
      </c>
      <c r="F99" s="1">
        <f t="shared" si="9"/>
        <v>0</v>
      </c>
      <c r="G99" s="1"/>
      <c r="H99" s="1">
        <f t="shared" si="17"/>
        <v>0</v>
      </c>
      <c r="I99" s="1"/>
      <c r="J99" s="1"/>
      <c r="K99" s="1">
        <f t="shared" si="16"/>
        <v>0</v>
      </c>
      <c r="M99" s="77">
        <f>VLOOKUP(B99,[1]ბიუჯეტი!$B:$K,3,FALSE)</f>
        <v>5.4417305249999997</v>
      </c>
      <c r="N99" s="77">
        <f>VLOOKUP($B99,[1]ბიუჯეტი!$B:$K,4,FALSE)</f>
        <v>265.47457627118644</v>
      </c>
      <c r="O99" s="77">
        <f>VLOOKUP($B99,[1]ბიუჯეტი!$B:$K,5,FALSE)</f>
        <v>1444.6411053063557</v>
      </c>
      <c r="P99" s="77">
        <f>VLOOKUP($B99,[1]ბიუჯეტი!$B:$K,6,FALSE)</f>
        <v>0</v>
      </c>
      <c r="Q99" s="77">
        <f>VLOOKUP($B99,[1]ბიუჯეტი!$B:$K,7,FALSE)</f>
        <v>0</v>
      </c>
      <c r="R99" s="77">
        <f>VLOOKUP($B99,[1]ბიუჯეტი!$B:$K,8,FALSE)</f>
        <v>0</v>
      </c>
      <c r="S99" s="77">
        <f>VLOOKUP($B99,[1]ბიუჯეტი!$B:$K,9,FALSE)</f>
        <v>0</v>
      </c>
      <c r="T99" s="77">
        <f>VLOOKUP($B99,[1]ბიუჯეტი!$B:$K,10,FALSE)</f>
        <v>1444.6411053063557</v>
      </c>
      <c r="V99" s="78">
        <f t="shared" si="12"/>
        <v>2.5423728813620983E-2</v>
      </c>
      <c r="W99" s="78">
        <f t="shared" si="13"/>
        <v>0</v>
      </c>
      <c r="X99" s="78">
        <f t="shared" si="14"/>
        <v>0</v>
      </c>
      <c r="Y99" s="78">
        <f t="shared" si="15"/>
        <v>-5.4417305249999997</v>
      </c>
    </row>
    <row r="100" spans="1:25" hidden="1" outlineLevel="1" x14ac:dyDescent="0.35">
      <c r="A100" s="51"/>
      <c r="B100" s="3" t="s">
        <v>370</v>
      </c>
      <c r="C100" s="4" t="s">
        <v>10</v>
      </c>
      <c r="D100" s="1">
        <f>D95</f>
        <v>0</v>
      </c>
      <c r="E100" s="1">
        <f>SUMIFS(მასალა!D5:D174,მასალა!B5:B174,ბიუჯეტი!B100)</f>
        <v>4.2372881355932206</v>
      </c>
      <c r="F100" s="1">
        <f t="shared" si="9"/>
        <v>0</v>
      </c>
      <c r="G100" s="1"/>
      <c r="H100" s="1">
        <f t="shared" si="17"/>
        <v>0</v>
      </c>
      <c r="I100" s="1"/>
      <c r="J100" s="1"/>
      <c r="K100" s="1">
        <f t="shared" si="16"/>
        <v>0</v>
      </c>
      <c r="M100" s="77">
        <f>VLOOKUP(B100,[1]ბიუჯეტი!$B:$K,3,FALSE)</f>
        <v>0</v>
      </c>
      <c r="N100" s="77">
        <f>VLOOKUP($B100,[1]ბიუჯეტი!$B:$K,4,FALSE)</f>
        <v>4.2372881355932206</v>
      </c>
      <c r="O100" s="77">
        <f>VLOOKUP($B100,[1]ბიუჯეტი!$B:$K,5,FALSE)</f>
        <v>0</v>
      </c>
      <c r="P100" s="77">
        <f>VLOOKUP($B100,[1]ბიუჯეტი!$B:$K,6,FALSE)</f>
        <v>0</v>
      </c>
      <c r="Q100" s="77">
        <f>VLOOKUP($B100,[1]ბიუჯეტი!$B:$K,7,FALSE)</f>
        <v>0</v>
      </c>
      <c r="R100" s="77">
        <f>VLOOKUP($B100,[1]ბიუჯეტი!$B:$K,8,FALSE)</f>
        <v>0</v>
      </c>
      <c r="S100" s="77">
        <f>VLOOKUP($B100,[1]ბიუჯეტი!$B:$K,9,FALSE)</f>
        <v>0</v>
      </c>
      <c r="T100" s="77">
        <f>VLOOKUP($B100,[1]ბიუჯეტი!$B:$K,10,FALSE)</f>
        <v>0</v>
      </c>
      <c r="V100" s="78">
        <f t="shared" si="12"/>
        <v>0</v>
      </c>
      <c r="W100" s="78">
        <f t="shared" si="13"/>
        <v>0</v>
      </c>
      <c r="X100" s="78">
        <f t="shared" si="14"/>
        <v>0</v>
      </c>
      <c r="Y100" s="78">
        <f t="shared" si="15"/>
        <v>0</v>
      </c>
    </row>
    <row r="101" spans="1:25" hidden="1" outlineLevel="1" x14ac:dyDescent="0.35">
      <c r="A101" s="51">
        <v>1</v>
      </c>
      <c r="B101" s="23" t="s">
        <v>425</v>
      </c>
      <c r="C101" s="4" t="s">
        <v>10</v>
      </c>
      <c r="D101" s="1">
        <f>სამუშაო!D25</f>
        <v>894.5</v>
      </c>
      <c r="E101" s="1"/>
      <c r="F101" s="1">
        <f t="shared" si="9"/>
        <v>0</v>
      </c>
      <c r="G101" s="1">
        <f>ხელფასი!D7</f>
        <v>82.875</v>
      </c>
      <c r="H101" s="1">
        <f t="shared" si="17"/>
        <v>74131.6875</v>
      </c>
      <c r="I101" s="1"/>
      <c r="J101" s="1"/>
      <c r="K101" s="1">
        <f t="shared" si="16"/>
        <v>74131.6875</v>
      </c>
      <c r="M101" s="77">
        <f>VLOOKUP(B101,[1]ბიუჯეტი!$B:$K,3,FALSE)</f>
        <v>1072.18</v>
      </c>
      <c r="N101" s="77">
        <f>VLOOKUP($B101,[1]ბიუჯეტი!$B:$K,4,FALSE)</f>
        <v>0</v>
      </c>
      <c r="O101" s="77">
        <f>VLOOKUP($B101,[1]ბიუჯეტი!$B:$K,5,FALSE)</f>
        <v>0</v>
      </c>
      <c r="P101" s="77">
        <f>VLOOKUP($B101,[1]ბიუჯეტი!$B:$K,6,FALSE)</f>
        <v>82.875</v>
      </c>
      <c r="Q101" s="77">
        <f>VLOOKUP($B101,[1]ბიუჯეტი!$B:$K,7,FALSE)</f>
        <v>88856.91750000001</v>
      </c>
      <c r="R101" s="77">
        <f>VLOOKUP($B101,[1]ბიუჯეტი!$B:$K,8,FALSE)</f>
        <v>0</v>
      </c>
      <c r="S101" s="77">
        <f>VLOOKUP($B101,[1]ბიუჯეტი!$B:$K,9,FALSE)</f>
        <v>0</v>
      </c>
      <c r="T101" s="77">
        <f>VLOOKUP($B101,[1]ბიუჯეტი!$B:$K,10,FALSE)</f>
        <v>88856.91750000001</v>
      </c>
      <c r="V101" s="78">
        <f t="shared" si="12"/>
        <v>0</v>
      </c>
      <c r="W101" s="78">
        <f t="shared" si="13"/>
        <v>0</v>
      </c>
      <c r="X101" s="78">
        <f t="shared" si="14"/>
        <v>0</v>
      </c>
      <c r="Y101" s="78">
        <f t="shared" si="15"/>
        <v>-177.68000000000006</v>
      </c>
    </row>
    <row r="102" spans="1:25" hidden="1" outlineLevel="1" x14ac:dyDescent="0.35">
      <c r="A102" s="51"/>
      <c r="B102" s="3" t="s">
        <v>54</v>
      </c>
      <c r="C102" s="4" t="s">
        <v>55</v>
      </c>
      <c r="D102" s="1">
        <f>D101*35*1.05</f>
        <v>32872.875</v>
      </c>
      <c r="E102" s="1">
        <f>SUMIFS(მასალა!D1:D176,მასალა!B1:B176,ბიუჯეტი!B102)</f>
        <v>0.80508474576271183</v>
      </c>
      <c r="F102" s="1">
        <f t="shared" si="9"/>
        <v>26465.450211864405</v>
      </c>
      <c r="G102" s="1"/>
      <c r="H102" s="1">
        <f t="shared" si="17"/>
        <v>0</v>
      </c>
      <c r="I102" s="1"/>
      <c r="J102" s="1"/>
      <c r="K102" s="1">
        <f t="shared" si="16"/>
        <v>26465.450211864405</v>
      </c>
      <c r="M102" s="77">
        <f>VLOOKUP(B102,[1]ბიუჯეტი!$B:$K,3,FALSE)</f>
        <v>0</v>
      </c>
      <c r="N102" s="77">
        <f>VLOOKUP($B102,[1]ბიუჯეტი!$B:$K,4,FALSE)</f>
        <v>0.80508474576271183</v>
      </c>
      <c r="O102" s="77">
        <f>VLOOKUP($B102,[1]ბიუჯეტი!$B:$K,5,FALSE)</f>
        <v>0</v>
      </c>
      <c r="P102" s="77">
        <f>VLOOKUP($B102,[1]ბიუჯეტი!$B:$K,6,FALSE)</f>
        <v>0</v>
      </c>
      <c r="Q102" s="77">
        <f>VLOOKUP($B102,[1]ბიუჯეტი!$B:$K,7,FALSE)</f>
        <v>0</v>
      </c>
      <c r="R102" s="77">
        <f>VLOOKUP($B102,[1]ბიუჯეტი!$B:$K,8,FALSE)</f>
        <v>0</v>
      </c>
      <c r="S102" s="77">
        <f>VLOOKUP($B102,[1]ბიუჯეტი!$B:$K,9,FALSE)</f>
        <v>0</v>
      </c>
      <c r="T102" s="77">
        <f>VLOOKUP($B102,[1]ბიუჯეტი!$B:$K,10,FALSE)</f>
        <v>0</v>
      </c>
      <c r="V102" s="78">
        <f t="shared" si="12"/>
        <v>0</v>
      </c>
      <c r="W102" s="78">
        <f t="shared" si="13"/>
        <v>0</v>
      </c>
      <c r="X102" s="78">
        <f t="shared" si="14"/>
        <v>0</v>
      </c>
      <c r="Y102" s="78">
        <f t="shared" si="15"/>
        <v>32872.875</v>
      </c>
    </row>
    <row r="103" spans="1:25" hidden="1" outlineLevel="1" x14ac:dyDescent="0.35">
      <c r="A103" s="51"/>
      <c r="B103" s="3" t="s">
        <v>50</v>
      </c>
      <c r="C103" s="4" t="s">
        <v>9</v>
      </c>
      <c r="D103" s="1">
        <f>D101*0.08*1.05</f>
        <v>75.138000000000005</v>
      </c>
      <c r="E103" s="1">
        <f>SUMIFS(მასალა!D2:D177,მასალა!B2:B177,ბიუჯეტი!B103)</f>
        <v>59.322033898305087</v>
      </c>
      <c r="F103" s="1">
        <f t="shared" si="9"/>
        <v>4457.3389830508477</v>
      </c>
      <c r="G103" s="1"/>
      <c r="H103" s="1">
        <f t="shared" si="17"/>
        <v>0</v>
      </c>
      <c r="I103" s="1"/>
      <c r="J103" s="1"/>
      <c r="K103" s="1">
        <f t="shared" si="16"/>
        <v>4457.3389830508477</v>
      </c>
      <c r="M103" s="77">
        <f>VLOOKUP(B103,[1]ბიუჯეტი!$B:$K,3,FALSE)</f>
        <v>20.730401999999998</v>
      </c>
      <c r="N103" s="77">
        <f>VLOOKUP($B103,[1]ბიუჯეტი!$B:$K,4,FALSE)</f>
        <v>59.322033898305087</v>
      </c>
      <c r="O103" s="77">
        <f>VLOOKUP($B103,[1]ბიუჯეტი!$B:$K,5,FALSE)</f>
        <v>1229.7696101694914</v>
      </c>
      <c r="P103" s="77">
        <f>VLOOKUP($B103,[1]ბიუჯეტი!$B:$K,6,FALSE)</f>
        <v>0</v>
      </c>
      <c r="Q103" s="77">
        <f>VLOOKUP($B103,[1]ბიუჯეტი!$B:$K,7,FALSE)</f>
        <v>0</v>
      </c>
      <c r="R103" s="77">
        <f>VLOOKUP($B103,[1]ბიუჯეტი!$B:$K,8,FALSE)</f>
        <v>0</v>
      </c>
      <c r="S103" s="77">
        <f>VLOOKUP($B103,[1]ბიუჯეტი!$B:$K,9,FALSE)</f>
        <v>0</v>
      </c>
      <c r="T103" s="77">
        <f>VLOOKUP($B103,[1]ბიუჯეტი!$B:$K,10,FALSE)</f>
        <v>1229.7696101694914</v>
      </c>
      <c r="V103" s="78">
        <f t="shared" si="12"/>
        <v>0</v>
      </c>
      <c r="W103" s="78">
        <f t="shared" si="13"/>
        <v>0</v>
      </c>
      <c r="X103" s="78">
        <f t="shared" si="14"/>
        <v>0</v>
      </c>
      <c r="Y103" s="78">
        <f t="shared" si="15"/>
        <v>54.407598000000007</v>
      </c>
    </row>
    <row r="104" spans="1:25" hidden="1" outlineLevel="1" x14ac:dyDescent="0.35">
      <c r="A104" s="51"/>
      <c r="B104" s="3" t="s">
        <v>185</v>
      </c>
      <c r="C104" s="4" t="s">
        <v>40</v>
      </c>
      <c r="D104" s="1">
        <f>161.2*1.05</f>
        <v>169.26</v>
      </c>
      <c r="E104" s="1">
        <f>SUMIFS(მასალა!D3:D178,მასალა!B3:B178,ბიუჯეტი!B104)</f>
        <v>12.542372881355934</v>
      </c>
      <c r="F104" s="1">
        <f t="shared" si="9"/>
        <v>2122.9220338983055</v>
      </c>
      <c r="G104" s="1">
        <f>ხელფასი!D31</f>
        <v>12.75</v>
      </c>
      <c r="H104" s="1">
        <f t="shared" si="17"/>
        <v>2158.0650000000001</v>
      </c>
      <c r="I104" s="1"/>
      <c r="J104" s="1"/>
      <c r="K104" s="1">
        <f t="shared" si="16"/>
        <v>4280.9870338983055</v>
      </c>
      <c r="M104" s="77">
        <f>VLOOKUP(B104,[1]ბიუჯეტი!$B:$K,3,FALSE)</f>
        <v>0</v>
      </c>
      <c r="N104" s="77">
        <f>VLOOKUP($B104,[1]ბიუჯეტი!$B:$K,4,FALSE)</f>
        <v>12.542372881355934</v>
      </c>
      <c r="O104" s="77">
        <f>VLOOKUP($B104,[1]ბიუჯეტი!$B:$K,5,FALSE)</f>
        <v>0</v>
      </c>
      <c r="P104" s="77">
        <f>VLOOKUP($B104,[1]ბიუჯეტი!$B:$K,6,FALSE)</f>
        <v>12.75</v>
      </c>
      <c r="Q104" s="77">
        <f>VLOOKUP($B104,[1]ბიუჯეტი!$B:$K,7,FALSE)</f>
        <v>0</v>
      </c>
      <c r="R104" s="77">
        <f>VLOOKUP($B104,[1]ბიუჯეტი!$B:$K,8,FALSE)</f>
        <v>0</v>
      </c>
      <c r="S104" s="77">
        <f>VLOOKUP($B104,[1]ბიუჯეტი!$B:$K,9,FALSE)</f>
        <v>0</v>
      </c>
      <c r="T104" s="77">
        <f>VLOOKUP($B104,[1]ბიუჯეტი!$B:$K,10,FALSE)</f>
        <v>0</v>
      </c>
      <c r="V104" s="78">
        <f t="shared" si="12"/>
        <v>0</v>
      </c>
      <c r="W104" s="78">
        <f t="shared" si="13"/>
        <v>0</v>
      </c>
      <c r="X104" s="78">
        <f t="shared" si="14"/>
        <v>0</v>
      </c>
      <c r="Y104" s="78">
        <f t="shared" si="15"/>
        <v>169.26</v>
      </c>
    </row>
    <row r="105" spans="1:25" hidden="1" outlineLevel="1" x14ac:dyDescent="0.35">
      <c r="A105" s="51"/>
      <c r="B105" s="3" t="s">
        <v>51</v>
      </c>
      <c r="C105" s="4" t="s">
        <v>12</v>
      </c>
      <c r="D105" s="1">
        <f>D103/4*1.05</f>
        <v>19.723725000000002</v>
      </c>
      <c r="E105" s="1">
        <f>SUMIFS(მასალა!D4:D179,მასალა!B4:B179,ბიუჯეტი!B105)</f>
        <v>265.50000000000006</v>
      </c>
      <c r="F105" s="1">
        <f t="shared" si="9"/>
        <v>5236.6489875000016</v>
      </c>
      <c r="G105" s="1"/>
      <c r="H105" s="1">
        <f t="shared" si="17"/>
        <v>0</v>
      </c>
      <c r="I105" s="1"/>
      <c r="J105" s="1"/>
      <c r="K105" s="1">
        <f t="shared" si="16"/>
        <v>5236.6489875000016</v>
      </c>
      <c r="M105" s="77">
        <f>VLOOKUP(B105,[1]ბიუჯეტი!$B:$K,3,FALSE)</f>
        <v>5.4417305249999997</v>
      </c>
      <c r="N105" s="77">
        <f>VLOOKUP($B105,[1]ბიუჯეტი!$B:$K,4,FALSE)</f>
        <v>265.47457627118644</v>
      </c>
      <c r="O105" s="77">
        <f>VLOOKUP($B105,[1]ბიუჯეტი!$B:$K,5,FALSE)</f>
        <v>1444.6411053063557</v>
      </c>
      <c r="P105" s="77">
        <f>VLOOKUP($B105,[1]ბიუჯეტი!$B:$K,6,FALSE)</f>
        <v>0</v>
      </c>
      <c r="Q105" s="77">
        <f>VLOOKUP($B105,[1]ბიუჯეტი!$B:$K,7,FALSE)</f>
        <v>0</v>
      </c>
      <c r="R105" s="77">
        <f>VLOOKUP($B105,[1]ბიუჯეტი!$B:$K,8,FALSE)</f>
        <v>0</v>
      </c>
      <c r="S105" s="77">
        <f>VLOOKUP($B105,[1]ბიუჯეტი!$B:$K,9,FALSE)</f>
        <v>0</v>
      </c>
      <c r="T105" s="77">
        <f>VLOOKUP($B105,[1]ბიუჯეტი!$B:$K,10,FALSE)</f>
        <v>1444.6411053063557</v>
      </c>
      <c r="V105" s="78">
        <f t="shared" si="12"/>
        <v>2.5423728813620983E-2</v>
      </c>
      <c r="W105" s="78">
        <f t="shared" si="13"/>
        <v>0</v>
      </c>
      <c r="X105" s="78">
        <f t="shared" si="14"/>
        <v>0</v>
      </c>
      <c r="Y105" s="78">
        <f t="shared" si="15"/>
        <v>14.281994475000001</v>
      </c>
    </row>
    <row r="106" spans="1:25" hidden="1" outlineLevel="1" x14ac:dyDescent="0.35">
      <c r="A106" s="51"/>
      <c r="B106" s="3" t="s">
        <v>370</v>
      </c>
      <c r="C106" s="4" t="s">
        <v>10</v>
      </c>
      <c r="D106" s="1">
        <f>D101</f>
        <v>894.5</v>
      </c>
      <c r="E106" s="1">
        <f>SUMIFS(მასალა!D5:D180,მასალა!B5:B180,ბიუჯეტი!B106)</f>
        <v>4.2372881355932206</v>
      </c>
      <c r="F106" s="1">
        <f t="shared" si="9"/>
        <v>3790.2542372881358</v>
      </c>
      <c r="G106" s="1"/>
      <c r="H106" s="1">
        <f t="shared" si="17"/>
        <v>0</v>
      </c>
      <c r="I106" s="1"/>
      <c r="J106" s="1"/>
      <c r="K106" s="1">
        <f t="shared" si="16"/>
        <v>3790.2542372881358</v>
      </c>
      <c r="M106" s="77">
        <f>VLOOKUP(B106,[1]ბიუჯეტი!$B:$K,3,FALSE)</f>
        <v>0</v>
      </c>
      <c r="N106" s="77">
        <f>VLOOKUP($B106,[1]ბიუჯეტი!$B:$K,4,FALSE)</f>
        <v>4.2372881355932206</v>
      </c>
      <c r="O106" s="77">
        <f>VLOOKUP($B106,[1]ბიუჯეტი!$B:$K,5,FALSE)</f>
        <v>0</v>
      </c>
      <c r="P106" s="77">
        <f>VLOOKUP($B106,[1]ბიუჯეტი!$B:$K,6,FALSE)</f>
        <v>0</v>
      </c>
      <c r="Q106" s="77">
        <f>VLOOKUP($B106,[1]ბიუჯეტი!$B:$K,7,FALSE)</f>
        <v>0</v>
      </c>
      <c r="R106" s="77">
        <f>VLOOKUP($B106,[1]ბიუჯეტი!$B:$K,8,FALSE)</f>
        <v>0</v>
      </c>
      <c r="S106" s="77">
        <f>VLOOKUP($B106,[1]ბიუჯეტი!$B:$K,9,FALSE)</f>
        <v>0</v>
      </c>
      <c r="T106" s="77">
        <f>VLOOKUP($B106,[1]ბიუჯეტი!$B:$K,10,FALSE)</f>
        <v>0</v>
      </c>
      <c r="V106" s="78">
        <f t="shared" si="12"/>
        <v>0</v>
      </c>
      <c r="W106" s="78">
        <f t="shared" si="13"/>
        <v>0</v>
      </c>
      <c r="X106" s="78">
        <f t="shared" si="14"/>
        <v>0</v>
      </c>
      <c r="Y106" s="78">
        <f t="shared" si="15"/>
        <v>894.5</v>
      </c>
    </row>
    <row r="107" spans="1:25" collapsed="1" x14ac:dyDescent="0.35">
      <c r="A107" s="51">
        <v>4</v>
      </c>
      <c r="B107" s="23" t="s">
        <v>56</v>
      </c>
      <c r="C107" s="4" t="s">
        <v>40</v>
      </c>
      <c r="D107" s="1">
        <f>SUM(D108,D113,D118)</f>
        <v>576.4</v>
      </c>
      <c r="E107" s="1">
        <f>SUM(K119:K122,K114:K117,K109:K112)/D107</f>
        <v>9.7505927629995757</v>
      </c>
      <c r="F107" s="1">
        <f t="shared" si="9"/>
        <v>5620.2416685929556</v>
      </c>
      <c r="G107" s="1">
        <f>G108</f>
        <v>44.625</v>
      </c>
      <c r="H107" s="1">
        <f>G107*D107</f>
        <v>25721.85</v>
      </c>
      <c r="I107" s="1">
        <v>0</v>
      </c>
      <c r="J107" s="1">
        <v>0</v>
      </c>
      <c r="K107" s="1">
        <f t="shared" si="16"/>
        <v>31342.091668592955</v>
      </c>
      <c r="M107" s="77">
        <f>VLOOKUP(B107,[1]ბიუჯეტი!$B:$K,3,FALSE)</f>
        <v>729.95</v>
      </c>
      <c r="N107" s="77">
        <f>VLOOKUP($B107,[1]ბიუჯეტი!$B:$K,4,FALSE)</f>
        <v>9.5092812414684253</v>
      </c>
      <c r="O107" s="77">
        <f>VLOOKUP($B107,[1]ბიუჯეტი!$B:$K,5,FALSE)</f>
        <v>6941.2998422098772</v>
      </c>
      <c r="P107" s="77">
        <f>VLOOKUP($B107,[1]ბიუჯეტი!$B:$K,6,FALSE)</f>
        <v>44.625</v>
      </c>
      <c r="Q107" s="77">
        <f>VLOOKUP($B107,[1]ბიუჯეტი!$B:$K,7,FALSE)</f>
        <v>32574.018750000003</v>
      </c>
      <c r="R107" s="77">
        <f>VLOOKUP($B107,[1]ბიუჯეტი!$B:$K,8,FALSE)</f>
        <v>0</v>
      </c>
      <c r="S107" s="77">
        <f>VLOOKUP($B107,[1]ბიუჯეტი!$B:$K,9,FALSE)</f>
        <v>0</v>
      </c>
      <c r="T107" s="77">
        <f>VLOOKUP($B107,[1]ბიუჯეტი!$B:$K,10,FALSE)</f>
        <v>39515.318592209878</v>
      </c>
      <c r="V107" s="78">
        <f t="shared" si="12"/>
        <v>0.24131152153115032</v>
      </c>
      <c r="W107" s="78">
        <f t="shared" si="13"/>
        <v>0</v>
      </c>
      <c r="X107" s="78">
        <f t="shared" si="14"/>
        <v>0</v>
      </c>
      <c r="Y107" s="78">
        <f t="shared" si="15"/>
        <v>-153.55000000000007</v>
      </c>
    </row>
    <row r="108" spans="1:25" hidden="1" outlineLevel="1" x14ac:dyDescent="0.35">
      <c r="A108" s="51">
        <v>1</v>
      </c>
      <c r="B108" s="23" t="s">
        <v>57</v>
      </c>
      <c r="C108" s="4" t="s">
        <v>40</v>
      </c>
      <c r="D108" s="1">
        <f>სამუშაო!F24+სამუშაო!F25</f>
        <v>107.8</v>
      </c>
      <c r="E108" s="1"/>
      <c r="F108" s="1">
        <f t="shared" si="9"/>
        <v>0</v>
      </c>
      <c r="G108" s="1">
        <f>ხელფასი!D8</f>
        <v>44.625</v>
      </c>
      <c r="H108" s="1">
        <f t="shared" ref="H108:H140" si="18">D108*G108</f>
        <v>4810.5749999999998</v>
      </c>
      <c r="I108" s="1"/>
      <c r="J108" s="1"/>
      <c r="K108" s="1">
        <f t="shared" si="16"/>
        <v>4810.5749999999998</v>
      </c>
      <c r="M108" s="77">
        <f>VLOOKUP(B108,[1]ბიუჯეტი!$B:$K,3,FALSE)</f>
        <v>218.95</v>
      </c>
      <c r="N108" s="77">
        <f>VLOOKUP($B108,[1]ბიუჯეტი!$B:$K,4,FALSE)</f>
        <v>0</v>
      </c>
      <c r="O108" s="77">
        <f>VLOOKUP($B108,[1]ბიუჯეტი!$B:$K,5,FALSE)</f>
        <v>0</v>
      </c>
      <c r="P108" s="77">
        <f>VLOOKUP($B108,[1]ბიუჯეტი!$B:$K,6,FALSE)</f>
        <v>44.625</v>
      </c>
      <c r="Q108" s="77">
        <f>VLOOKUP($B108,[1]ბიუჯეტი!$B:$K,7,FALSE)</f>
        <v>9770.6437499999993</v>
      </c>
      <c r="R108" s="77">
        <f>VLOOKUP($B108,[1]ბიუჯეტი!$B:$K,8,FALSE)</f>
        <v>0</v>
      </c>
      <c r="S108" s="77">
        <f>VLOOKUP($B108,[1]ბიუჯეტი!$B:$K,9,FALSE)</f>
        <v>0</v>
      </c>
      <c r="T108" s="77">
        <f>VLOOKUP($B108,[1]ბიუჯეტი!$B:$K,10,FALSE)</f>
        <v>9770.6437499999993</v>
      </c>
      <c r="V108" s="78">
        <f t="shared" si="12"/>
        <v>0</v>
      </c>
      <c r="W108" s="78">
        <f t="shared" si="13"/>
        <v>0</v>
      </c>
      <c r="X108" s="78">
        <f t="shared" si="14"/>
        <v>0</v>
      </c>
      <c r="Y108" s="78">
        <f t="shared" si="15"/>
        <v>-111.14999999999999</v>
      </c>
    </row>
    <row r="109" spans="1:25" hidden="1" outlineLevel="1" x14ac:dyDescent="0.35">
      <c r="A109" s="51"/>
      <c r="B109" s="3" t="s">
        <v>54</v>
      </c>
      <c r="C109" s="4" t="s">
        <v>55</v>
      </c>
      <c r="D109" s="1">
        <f>D108*6.5</f>
        <v>700.69999999999993</v>
      </c>
      <c r="E109" s="1">
        <f>SUMIFS(მასალა!D1:D194,მასალა!B1:B194,ბიუჯეტი!B109)</f>
        <v>0.80508474576271183</v>
      </c>
      <c r="F109" s="1">
        <f t="shared" si="9"/>
        <v>564.12288135593212</v>
      </c>
      <c r="G109" s="1"/>
      <c r="H109" s="1">
        <f t="shared" si="18"/>
        <v>0</v>
      </c>
      <c r="I109" s="1"/>
      <c r="J109" s="1"/>
      <c r="K109" s="1">
        <f t="shared" si="16"/>
        <v>564.12288135593212</v>
      </c>
      <c r="M109" s="77">
        <f>VLOOKUP(B109,[1]ბიუჯეტი!$B:$K,3,FALSE)</f>
        <v>0</v>
      </c>
      <c r="N109" s="77">
        <f>VLOOKUP($B109,[1]ბიუჯეტი!$B:$K,4,FALSE)</f>
        <v>0.80508474576271183</v>
      </c>
      <c r="O109" s="77">
        <f>VLOOKUP($B109,[1]ბიუჯეტი!$B:$K,5,FALSE)</f>
        <v>0</v>
      </c>
      <c r="P109" s="77">
        <f>VLOOKUP($B109,[1]ბიუჯეტი!$B:$K,6,FALSE)</f>
        <v>0</v>
      </c>
      <c r="Q109" s="77">
        <f>VLOOKUP($B109,[1]ბიუჯეტი!$B:$K,7,FALSE)</f>
        <v>0</v>
      </c>
      <c r="R109" s="77">
        <f>VLOOKUP($B109,[1]ბიუჯეტი!$B:$K,8,FALSE)</f>
        <v>0</v>
      </c>
      <c r="S109" s="77">
        <f>VLOOKUP($B109,[1]ბიუჯეტი!$B:$K,9,FALSE)</f>
        <v>0</v>
      </c>
      <c r="T109" s="77">
        <f>VLOOKUP($B109,[1]ბიუჯეტი!$B:$K,10,FALSE)</f>
        <v>0</v>
      </c>
      <c r="V109" s="78">
        <f t="shared" si="12"/>
        <v>0</v>
      </c>
      <c r="W109" s="78">
        <f t="shared" si="13"/>
        <v>0</v>
      </c>
      <c r="X109" s="78">
        <f t="shared" si="14"/>
        <v>0</v>
      </c>
      <c r="Y109" s="78">
        <f t="shared" si="15"/>
        <v>700.69999999999993</v>
      </c>
    </row>
    <row r="110" spans="1:25" hidden="1" outlineLevel="1" x14ac:dyDescent="0.35">
      <c r="A110" s="51"/>
      <c r="B110" s="3" t="s">
        <v>63</v>
      </c>
      <c r="C110" s="4" t="s">
        <v>55</v>
      </c>
      <c r="D110" s="1">
        <v>8</v>
      </c>
      <c r="E110" s="1">
        <f>SUMIFS(მასალა!D2:D195,მასალა!B2:B195,ბიუჯეტი!B110)</f>
        <v>11.016949152542374</v>
      </c>
      <c r="F110" s="1">
        <f t="shared" si="9"/>
        <v>88.13559322033899</v>
      </c>
      <c r="G110" s="1"/>
      <c r="H110" s="1">
        <f t="shared" si="18"/>
        <v>0</v>
      </c>
      <c r="I110" s="1"/>
      <c r="J110" s="1"/>
      <c r="K110" s="1">
        <f t="shared" si="16"/>
        <v>88.13559322033899</v>
      </c>
      <c r="M110" s="77">
        <f>VLOOKUP(B110,[1]ბიუჯეტი!$B:$K,3,FALSE)</f>
        <v>8</v>
      </c>
      <c r="N110" s="77">
        <f>VLOOKUP($B110,[1]ბიუჯეტი!$B:$K,4,FALSE)</f>
        <v>11.016949152542374</v>
      </c>
      <c r="O110" s="77">
        <f>VLOOKUP($B110,[1]ბიუჯეტი!$B:$K,5,FALSE)</f>
        <v>88.13559322033899</v>
      </c>
      <c r="P110" s="77">
        <f>VLOOKUP($B110,[1]ბიუჯეტი!$B:$K,6,FALSE)</f>
        <v>0</v>
      </c>
      <c r="Q110" s="77">
        <f>VLOOKUP($B110,[1]ბიუჯეტი!$B:$K,7,FALSE)</f>
        <v>0</v>
      </c>
      <c r="R110" s="77">
        <f>VLOOKUP($B110,[1]ბიუჯეტი!$B:$K,8,FALSE)</f>
        <v>0</v>
      </c>
      <c r="S110" s="77">
        <f>VLOOKUP($B110,[1]ბიუჯეტი!$B:$K,9,FALSE)</f>
        <v>0</v>
      </c>
      <c r="T110" s="77">
        <f>VLOOKUP($B110,[1]ბიუჯეტი!$B:$K,10,FALSE)</f>
        <v>88.13559322033899</v>
      </c>
      <c r="V110" s="78">
        <f t="shared" si="12"/>
        <v>0</v>
      </c>
      <c r="W110" s="78">
        <f t="shared" si="13"/>
        <v>0</v>
      </c>
      <c r="X110" s="78">
        <f t="shared" si="14"/>
        <v>0</v>
      </c>
      <c r="Y110" s="78">
        <f t="shared" si="15"/>
        <v>0</v>
      </c>
    </row>
    <row r="111" spans="1:25" hidden="1" outlineLevel="1" x14ac:dyDescent="0.35">
      <c r="A111" s="51"/>
      <c r="B111" s="3" t="s">
        <v>50</v>
      </c>
      <c r="C111" s="4" t="s">
        <v>9</v>
      </c>
      <c r="D111" s="1">
        <f>D109*0.15*0.03*1.05</f>
        <v>3.3108074999999997</v>
      </c>
      <c r="E111" s="1">
        <f>SUMIFS(მასალა!D3:D196,მასალა!B3:B196,ბიუჯეტი!B111)</f>
        <v>59.322033898305087</v>
      </c>
      <c r="F111" s="1">
        <f>D111*E111</f>
        <v>196.40383474576271</v>
      </c>
      <c r="G111" s="1"/>
      <c r="H111" s="1">
        <f>D111*G111</f>
        <v>0</v>
      </c>
      <c r="I111" s="1"/>
      <c r="J111" s="1"/>
      <c r="K111" s="1">
        <f t="shared" si="16"/>
        <v>196.40383474576271</v>
      </c>
      <c r="M111" s="77">
        <f>VLOOKUP(B111,[1]ბიუჯეტი!$B:$K,3,FALSE)</f>
        <v>20.730401999999998</v>
      </c>
      <c r="N111" s="77">
        <f>VLOOKUP($B111,[1]ბიუჯეტი!$B:$K,4,FALSE)</f>
        <v>59.322033898305087</v>
      </c>
      <c r="O111" s="77">
        <f>VLOOKUP($B111,[1]ბიუჯეტი!$B:$K,5,FALSE)</f>
        <v>1229.7696101694914</v>
      </c>
      <c r="P111" s="77">
        <f>VLOOKUP($B111,[1]ბიუჯეტი!$B:$K,6,FALSE)</f>
        <v>0</v>
      </c>
      <c r="Q111" s="77">
        <f>VLOOKUP($B111,[1]ბიუჯეტი!$B:$K,7,FALSE)</f>
        <v>0</v>
      </c>
      <c r="R111" s="77">
        <f>VLOOKUP($B111,[1]ბიუჯეტი!$B:$K,8,FALSE)</f>
        <v>0</v>
      </c>
      <c r="S111" s="77">
        <f>VLOOKUP($B111,[1]ბიუჯეტი!$B:$K,9,FALSE)</f>
        <v>0</v>
      </c>
      <c r="T111" s="77">
        <f>VLOOKUP($B111,[1]ბიუჯეტი!$B:$K,10,FALSE)</f>
        <v>1229.7696101694914</v>
      </c>
      <c r="V111" s="78">
        <f t="shared" si="12"/>
        <v>0</v>
      </c>
      <c r="W111" s="78">
        <f t="shared" si="13"/>
        <v>0</v>
      </c>
      <c r="X111" s="78">
        <f t="shared" si="14"/>
        <v>0</v>
      </c>
      <c r="Y111" s="78">
        <f t="shared" si="15"/>
        <v>-17.419594499999999</v>
      </c>
    </row>
    <row r="112" spans="1:25" hidden="1" outlineLevel="1" x14ac:dyDescent="0.35">
      <c r="A112" s="51"/>
      <c r="B112" s="3" t="s">
        <v>51</v>
      </c>
      <c r="C112" s="4" t="s">
        <v>12</v>
      </c>
      <c r="D112" s="1">
        <f>D111/4*1.05</f>
        <v>0.86908696874999991</v>
      </c>
      <c r="E112" s="1">
        <f>SUMIFS(მასალა!D4:D197,მასალა!B4:B197,ბიუჯეტი!B112)</f>
        <v>265.50000000000006</v>
      </c>
      <c r="F112" s="1">
        <f t="shared" si="9"/>
        <v>230.74259020312502</v>
      </c>
      <c r="G112" s="1"/>
      <c r="H112" s="1">
        <f t="shared" si="18"/>
        <v>0</v>
      </c>
      <c r="I112" s="1"/>
      <c r="J112" s="1"/>
      <c r="K112" s="1">
        <f t="shared" si="16"/>
        <v>230.74259020312502</v>
      </c>
      <c r="M112" s="77">
        <f>VLOOKUP(B112,[1]ბიუჯეტი!$B:$K,3,FALSE)</f>
        <v>5.4417305249999997</v>
      </c>
      <c r="N112" s="77">
        <f>VLOOKUP($B112,[1]ბიუჯეტი!$B:$K,4,FALSE)</f>
        <v>265.47457627118644</v>
      </c>
      <c r="O112" s="77">
        <f>VLOOKUP($B112,[1]ბიუჯეტი!$B:$K,5,FALSE)</f>
        <v>1444.6411053063557</v>
      </c>
      <c r="P112" s="77">
        <f>VLOOKUP($B112,[1]ბიუჯეტი!$B:$K,6,FALSE)</f>
        <v>0</v>
      </c>
      <c r="Q112" s="77">
        <f>VLOOKUP($B112,[1]ბიუჯეტი!$B:$K,7,FALSE)</f>
        <v>0</v>
      </c>
      <c r="R112" s="77">
        <f>VLOOKUP($B112,[1]ბიუჯეტი!$B:$K,8,FALSE)</f>
        <v>0</v>
      </c>
      <c r="S112" s="77">
        <f>VLOOKUP($B112,[1]ბიუჯეტი!$B:$K,9,FALSE)</f>
        <v>0</v>
      </c>
      <c r="T112" s="77">
        <f>VLOOKUP($B112,[1]ბიუჯეტი!$B:$K,10,FALSE)</f>
        <v>1444.6411053063557</v>
      </c>
      <c r="V112" s="78">
        <f t="shared" si="12"/>
        <v>2.5423728813620983E-2</v>
      </c>
      <c r="W112" s="78">
        <f t="shared" si="13"/>
        <v>0</v>
      </c>
      <c r="X112" s="78">
        <f t="shared" si="14"/>
        <v>0</v>
      </c>
      <c r="Y112" s="78">
        <f t="shared" si="15"/>
        <v>-4.5726435562500001</v>
      </c>
    </row>
    <row r="113" spans="1:25" hidden="1" outlineLevel="1" x14ac:dyDescent="0.35">
      <c r="A113" s="51">
        <v>2</v>
      </c>
      <c r="B113" s="23" t="s">
        <v>160</v>
      </c>
      <c r="C113" s="4" t="s">
        <v>40</v>
      </c>
      <c r="D113" s="1">
        <f>სამუშაო!F26</f>
        <v>462.6</v>
      </c>
      <c r="E113" s="1"/>
      <c r="F113" s="1">
        <f t="shared" si="9"/>
        <v>0</v>
      </c>
      <c r="G113" s="1">
        <f>ხელფასი!D8</f>
        <v>44.625</v>
      </c>
      <c r="H113" s="1">
        <f t="shared" si="18"/>
        <v>20643.525000000001</v>
      </c>
      <c r="I113" s="1"/>
      <c r="J113" s="1"/>
      <c r="K113" s="1">
        <f t="shared" si="16"/>
        <v>20643.525000000001</v>
      </c>
      <c r="M113" s="77">
        <f>VLOOKUP(B113,[1]ბიუჯეტი!$B:$K,3,FALSE)</f>
        <v>507</v>
      </c>
      <c r="N113" s="77">
        <f>VLOOKUP($B113,[1]ბიუჯეტი!$B:$K,4,FALSE)</f>
        <v>0</v>
      </c>
      <c r="O113" s="77">
        <f>VLOOKUP($B113,[1]ბიუჯეტი!$B:$K,5,FALSE)</f>
        <v>0</v>
      </c>
      <c r="P113" s="77">
        <f>VLOOKUP($B113,[1]ბიუჯეტი!$B:$K,6,FALSE)</f>
        <v>44.625</v>
      </c>
      <c r="Q113" s="77">
        <f>VLOOKUP($B113,[1]ბიუჯეტი!$B:$K,7,FALSE)</f>
        <v>22624.875</v>
      </c>
      <c r="R113" s="77">
        <f>VLOOKUP($B113,[1]ბიუჯეტი!$B:$K,8,FALSE)</f>
        <v>0</v>
      </c>
      <c r="S113" s="77">
        <f>VLOOKUP($B113,[1]ბიუჯეტი!$B:$K,9,FALSE)</f>
        <v>0</v>
      </c>
      <c r="T113" s="77">
        <f>VLOOKUP($B113,[1]ბიუჯეტი!$B:$K,10,FALSE)</f>
        <v>22624.875</v>
      </c>
      <c r="V113" s="78">
        <f t="shared" si="12"/>
        <v>0</v>
      </c>
      <c r="W113" s="78">
        <f t="shared" si="13"/>
        <v>0</v>
      </c>
      <c r="X113" s="78">
        <f t="shared" si="14"/>
        <v>0</v>
      </c>
      <c r="Y113" s="78">
        <f t="shared" si="15"/>
        <v>-44.399999999999977</v>
      </c>
    </row>
    <row r="114" spans="1:25" hidden="1" outlineLevel="1" x14ac:dyDescent="0.35">
      <c r="A114" s="51"/>
      <c r="B114" s="3" t="s">
        <v>54</v>
      </c>
      <c r="C114" s="4" t="s">
        <v>55</v>
      </c>
      <c r="D114" s="1">
        <f>D113*6.5</f>
        <v>3006.9</v>
      </c>
      <c r="E114" s="1">
        <f>SUMIFS(მასალა!D1:D199,მასალა!B1:B199,ბიუჯეტი!B114)</f>
        <v>0.80508474576271183</v>
      </c>
      <c r="F114" s="1">
        <f t="shared" si="9"/>
        <v>2420.8093220338983</v>
      </c>
      <c r="G114" s="1"/>
      <c r="H114" s="1">
        <f t="shared" si="18"/>
        <v>0</v>
      </c>
      <c r="I114" s="1"/>
      <c r="J114" s="1"/>
      <c r="K114" s="1">
        <f t="shared" si="16"/>
        <v>2420.8093220338983</v>
      </c>
      <c r="M114" s="77">
        <f>VLOOKUP(B114,[1]ბიუჯეტი!$B:$K,3,FALSE)</f>
        <v>0</v>
      </c>
      <c r="N114" s="77">
        <f>VLOOKUP($B114,[1]ბიუჯეტი!$B:$K,4,FALSE)</f>
        <v>0.80508474576271183</v>
      </c>
      <c r="O114" s="77">
        <f>VLOOKUP($B114,[1]ბიუჯეტი!$B:$K,5,FALSE)</f>
        <v>0</v>
      </c>
      <c r="P114" s="77">
        <f>VLOOKUP($B114,[1]ბიუჯეტი!$B:$K,6,FALSE)</f>
        <v>0</v>
      </c>
      <c r="Q114" s="77">
        <f>VLOOKUP($B114,[1]ბიუჯეტი!$B:$K,7,FALSE)</f>
        <v>0</v>
      </c>
      <c r="R114" s="77">
        <f>VLOOKUP($B114,[1]ბიუჯეტი!$B:$K,8,FALSE)</f>
        <v>0</v>
      </c>
      <c r="S114" s="77">
        <f>VLOOKUP($B114,[1]ბიუჯეტი!$B:$K,9,FALSE)</f>
        <v>0</v>
      </c>
      <c r="T114" s="77">
        <f>VLOOKUP($B114,[1]ბიუჯეტი!$B:$K,10,FALSE)</f>
        <v>0</v>
      </c>
      <c r="V114" s="78">
        <f t="shared" si="12"/>
        <v>0</v>
      </c>
      <c r="W114" s="78">
        <f t="shared" si="13"/>
        <v>0</v>
      </c>
      <c r="X114" s="78">
        <f t="shared" si="14"/>
        <v>0</v>
      </c>
      <c r="Y114" s="78">
        <f t="shared" si="15"/>
        <v>3006.9</v>
      </c>
    </row>
    <row r="115" spans="1:25" hidden="1" outlineLevel="1" x14ac:dyDescent="0.35">
      <c r="A115" s="51"/>
      <c r="B115" s="3" t="s">
        <v>63</v>
      </c>
      <c r="C115" s="4" t="s">
        <v>55</v>
      </c>
      <c r="D115" s="1">
        <v>15</v>
      </c>
      <c r="E115" s="1">
        <f>SUMIFS(მასალა!D2:D200,მასალა!B2:B200,ბიუჯეტი!B115)</f>
        <v>11.016949152542374</v>
      </c>
      <c r="F115" s="1">
        <f t="shared" si="9"/>
        <v>165.25423728813561</v>
      </c>
      <c r="G115" s="1"/>
      <c r="H115" s="1">
        <f t="shared" si="18"/>
        <v>0</v>
      </c>
      <c r="I115" s="1"/>
      <c r="J115" s="1"/>
      <c r="K115" s="1">
        <f t="shared" si="16"/>
        <v>165.25423728813561</v>
      </c>
      <c r="M115" s="77">
        <f>VLOOKUP(B115,[1]ბიუჯეტი!$B:$K,3,FALSE)</f>
        <v>8</v>
      </c>
      <c r="N115" s="77">
        <f>VLOOKUP($B115,[1]ბიუჯეტი!$B:$K,4,FALSE)</f>
        <v>11.016949152542374</v>
      </c>
      <c r="O115" s="77">
        <f>VLOOKUP($B115,[1]ბიუჯეტი!$B:$K,5,FALSE)</f>
        <v>88.13559322033899</v>
      </c>
      <c r="P115" s="77">
        <f>VLOOKUP($B115,[1]ბიუჯეტი!$B:$K,6,FALSE)</f>
        <v>0</v>
      </c>
      <c r="Q115" s="77">
        <f>VLOOKUP($B115,[1]ბიუჯეტი!$B:$K,7,FALSE)</f>
        <v>0</v>
      </c>
      <c r="R115" s="77">
        <f>VLOOKUP($B115,[1]ბიუჯეტი!$B:$K,8,FALSE)</f>
        <v>0</v>
      </c>
      <c r="S115" s="77">
        <f>VLOOKUP($B115,[1]ბიუჯეტი!$B:$K,9,FALSE)</f>
        <v>0</v>
      </c>
      <c r="T115" s="77">
        <f>VLOOKUP($B115,[1]ბიუჯეტი!$B:$K,10,FALSE)</f>
        <v>88.13559322033899</v>
      </c>
      <c r="V115" s="78">
        <f t="shared" si="12"/>
        <v>0</v>
      </c>
      <c r="W115" s="78">
        <f t="shared" si="13"/>
        <v>0</v>
      </c>
      <c r="X115" s="78">
        <f t="shared" si="14"/>
        <v>0</v>
      </c>
      <c r="Y115" s="78">
        <f t="shared" si="15"/>
        <v>7</v>
      </c>
    </row>
    <row r="116" spans="1:25" hidden="1" outlineLevel="1" x14ac:dyDescent="0.35">
      <c r="A116" s="51"/>
      <c r="B116" s="3" t="s">
        <v>50</v>
      </c>
      <c r="C116" s="4" t="s">
        <v>9</v>
      </c>
      <c r="D116" s="1">
        <f>D114*0.15*0.03*1.05</f>
        <v>14.207602500000002</v>
      </c>
      <c r="E116" s="1">
        <f>SUMIFS(მასალა!D3:D201,მასალა!B3:B201,ბიუჯეტი!B116)</f>
        <v>59.322033898305087</v>
      </c>
      <c r="F116" s="1">
        <f>D116*E116</f>
        <v>842.82387711864419</v>
      </c>
      <c r="G116" s="1"/>
      <c r="H116" s="1">
        <f>D116*G116</f>
        <v>0</v>
      </c>
      <c r="I116" s="1"/>
      <c r="J116" s="1"/>
      <c r="K116" s="1">
        <f t="shared" si="16"/>
        <v>842.82387711864419</v>
      </c>
      <c r="M116" s="77">
        <f>VLOOKUP(B116,[1]ბიუჯეტი!$B:$K,3,FALSE)</f>
        <v>20.730401999999998</v>
      </c>
      <c r="N116" s="77">
        <f>VLOOKUP($B116,[1]ბიუჯეტი!$B:$K,4,FALSE)</f>
        <v>59.322033898305087</v>
      </c>
      <c r="O116" s="77">
        <f>VLOOKUP($B116,[1]ბიუჯეტი!$B:$K,5,FALSE)</f>
        <v>1229.7696101694914</v>
      </c>
      <c r="P116" s="77">
        <f>VLOOKUP($B116,[1]ბიუჯეტი!$B:$K,6,FALSE)</f>
        <v>0</v>
      </c>
      <c r="Q116" s="77">
        <f>VLOOKUP($B116,[1]ბიუჯეტი!$B:$K,7,FALSE)</f>
        <v>0</v>
      </c>
      <c r="R116" s="77">
        <f>VLOOKUP($B116,[1]ბიუჯეტი!$B:$K,8,FALSE)</f>
        <v>0</v>
      </c>
      <c r="S116" s="77">
        <f>VLOOKUP($B116,[1]ბიუჯეტი!$B:$K,9,FALSE)</f>
        <v>0</v>
      </c>
      <c r="T116" s="77">
        <f>VLOOKUP($B116,[1]ბიუჯეტი!$B:$K,10,FALSE)</f>
        <v>1229.7696101694914</v>
      </c>
      <c r="V116" s="78">
        <f t="shared" si="12"/>
        <v>0</v>
      </c>
      <c r="W116" s="78">
        <f t="shared" si="13"/>
        <v>0</v>
      </c>
      <c r="X116" s="78">
        <f t="shared" si="14"/>
        <v>0</v>
      </c>
      <c r="Y116" s="78">
        <f t="shared" si="15"/>
        <v>-6.5227994999999961</v>
      </c>
    </row>
    <row r="117" spans="1:25" hidden="1" outlineLevel="1" x14ac:dyDescent="0.35">
      <c r="A117" s="51"/>
      <c r="B117" s="3" t="s">
        <v>51</v>
      </c>
      <c r="C117" s="4" t="s">
        <v>12</v>
      </c>
      <c r="D117" s="1">
        <f>D115/4*1.05</f>
        <v>3.9375</v>
      </c>
      <c r="E117" s="1">
        <f>SUMIFS(მასალა!D4:D202,მასალა!B4:B202,ბიუჯეტი!B117)</f>
        <v>265.50000000000006</v>
      </c>
      <c r="F117" s="1">
        <f t="shared" si="9"/>
        <v>1045.4062500000002</v>
      </c>
      <c r="G117" s="1"/>
      <c r="H117" s="1">
        <f t="shared" si="18"/>
        <v>0</v>
      </c>
      <c r="I117" s="1"/>
      <c r="J117" s="1"/>
      <c r="K117" s="1">
        <f t="shared" si="16"/>
        <v>1045.4062500000002</v>
      </c>
      <c r="M117" s="77">
        <f>VLOOKUP(B117,[1]ბიუჯეტი!$B:$K,3,FALSE)</f>
        <v>5.4417305249999997</v>
      </c>
      <c r="N117" s="77">
        <f>VLOOKUP($B117,[1]ბიუჯეტი!$B:$K,4,FALSE)</f>
        <v>265.47457627118644</v>
      </c>
      <c r="O117" s="77">
        <f>VLOOKUP($B117,[1]ბიუჯეტი!$B:$K,5,FALSE)</f>
        <v>1444.6411053063557</v>
      </c>
      <c r="P117" s="77">
        <f>VLOOKUP($B117,[1]ბიუჯეტი!$B:$K,6,FALSE)</f>
        <v>0</v>
      </c>
      <c r="Q117" s="77">
        <f>VLOOKUP($B117,[1]ბიუჯეტი!$B:$K,7,FALSE)</f>
        <v>0</v>
      </c>
      <c r="R117" s="77">
        <f>VLOOKUP($B117,[1]ბიუჯეტი!$B:$K,8,FALSE)</f>
        <v>0</v>
      </c>
      <c r="S117" s="77">
        <f>VLOOKUP($B117,[1]ბიუჯეტი!$B:$K,9,FALSE)</f>
        <v>0</v>
      </c>
      <c r="T117" s="77">
        <f>VLOOKUP($B117,[1]ბიუჯეტი!$B:$K,10,FALSE)</f>
        <v>1444.6411053063557</v>
      </c>
      <c r="V117" s="78">
        <f t="shared" si="12"/>
        <v>2.5423728813620983E-2</v>
      </c>
      <c r="W117" s="78">
        <f t="shared" si="13"/>
        <v>0</v>
      </c>
      <c r="X117" s="78">
        <f t="shared" si="14"/>
        <v>0</v>
      </c>
      <c r="Y117" s="78">
        <f t="shared" si="15"/>
        <v>-1.5042305249999997</v>
      </c>
    </row>
    <row r="118" spans="1:25" hidden="1" outlineLevel="1" x14ac:dyDescent="0.35">
      <c r="A118" s="51">
        <v>3</v>
      </c>
      <c r="B118" s="23" t="s">
        <v>58</v>
      </c>
      <c r="C118" s="4" t="s">
        <v>40</v>
      </c>
      <c r="D118" s="1">
        <f>სამუშაო!F29</f>
        <v>6</v>
      </c>
      <c r="E118" s="1"/>
      <c r="F118" s="1">
        <f t="shared" si="9"/>
        <v>0</v>
      </c>
      <c r="G118" s="1">
        <f>ხელფასი!D8</f>
        <v>44.625</v>
      </c>
      <c r="H118" s="1">
        <f t="shared" si="18"/>
        <v>267.75</v>
      </c>
      <c r="I118" s="1"/>
      <c r="J118" s="1"/>
      <c r="K118" s="1">
        <f t="shared" si="16"/>
        <v>267.75</v>
      </c>
      <c r="M118" s="77">
        <f>VLOOKUP(B118,[1]ბიუჯეტი!$B:$K,3,FALSE)</f>
        <v>4</v>
      </c>
      <c r="N118" s="77">
        <f>VLOOKUP($B118,[1]ბიუჯეტი!$B:$K,4,FALSE)</f>
        <v>0</v>
      </c>
      <c r="O118" s="77">
        <f>VLOOKUP($B118,[1]ბიუჯეტი!$B:$K,5,FALSE)</f>
        <v>0</v>
      </c>
      <c r="P118" s="77">
        <f>VLOOKUP($B118,[1]ბიუჯეტი!$B:$K,6,FALSE)</f>
        <v>44.625</v>
      </c>
      <c r="Q118" s="77">
        <f>VLOOKUP($B118,[1]ბიუჯეტი!$B:$K,7,FALSE)</f>
        <v>178.5</v>
      </c>
      <c r="R118" s="77">
        <f>VLOOKUP($B118,[1]ბიუჯეტი!$B:$K,8,FALSE)</f>
        <v>0</v>
      </c>
      <c r="S118" s="77">
        <f>VLOOKUP($B118,[1]ბიუჯეტი!$B:$K,9,FALSE)</f>
        <v>0</v>
      </c>
      <c r="T118" s="77">
        <f>VLOOKUP($B118,[1]ბიუჯეტი!$B:$K,10,FALSE)</f>
        <v>178.5</v>
      </c>
      <c r="V118" s="78">
        <f t="shared" si="12"/>
        <v>0</v>
      </c>
      <c r="W118" s="78">
        <f t="shared" si="13"/>
        <v>0</v>
      </c>
      <c r="X118" s="78">
        <f t="shared" si="14"/>
        <v>0</v>
      </c>
      <c r="Y118" s="78">
        <f t="shared" si="15"/>
        <v>2</v>
      </c>
    </row>
    <row r="119" spans="1:25" hidden="1" outlineLevel="1" x14ac:dyDescent="0.35">
      <c r="A119" s="51"/>
      <c r="B119" s="3" t="s">
        <v>54</v>
      </c>
      <c r="C119" s="4" t="s">
        <v>55</v>
      </c>
      <c r="D119" s="1">
        <f>D118*6.5</f>
        <v>39</v>
      </c>
      <c r="E119" s="1">
        <f>SUMIFS(მასალა!D1:D204,მასალა!B1:B204,ბიუჯეტი!B119)</f>
        <v>0.80508474576271183</v>
      </c>
      <c r="F119" s="1">
        <f t="shared" si="9"/>
        <v>31.398305084745761</v>
      </c>
      <c r="G119" s="1"/>
      <c r="H119" s="1">
        <f t="shared" si="18"/>
        <v>0</v>
      </c>
      <c r="I119" s="1"/>
      <c r="J119" s="1"/>
      <c r="K119" s="1">
        <f t="shared" si="16"/>
        <v>31.398305084745761</v>
      </c>
      <c r="M119" s="77">
        <f>VLOOKUP(B119,[1]ბიუჯეტი!$B:$K,3,FALSE)</f>
        <v>0</v>
      </c>
      <c r="N119" s="77">
        <f>VLOOKUP($B119,[1]ბიუჯეტი!$B:$K,4,FALSE)</f>
        <v>0.80508474576271183</v>
      </c>
      <c r="O119" s="77">
        <f>VLOOKUP($B119,[1]ბიუჯეტი!$B:$K,5,FALSE)</f>
        <v>0</v>
      </c>
      <c r="P119" s="77">
        <f>VLOOKUP($B119,[1]ბიუჯეტი!$B:$K,6,FALSE)</f>
        <v>0</v>
      </c>
      <c r="Q119" s="77">
        <f>VLOOKUP($B119,[1]ბიუჯეტი!$B:$K,7,FALSE)</f>
        <v>0</v>
      </c>
      <c r="R119" s="77">
        <f>VLOOKUP($B119,[1]ბიუჯეტი!$B:$K,8,FALSE)</f>
        <v>0</v>
      </c>
      <c r="S119" s="77">
        <f>VLOOKUP($B119,[1]ბიუჯეტი!$B:$K,9,FALSE)</f>
        <v>0</v>
      </c>
      <c r="T119" s="77">
        <f>VLOOKUP($B119,[1]ბიუჯეტი!$B:$K,10,FALSE)</f>
        <v>0</v>
      </c>
      <c r="V119" s="78">
        <f t="shared" si="12"/>
        <v>0</v>
      </c>
      <c r="W119" s="78">
        <f t="shared" si="13"/>
        <v>0</v>
      </c>
      <c r="X119" s="78">
        <f t="shared" si="14"/>
        <v>0</v>
      </c>
      <c r="Y119" s="78">
        <f t="shared" si="15"/>
        <v>39</v>
      </c>
    </row>
    <row r="120" spans="1:25" hidden="1" outlineLevel="1" x14ac:dyDescent="0.35">
      <c r="A120" s="51"/>
      <c r="B120" s="3" t="s">
        <v>63</v>
      </c>
      <c r="C120" s="4" t="s">
        <v>55</v>
      </c>
      <c r="D120" s="1">
        <v>0.3</v>
      </c>
      <c r="E120" s="1">
        <f>SUMIFS(მასალა!D2:D205,მასალა!B2:B205,ბიუჯეტი!B120)</f>
        <v>11.016949152542374</v>
      </c>
      <c r="F120" s="1">
        <f t="shared" si="9"/>
        <v>3.3050847457627119</v>
      </c>
      <c r="G120" s="1"/>
      <c r="H120" s="1">
        <f t="shared" si="18"/>
        <v>0</v>
      </c>
      <c r="I120" s="1"/>
      <c r="J120" s="1"/>
      <c r="K120" s="1">
        <f t="shared" si="16"/>
        <v>3.3050847457627119</v>
      </c>
      <c r="M120" s="77">
        <f>VLOOKUP(B120,[1]ბიუჯეტი!$B:$K,3,FALSE)</f>
        <v>8</v>
      </c>
      <c r="N120" s="77">
        <f>VLOOKUP($B120,[1]ბიუჯეტი!$B:$K,4,FALSE)</f>
        <v>11.016949152542374</v>
      </c>
      <c r="O120" s="77">
        <f>VLOOKUP($B120,[1]ბიუჯეტი!$B:$K,5,FALSE)</f>
        <v>88.13559322033899</v>
      </c>
      <c r="P120" s="77">
        <f>VLOOKUP($B120,[1]ბიუჯეტი!$B:$K,6,FALSE)</f>
        <v>0</v>
      </c>
      <c r="Q120" s="77">
        <f>VLOOKUP($B120,[1]ბიუჯეტი!$B:$K,7,FALSE)</f>
        <v>0</v>
      </c>
      <c r="R120" s="77">
        <f>VLOOKUP($B120,[1]ბიუჯეტი!$B:$K,8,FALSE)</f>
        <v>0</v>
      </c>
      <c r="S120" s="77">
        <f>VLOOKUP($B120,[1]ბიუჯეტი!$B:$K,9,FALSE)</f>
        <v>0</v>
      </c>
      <c r="T120" s="77">
        <f>VLOOKUP($B120,[1]ბიუჯეტი!$B:$K,10,FALSE)</f>
        <v>88.13559322033899</v>
      </c>
      <c r="V120" s="78">
        <f t="shared" si="12"/>
        <v>0</v>
      </c>
      <c r="W120" s="78">
        <f t="shared" si="13"/>
        <v>0</v>
      </c>
      <c r="X120" s="78">
        <f t="shared" si="14"/>
        <v>0</v>
      </c>
      <c r="Y120" s="78">
        <f t="shared" si="15"/>
        <v>-7.7</v>
      </c>
    </row>
    <row r="121" spans="1:25" hidden="1" outlineLevel="1" x14ac:dyDescent="0.35">
      <c r="A121" s="51"/>
      <c r="B121" s="3" t="s">
        <v>50</v>
      </c>
      <c r="C121" s="4" t="s">
        <v>9</v>
      </c>
      <c r="D121" s="1">
        <f>D119*0.15*0.03*1.05</f>
        <v>0.18427499999999999</v>
      </c>
      <c r="E121" s="1">
        <f>SUMIFS(მასალა!D3:D206,მასალა!B3:B206,ბიუჯეტი!B121)</f>
        <v>59.322033898305087</v>
      </c>
      <c r="F121" s="1">
        <f>D121*E121</f>
        <v>10.931567796610169</v>
      </c>
      <c r="G121" s="1"/>
      <c r="H121" s="1">
        <f>D121*G121</f>
        <v>0</v>
      </c>
      <c r="I121" s="1"/>
      <c r="J121" s="1"/>
      <c r="K121" s="1">
        <f t="shared" si="16"/>
        <v>10.931567796610169</v>
      </c>
      <c r="M121" s="77">
        <f>VLOOKUP(B121,[1]ბიუჯეტი!$B:$K,3,FALSE)</f>
        <v>20.730401999999998</v>
      </c>
      <c r="N121" s="77">
        <f>VLOOKUP($B121,[1]ბიუჯეტი!$B:$K,4,FALSE)</f>
        <v>59.322033898305087</v>
      </c>
      <c r="O121" s="77">
        <f>VLOOKUP($B121,[1]ბიუჯეტი!$B:$K,5,FALSE)</f>
        <v>1229.7696101694914</v>
      </c>
      <c r="P121" s="77">
        <f>VLOOKUP($B121,[1]ბიუჯეტი!$B:$K,6,FALSE)</f>
        <v>0</v>
      </c>
      <c r="Q121" s="77">
        <f>VLOOKUP($B121,[1]ბიუჯეტი!$B:$K,7,FALSE)</f>
        <v>0</v>
      </c>
      <c r="R121" s="77">
        <f>VLOOKUP($B121,[1]ბიუჯეტი!$B:$K,8,FALSE)</f>
        <v>0</v>
      </c>
      <c r="S121" s="77">
        <f>VLOOKUP($B121,[1]ბიუჯეტი!$B:$K,9,FALSE)</f>
        <v>0</v>
      </c>
      <c r="T121" s="77">
        <f>VLOOKUP($B121,[1]ბიუჯეტი!$B:$K,10,FALSE)</f>
        <v>1229.7696101694914</v>
      </c>
      <c r="V121" s="78">
        <f t="shared" si="12"/>
        <v>0</v>
      </c>
      <c r="W121" s="78">
        <f t="shared" si="13"/>
        <v>0</v>
      </c>
      <c r="X121" s="78">
        <f t="shared" si="14"/>
        <v>0</v>
      </c>
      <c r="Y121" s="78">
        <f t="shared" si="15"/>
        <v>-20.546126999999998</v>
      </c>
    </row>
    <row r="122" spans="1:25" hidden="1" outlineLevel="1" x14ac:dyDescent="0.35">
      <c r="A122" s="51"/>
      <c r="B122" s="3" t="s">
        <v>51</v>
      </c>
      <c r="C122" s="4" t="s">
        <v>12</v>
      </c>
      <c r="D122" s="1">
        <f>D120/4*1.05</f>
        <v>7.8750000000000001E-2</v>
      </c>
      <c r="E122" s="1">
        <f>SUMIFS(მასალა!D4:D207,მასალა!B4:B207,ბიუჯეტი!B122)</f>
        <v>265.50000000000006</v>
      </c>
      <c r="F122" s="1">
        <f t="shared" si="9"/>
        <v>20.908125000000005</v>
      </c>
      <c r="G122" s="1"/>
      <c r="H122" s="1">
        <f t="shared" si="18"/>
        <v>0</v>
      </c>
      <c r="I122" s="1"/>
      <c r="J122" s="1"/>
      <c r="K122" s="1">
        <f t="shared" si="16"/>
        <v>20.908125000000005</v>
      </c>
      <c r="M122" s="77">
        <f>VLOOKUP(B122,[1]ბიუჯეტი!$B:$K,3,FALSE)</f>
        <v>5.4417305249999997</v>
      </c>
      <c r="N122" s="77">
        <f>VLOOKUP($B122,[1]ბიუჯეტი!$B:$K,4,FALSE)</f>
        <v>265.47457627118644</v>
      </c>
      <c r="O122" s="77">
        <f>VLOOKUP($B122,[1]ბიუჯეტი!$B:$K,5,FALSE)</f>
        <v>1444.6411053063557</v>
      </c>
      <c r="P122" s="77">
        <f>VLOOKUP($B122,[1]ბიუჯეტი!$B:$K,6,FALSE)</f>
        <v>0</v>
      </c>
      <c r="Q122" s="77">
        <f>VLOOKUP($B122,[1]ბიუჯეტი!$B:$K,7,FALSE)</f>
        <v>0</v>
      </c>
      <c r="R122" s="77">
        <f>VLOOKUP($B122,[1]ბიუჯეტი!$B:$K,8,FALSE)</f>
        <v>0</v>
      </c>
      <c r="S122" s="77">
        <f>VLOOKUP($B122,[1]ბიუჯეტი!$B:$K,9,FALSE)</f>
        <v>0</v>
      </c>
      <c r="T122" s="77">
        <f>VLOOKUP($B122,[1]ბიუჯეტი!$B:$K,10,FALSE)</f>
        <v>1444.6411053063557</v>
      </c>
      <c r="V122" s="78">
        <f t="shared" si="12"/>
        <v>2.5423728813620983E-2</v>
      </c>
      <c r="W122" s="78">
        <f t="shared" si="13"/>
        <v>0</v>
      </c>
      <c r="X122" s="78">
        <f t="shared" si="14"/>
        <v>0</v>
      </c>
      <c r="Y122" s="78">
        <f t="shared" si="15"/>
        <v>-5.3629805249999993</v>
      </c>
    </row>
    <row r="123" spans="1:25" collapsed="1" x14ac:dyDescent="0.35">
      <c r="A123" s="51">
        <v>5</v>
      </c>
      <c r="B123" s="23" t="s">
        <v>313</v>
      </c>
      <c r="C123" s="4" t="s">
        <v>10</v>
      </c>
      <c r="D123" s="1">
        <f>D124</f>
        <v>24</v>
      </c>
      <c r="E123" s="1">
        <f>SUM(F124:F129)/D123</f>
        <v>98.04877595338985</v>
      </c>
      <c r="F123" s="1">
        <f t="shared" ref="F123:F129" si="19">D123*E123</f>
        <v>2353.1706228813564</v>
      </c>
      <c r="G123" s="1">
        <f>SUM(H124:H129)/D123</f>
        <v>165.75</v>
      </c>
      <c r="H123" s="1">
        <f>G123*D123</f>
        <v>3978</v>
      </c>
      <c r="I123" s="1">
        <v>0</v>
      </c>
      <c r="J123" s="1">
        <v>0</v>
      </c>
      <c r="K123" s="1">
        <f t="shared" si="16"/>
        <v>6331.1706228813564</v>
      </c>
      <c r="M123" s="77">
        <f>VLOOKUP(B123,[1]ბიუჯეტი!$B:$K,3,FALSE)</f>
        <v>24</v>
      </c>
      <c r="N123" s="77">
        <f>VLOOKUP($B123,[1]ბიუჯეტი!$B:$K,4,FALSE)</f>
        <v>98.048075211864401</v>
      </c>
      <c r="O123" s="77">
        <f>VLOOKUP($B123,[1]ბიუჯეტი!$B:$K,5,FALSE)</f>
        <v>2353.1538050847457</v>
      </c>
      <c r="P123" s="77">
        <f>VLOOKUP($B123,[1]ბიუჯეტი!$B:$K,6,FALSE)</f>
        <v>165.75</v>
      </c>
      <c r="Q123" s="77">
        <f>VLOOKUP($B123,[1]ბიუჯეტი!$B:$K,7,FALSE)</f>
        <v>3978</v>
      </c>
      <c r="R123" s="77">
        <f>VLOOKUP($B123,[1]ბიუჯეტი!$B:$K,8,FALSE)</f>
        <v>0</v>
      </c>
      <c r="S123" s="77">
        <f>VLOOKUP($B123,[1]ბიუჯეტი!$B:$K,9,FALSE)</f>
        <v>0</v>
      </c>
      <c r="T123" s="77">
        <f>VLOOKUP($B123,[1]ბიუჯეტი!$B:$K,10,FALSE)</f>
        <v>6331.1538050847457</v>
      </c>
      <c r="V123" s="78">
        <f t="shared" si="12"/>
        <v>7.0074152544918888E-4</v>
      </c>
      <c r="W123" s="78">
        <f t="shared" si="13"/>
        <v>0</v>
      </c>
      <c r="X123" s="78">
        <f t="shared" si="14"/>
        <v>0</v>
      </c>
      <c r="Y123" s="78">
        <f t="shared" si="15"/>
        <v>0</v>
      </c>
    </row>
    <row r="124" spans="1:25" hidden="1" outlineLevel="1" x14ac:dyDescent="0.35">
      <c r="A124" s="51">
        <v>1</v>
      </c>
      <c r="B124" s="23" t="s">
        <v>314</v>
      </c>
      <c r="C124" s="4" t="s">
        <v>10</v>
      </c>
      <c r="D124" s="1">
        <f>((1*3)*2)*4</f>
        <v>24</v>
      </c>
      <c r="E124" s="1"/>
      <c r="F124" s="1">
        <f t="shared" si="19"/>
        <v>0</v>
      </c>
      <c r="G124" s="1">
        <f>ხელფასი!D9</f>
        <v>153</v>
      </c>
      <c r="H124" s="1">
        <f t="shared" ref="H124:H129" si="20">D124*G124</f>
        <v>3672</v>
      </c>
      <c r="I124" s="1"/>
      <c r="J124" s="1"/>
      <c r="K124" s="1">
        <f t="shared" si="16"/>
        <v>3672</v>
      </c>
      <c r="M124" s="77">
        <f>VLOOKUP(B124,[1]ბიუჯეტი!$B:$K,3,FALSE)</f>
        <v>24</v>
      </c>
      <c r="N124" s="77">
        <f>VLOOKUP($B124,[1]ბიუჯეტი!$B:$K,4,FALSE)</f>
        <v>0</v>
      </c>
      <c r="O124" s="77">
        <f>VLOOKUP($B124,[1]ბიუჯეტი!$B:$K,5,FALSE)</f>
        <v>0</v>
      </c>
      <c r="P124" s="77">
        <f>VLOOKUP($B124,[1]ბიუჯეტი!$B:$K,6,FALSE)</f>
        <v>153</v>
      </c>
      <c r="Q124" s="77">
        <f>VLOOKUP($B124,[1]ბიუჯეტი!$B:$K,7,FALSE)</f>
        <v>3672</v>
      </c>
      <c r="R124" s="77">
        <f>VLOOKUP($B124,[1]ბიუჯეტი!$B:$K,8,FALSE)</f>
        <v>0</v>
      </c>
      <c r="S124" s="77">
        <f>VLOOKUP($B124,[1]ბიუჯეტი!$B:$K,9,FALSE)</f>
        <v>0</v>
      </c>
      <c r="T124" s="77">
        <f>VLOOKUP($B124,[1]ბიუჯეტი!$B:$K,10,FALSE)</f>
        <v>3672</v>
      </c>
      <c r="V124" s="78">
        <f t="shared" si="12"/>
        <v>0</v>
      </c>
      <c r="W124" s="78">
        <f t="shared" si="13"/>
        <v>0</v>
      </c>
      <c r="X124" s="78">
        <f t="shared" si="14"/>
        <v>0</v>
      </c>
      <c r="Y124" s="78">
        <f t="shared" si="15"/>
        <v>0</v>
      </c>
    </row>
    <row r="125" spans="1:25" hidden="1" outlineLevel="1" x14ac:dyDescent="0.35">
      <c r="A125" s="51"/>
      <c r="B125" s="3" t="s">
        <v>54</v>
      </c>
      <c r="C125" s="4" t="s">
        <v>55</v>
      </c>
      <c r="D125" s="1">
        <f>D124*35*1.05</f>
        <v>882</v>
      </c>
      <c r="E125" s="1">
        <f>SUMIFS(მასალა!D1:D210,მასალა!B1:B210,ბიუჯეტი!B125)</f>
        <v>0.80508474576271183</v>
      </c>
      <c r="F125" s="1">
        <f t="shared" si="19"/>
        <v>710.0847457627118</v>
      </c>
      <c r="G125" s="1"/>
      <c r="H125" s="1">
        <f t="shared" si="20"/>
        <v>0</v>
      </c>
      <c r="I125" s="1"/>
      <c r="J125" s="1"/>
      <c r="K125" s="1">
        <f t="shared" si="16"/>
        <v>710.0847457627118</v>
      </c>
      <c r="M125" s="77">
        <f>VLOOKUP(B125,[1]ბიუჯეტი!$B:$K,3,FALSE)</f>
        <v>0</v>
      </c>
      <c r="N125" s="77">
        <f>VLOOKUP($B125,[1]ბიუჯეტი!$B:$K,4,FALSE)</f>
        <v>0.80508474576271183</v>
      </c>
      <c r="O125" s="77">
        <f>VLOOKUP($B125,[1]ბიუჯეტი!$B:$K,5,FALSE)</f>
        <v>0</v>
      </c>
      <c r="P125" s="77">
        <f>VLOOKUP($B125,[1]ბიუჯეტი!$B:$K,6,FALSE)</f>
        <v>0</v>
      </c>
      <c r="Q125" s="77">
        <f>VLOOKUP($B125,[1]ბიუჯეტი!$B:$K,7,FALSE)</f>
        <v>0</v>
      </c>
      <c r="R125" s="77">
        <f>VLOOKUP($B125,[1]ბიუჯეტი!$B:$K,8,FALSE)</f>
        <v>0</v>
      </c>
      <c r="S125" s="77">
        <f>VLOOKUP($B125,[1]ბიუჯეტი!$B:$K,9,FALSE)</f>
        <v>0</v>
      </c>
      <c r="T125" s="77">
        <f>VLOOKUP($B125,[1]ბიუჯეტი!$B:$K,10,FALSE)</f>
        <v>0</v>
      </c>
      <c r="V125" s="78">
        <f t="shared" si="12"/>
        <v>0</v>
      </c>
      <c r="W125" s="78">
        <f t="shared" si="13"/>
        <v>0</v>
      </c>
      <c r="X125" s="78">
        <f t="shared" si="14"/>
        <v>0</v>
      </c>
      <c r="Y125" s="78">
        <f t="shared" si="15"/>
        <v>882</v>
      </c>
    </row>
    <row r="126" spans="1:25" hidden="1" outlineLevel="1" x14ac:dyDescent="0.35">
      <c r="A126" s="51"/>
      <c r="B126" s="3" t="s">
        <v>50</v>
      </c>
      <c r="C126" s="4" t="s">
        <v>9</v>
      </c>
      <c r="D126" s="1">
        <f>D124*0.1*1.05</f>
        <v>2.5200000000000005</v>
      </c>
      <c r="E126" s="1">
        <f>SUMIFS(მასალა!D2:D211,მასალა!B2:B211,ბიუჯეტი!B126)</f>
        <v>59.322033898305087</v>
      </c>
      <c r="F126" s="1">
        <f t="shared" si="19"/>
        <v>149.49152542372886</v>
      </c>
      <c r="G126" s="1"/>
      <c r="H126" s="1">
        <f t="shared" si="20"/>
        <v>0</v>
      </c>
      <c r="I126" s="1"/>
      <c r="J126" s="1"/>
      <c r="K126" s="1">
        <f t="shared" si="16"/>
        <v>149.49152542372886</v>
      </c>
      <c r="M126" s="77">
        <f>VLOOKUP(B126,[1]ბიუჯეტი!$B:$K,3,FALSE)</f>
        <v>20.730401999999998</v>
      </c>
      <c r="N126" s="77">
        <f>VLOOKUP($B126,[1]ბიუჯეტი!$B:$K,4,FALSE)</f>
        <v>59.322033898305087</v>
      </c>
      <c r="O126" s="77">
        <f>VLOOKUP($B126,[1]ბიუჯეტი!$B:$K,5,FALSE)</f>
        <v>1229.7696101694914</v>
      </c>
      <c r="P126" s="77">
        <f>VLOOKUP($B126,[1]ბიუჯეტი!$B:$K,6,FALSE)</f>
        <v>0</v>
      </c>
      <c r="Q126" s="77">
        <f>VLOOKUP($B126,[1]ბიუჯეტი!$B:$K,7,FALSE)</f>
        <v>0</v>
      </c>
      <c r="R126" s="77">
        <f>VLOOKUP($B126,[1]ბიუჯეტი!$B:$K,8,FALSE)</f>
        <v>0</v>
      </c>
      <c r="S126" s="77">
        <f>VLOOKUP($B126,[1]ბიუჯეტი!$B:$K,9,FALSE)</f>
        <v>0</v>
      </c>
      <c r="T126" s="77">
        <f>VLOOKUP($B126,[1]ბიუჯეტი!$B:$K,10,FALSE)</f>
        <v>1229.7696101694914</v>
      </c>
      <c r="V126" s="78">
        <f t="shared" si="12"/>
        <v>0</v>
      </c>
      <c r="W126" s="78">
        <f t="shared" si="13"/>
        <v>0</v>
      </c>
      <c r="X126" s="78">
        <f t="shared" si="14"/>
        <v>0</v>
      </c>
      <c r="Y126" s="78">
        <f t="shared" si="15"/>
        <v>-18.210401999999998</v>
      </c>
    </row>
    <row r="127" spans="1:25" hidden="1" outlineLevel="1" x14ac:dyDescent="0.35">
      <c r="A127" s="51"/>
      <c r="B127" s="3" t="s">
        <v>185</v>
      </c>
      <c r="C127" s="4" t="s">
        <v>40</v>
      </c>
      <c r="D127" s="1">
        <f>6*4</f>
        <v>24</v>
      </c>
      <c r="E127" s="1">
        <f>SUMIFS(მასალა!D3:D212,მასალა!B3:B212,ბიუჯეტი!B127)</f>
        <v>12.542372881355934</v>
      </c>
      <c r="F127" s="1">
        <f t="shared" si="19"/>
        <v>301.01694915254245</v>
      </c>
      <c r="G127" s="1">
        <f>ხელფასი!D31</f>
        <v>12.75</v>
      </c>
      <c r="H127" s="1">
        <f t="shared" si="20"/>
        <v>306</v>
      </c>
      <c r="I127" s="1"/>
      <c r="J127" s="1"/>
      <c r="K127" s="1">
        <f t="shared" si="16"/>
        <v>607.01694915254245</v>
      </c>
      <c r="M127" s="77">
        <f>VLOOKUP(B127,[1]ბიუჯეტი!$B:$K,3,FALSE)</f>
        <v>0</v>
      </c>
      <c r="N127" s="77">
        <f>VLOOKUP($B127,[1]ბიუჯეტი!$B:$K,4,FALSE)</f>
        <v>12.542372881355934</v>
      </c>
      <c r="O127" s="77">
        <f>VLOOKUP($B127,[1]ბიუჯეტი!$B:$K,5,FALSE)</f>
        <v>0</v>
      </c>
      <c r="P127" s="77">
        <f>VLOOKUP($B127,[1]ბიუჯეტი!$B:$K,6,FALSE)</f>
        <v>12.75</v>
      </c>
      <c r="Q127" s="77">
        <f>VLOOKUP($B127,[1]ბიუჯეტი!$B:$K,7,FALSE)</f>
        <v>0</v>
      </c>
      <c r="R127" s="77">
        <f>VLOOKUP($B127,[1]ბიუჯეტი!$B:$K,8,FALSE)</f>
        <v>0</v>
      </c>
      <c r="S127" s="77">
        <f>VLOOKUP($B127,[1]ბიუჯეტი!$B:$K,9,FALSE)</f>
        <v>0</v>
      </c>
      <c r="T127" s="77">
        <f>VLOOKUP($B127,[1]ბიუჯეტი!$B:$K,10,FALSE)</f>
        <v>0</v>
      </c>
      <c r="V127" s="78">
        <f t="shared" ref="V127:V190" si="21">E127-N127</f>
        <v>0</v>
      </c>
      <c r="W127" s="78">
        <f t="shared" ref="W127:W190" si="22">G127-P127</f>
        <v>0</v>
      </c>
      <c r="X127" s="78">
        <f t="shared" ref="X127:X190" si="23">I127-R127</f>
        <v>0</v>
      </c>
      <c r="Y127" s="78">
        <f t="shared" ref="Y127:Y190" si="24">D127-M127</f>
        <v>24</v>
      </c>
    </row>
    <row r="128" spans="1:25" hidden="1" outlineLevel="1" x14ac:dyDescent="0.35">
      <c r="A128" s="51"/>
      <c r="B128" s="3" t="s">
        <v>51</v>
      </c>
      <c r="C128" s="4" t="s">
        <v>12</v>
      </c>
      <c r="D128" s="1">
        <f>D126/4*1.05</f>
        <v>0.6615000000000002</v>
      </c>
      <c r="E128" s="1">
        <f>SUMIFS(მასალა!D4:D213,მასალა!B4:B213,ბიუჯეტი!B128)</f>
        <v>265.50000000000006</v>
      </c>
      <c r="F128" s="1">
        <f t="shared" si="19"/>
        <v>175.62825000000009</v>
      </c>
      <c r="G128" s="1"/>
      <c r="H128" s="1">
        <f t="shared" si="20"/>
        <v>0</v>
      </c>
      <c r="I128" s="1"/>
      <c r="J128" s="1"/>
      <c r="K128" s="1">
        <f t="shared" si="16"/>
        <v>175.62825000000009</v>
      </c>
      <c r="M128" s="77">
        <f>VLOOKUP(B128,[1]ბიუჯეტი!$B:$K,3,FALSE)</f>
        <v>5.4417305249999997</v>
      </c>
      <c r="N128" s="77">
        <f>VLOOKUP($B128,[1]ბიუჯეტი!$B:$K,4,FALSE)</f>
        <v>265.47457627118644</v>
      </c>
      <c r="O128" s="77">
        <f>VLOOKUP($B128,[1]ბიუჯეტი!$B:$K,5,FALSE)</f>
        <v>1444.6411053063557</v>
      </c>
      <c r="P128" s="77">
        <f>VLOOKUP($B128,[1]ბიუჯეტი!$B:$K,6,FALSE)</f>
        <v>0</v>
      </c>
      <c r="Q128" s="77">
        <f>VLOOKUP($B128,[1]ბიუჯეტი!$B:$K,7,FALSE)</f>
        <v>0</v>
      </c>
      <c r="R128" s="77">
        <f>VLOOKUP($B128,[1]ბიუჯეტი!$B:$K,8,FALSE)</f>
        <v>0</v>
      </c>
      <c r="S128" s="77">
        <f>VLOOKUP($B128,[1]ბიუჯეტი!$B:$K,9,FALSE)</f>
        <v>0</v>
      </c>
      <c r="T128" s="77">
        <f>VLOOKUP($B128,[1]ბიუჯეტი!$B:$K,10,FALSE)</f>
        <v>1444.6411053063557</v>
      </c>
      <c r="V128" s="78">
        <f t="shared" si="21"/>
        <v>2.5423728813620983E-2</v>
      </c>
      <c r="W128" s="78">
        <f t="shared" si="22"/>
        <v>0</v>
      </c>
      <c r="X128" s="78">
        <f t="shared" si="23"/>
        <v>0</v>
      </c>
      <c r="Y128" s="78">
        <f t="shared" si="24"/>
        <v>-4.7802305249999995</v>
      </c>
    </row>
    <row r="129" spans="1:25" hidden="1" outlineLevel="1" x14ac:dyDescent="0.35">
      <c r="A129" s="51"/>
      <c r="B129" s="3" t="s">
        <v>371</v>
      </c>
      <c r="C129" s="4" t="s">
        <v>10</v>
      </c>
      <c r="D129" s="1">
        <f>D124</f>
        <v>24</v>
      </c>
      <c r="E129" s="1">
        <f>SUMIFS(მასალა!D5:D214,მასალა!B5:B214,ბიუჯეტი!B129)</f>
        <v>42.372881355932208</v>
      </c>
      <c r="F129" s="1">
        <f t="shared" si="19"/>
        <v>1016.949152542373</v>
      </c>
      <c r="G129" s="1"/>
      <c r="H129" s="1">
        <f t="shared" si="20"/>
        <v>0</v>
      </c>
      <c r="I129" s="1"/>
      <c r="J129" s="1"/>
      <c r="K129" s="1">
        <f t="shared" si="16"/>
        <v>1016.949152542373</v>
      </c>
      <c r="M129" s="77">
        <f>VLOOKUP(B129,[1]ბიუჯეტი!$B:$K,3,FALSE)</f>
        <v>24</v>
      </c>
      <c r="N129" s="77">
        <f>VLOOKUP($B129,[1]ბიუჯეტი!$B:$K,4,FALSE)</f>
        <v>42.372881355932208</v>
      </c>
      <c r="O129" s="77">
        <f>VLOOKUP($B129,[1]ბიუჯეტი!$B:$K,5,FALSE)</f>
        <v>1016.949152542373</v>
      </c>
      <c r="P129" s="77">
        <f>VLOOKUP($B129,[1]ბიუჯეტი!$B:$K,6,FALSE)</f>
        <v>0</v>
      </c>
      <c r="Q129" s="77">
        <f>VLOOKUP($B129,[1]ბიუჯეტი!$B:$K,7,FALSE)</f>
        <v>0</v>
      </c>
      <c r="R129" s="77">
        <f>VLOOKUP($B129,[1]ბიუჯეტი!$B:$K,8,FALSE)</f>
        <v>0</v>
      </c>
      <c r="S129" s="77">
        <f>VLOOKUP($B129,[1]ბიუჯეტი!$B:$K,9,FALSE)</f>
        <v>0</v>
      </c>
      <c r="T129" s="77">
        <f>VLOOKUP($B129,[1]ბიუჯეტი!$B:$K,10,FALSE)</f>
        <v>1016.949152542373</v>
      </c>
      <c r="V129" s="78">
        <f t="shared" si="21"/>
        <v>0</v>
      </c>
      <c r="W129" s="78">
        <f t="shared" si="22"/>
        <v>0</v>
      </c>
      <c r="X129" s="78">
        <f t="shared" si="23"/>
        <v>0</v>
      </c>
      <c r="Y129" s="78">
        <f t="shared" si="24"/>
        <v>0</v>
      </c>
    </row>
    <row r="130" spans="1:25" collapsed="1" x14ac:dyDescent="0.35">
      <c r="A130" s="51">
        <v>6</v>
      </c>
      <c r="B130" s="23" t="s">
        <v>186</v>
      </c>
      <c r="C130" s="4" t="s">
        <v>10</v>
      </c>
      <c r="D130" s="1">
        <f>D131+D136</f>
        <v>133.524</v>
      </c>
      <c r="E130" s="1">
        <f>SUM(K137:K140,K132:K135)/D130</f>
        <v>28.513380455508482</v>
      </c>
      <c r="F130" s="1">
        <f t="shared" si="9"/>
        <v>3807.2206119413145</v>
      </c>
      <c r="G130" s="1">
        <f>SUM(K131,K136)/D130</f>
        <v>82.875000000000014</v>
      </c>
      <c r="H130" s="1">
        <f t="shared" si="18"/>
        <v>11065.801500000001</v>
      </c>
      <c r="I130" s="1">
        <v>0</v>
      </c>
      <c r="J130" s="1">
        <v>0</v>
      </c>
      <c r="K130" s="1">
        <f t="shared" si="16"/>
        <v>14873.022111941316</v>
      </c>
      <c r="M130" s="77">
        <f>VLOOKUP(B130,[1]ბიუჯეტი!$B:$K,3,FALSE)</f>
        <v>133.524</v>
      </c>
      <c r="N130" s="77">
        <f>VLOOKUP($B130,[1]ბიუჯეტი!$B:$K,4,FALSE)</f>
        <v>28.512889936440679</v>
      </c>
      <c r="O130" s="77">
        <f>VLOOKUP($B130,[1]ბიუჯეტი!$B:$K,5,FALSE)</f>
        <v>3807.1551158733055</v>
      </c>
      <c r="P130" s="77">
        <f>VLOOKUP($B130,[1]ბიუჯეტი!$B:$K,6,FALSE)</f>
        <v>82.875000000000014</v>
      </c>
      <c r="Q130" s="77">
        <f>VLOOKUP($B130,[1]ბიუჯეტი!$B:$K,7,FALSE)</f>
        <v>11065.801500000001</v>
      </c>
      <c r="R130" s="77">
        <f>VLOOKUP($B130,[1]ბიუჯეტი!$B:$K,8,FALSE)</f>
        <v>0</v>
      </c>
      <c r="S130" s="77">
        <f>VLOOKUP($B130,[1]ბიუჯეტი!$B:$K,9,FALSE)</f>
        <v>0</v>
      </c>
      <c r="T130" s="77">
        <f>VLOOKUP($B130,[1]ბიუჯეტი!$B:$K,10,FALSE)</f>
        <v>14872.956615873307</v>
      </c>
      <c r="V130" s="78">
        <f t="shared" si="21"/>
        <v>4.9051906780306354E-4</v>
      </c>
      <c r="W130" s="78">
        <f t="shared" si="22"/>
        <v>0</v>
      </c>
      <c r="X130" s="78">
        <f t="shared" si="23"/>
        <v>0</v>
      </c>
      <c r="Y130" s="78">
        <f t="shared" si="24"/>
        <v>0</v>
      </c>
    </row>
    <row r="131" spans="1:25" hidden="1" outlineLevel="1" x14ac:dyDescent="0.35">
      <c r="A131" s="51">
        <v>1</v>
      </c>
      <c r="B131" s="23" t="s">
        <v>315</v>
      </c>
      <c r="C131" s="4" t="s">
        <v>10</v>
      </c>
      <c r="D131" s="1">
        <f>სამუშაო!G45+სამუშაო!G46</f>
        <v>37.295999999999999</v>
      </c>
      <c r="E131" s="1"/>
      <c r="F131" s="1">
        <f t="shared" si="9"/>
        <v>0</v>
      </c>
      <c r="G131" s="1">
        <f>ხელფასი!D7</f>
        <v>82.875</v>
      </c>
      <c r="H131" s="1">
        <f t="shared" si="18"/>
        <v>3090.9059999999999</v>
      </c>
      <c r="I131" s="1"/>
      <c r="J131" s="1"/>
      <c r="K131" s="1">
        <f t="shared" si="16"/>
        <v>3090.9059999999999</v>
      </c>
      <c r="M131" s="77">
        <f>VLOOKUP(B131,[1]ბიუჯეტი!$B:$K,3,FALSE)</f>
        <v>37.295999999999999</v>
      </c>
      <c r="N131" s="77">
        <f>VLOOKUP($B131,[1]ბიუჯეტი!$B:$K,4,FALSE)</f>
        <v>0</v>
      </c>
      <c r="O131" s="77">
        <f>VLOOKUP($B131,[1]ბიუჯეტი!$B:$K,5,FALSE)</f>
        <v>0</v>
      </c>
      <c r="P131" s="77">
        <f>VLOOKUP($B131,[1]ბიუჯეტი!$B:$K,6,FALSE)</f>
        <v>82.875</v>
      </c>
      <c r="Q131" s="77">
        <f>VLOOKUP($B131,[1]ბიუჯეტი!$B:$K,7,FALSE)</f>
        <v>3090.9059999999999</v>
      </c>
      <c r="R131" s="77">
        <f>VLOOKUP($B131,[1]ბიუჯეტი!$B:$K,8,FALSE)</f>
        <v>0</v>
      </c>
      <c r="S131" s="77">
        <f>VLOOKUP($B131,[1]ბიუჯეტი!$B:$K,9,FALSE)</f>
        <v>0</v>
      </c>
      <c r="T131" s="77">
        <f>VLOOKUP($B131,[1]ბიუჯეტი!$B:$K,10,FALSE)</f>
        <v>3090.9059999999999</v>
      </c>
      <c r="V131" s="78">
        <f t="shared" si="21"/>
        <v>0</v>
      </c>
      <c r="W131" s="78">
        <f t="shared" si="22"/>
        <v>0</v>
      </c>
      <c r="X131" s="78">
        <f t="shared" si="23"/>
        <v>0</v>
      </c>
      <c r="Y131" s="78">
        <f t="shared" si="24"/>
        <v>0</v>
      </c>
    </row>
    <row r="132" spans="1:25" hidden="1" outlineLevel="1" x14ac:dyDescent="0.35">
      <c r="A132" s="51"/>
      <c r="B132" s="3" t="s">
        <v>54</v>
      </c>
      <c r="C132" s="4" t="s">
        <v>55</v>
      </c>
      <c r="D132" s="1">
        <f>D131*35*1.05/2</f>
        <v>685.31399999999996</v>
      </c>
      <c r="E132" s="1">
        <f>SUMIFS(მასალა!D1:D217,მასალა!B1:B217,ბიუჯეტი!B132)</f>
        <v>0.80508474576271183</v>
      </c>
      <c r="F132" s="1">
        <f t="shared" si="9"/>
        <v>551.73584745762707</v>
      </c>
      <c r="G132" s="1"/>
      <c r="H132" s="1">
        <f t="shared" si="18"/>
        <v>0</v>
      </c>
      <c r="I132" s="1"/>
      <c r="J132" s="1"/>
      <c r="K132" s="1">
        <f t="shared" si="16"/>
        <v>551.73584745762707</v>
      </c>
      <c r="M132" s="77">
        <f>VLOOKUP(B132,[1]ბიუჯეტი!$B:$K,3,FALSE)</f>
        <v>0</v>
      </c>
      <c r="N132" s="77">
        <f>VLOOKUP($B132,[1]ბიუჯეტი!$B:$K,4,FALSE)</f>
        <v>0.80508474576271183</v>
      </c>
      <c r="O132" s="77">
        <f>VLOOKUP($B132,[1]ბიუჯეტი!$B:$K,5,FALSE)</f>
        <v>0</v>
      </c>
      <c r="P132" s="77">
        <f>VLOOKUP($B132,[1]ბიუჯეტი!$B:$K,6,FALSE)</f>
        <v>0</v>
      </c>
      <c r="Q132" s="77">
        <f>VLOOKUP($B132,[1]ბიუჯეტი!$B:$K,7,FALSE)</f>
        <v>0</v>
      </c>
      <c r="R132" s="77">
        <f>VLOOKUP($B132,[1]ბიუჯეტი!$B:$K,8,FALSE)</f>
        <v>0</v>
      </c>
      <c r="S132" s="77">
        <f>VLOOKUP($B132,[1]ბიუჯეტი!$B:$K,9,FALSE)</f>
        <v>0</v>
      </c>
      <c r="T132" s="77">
        <f>VLOOKUP($B132,[1]ბიუჯეტი!$B:$K,10,FALSE)</f>
        <v>0</v>
      </c>
      <c r="V132" s="78">
        <f t="shared" si="21"/>
        <v>0</v>
      </c>
      <c r="W132" s="78">
        <f t="shared" si="22"/>
        <v>0</v>
      </c>
      <c r="X132" s="78">
        <f t="shared" si="23"/>
        <v>0</v>
      </c>
      <c r="Y132" s="78">
        <f t="shared" si="24"/>
        <v>685.31399999999996</v>
      </c>
    </row>
    <row r="133" spans="1:25" hidden="1" outlineLevel="1" x14ac:dyDescent="0.35">
      <c r="A133" s="51"/>
      <c r="B133" s="3" t="s">
        <v>50</v>
      </c>
      <c r="C133" s="4" t="s">
        <v>9</v>
      </c>
      <c r="D133" s="1">
        <f>D131*0.07*1.05</f>
        <v>2.7412560000000004</v>
      </c>
      <c r="E133" s="1">
        <f>SUMIFS(მასალა!D2:D218,მასალა!B2:B218,ბიუჯეტი!B133)</f>
        <v>59.322033898305087</v>
      </c>
      <c r="F133" s="1">
        <f t="shared" si="9"/>
        <v>162.61688135593224</v>
      </c>
      <c r="G133" s="1"/>
      <c r="H133" s="1">
        <f t="shared" si="18"/>
        <v>0</v>
      </c>
      <c r="I133" s="1"/>
      <c r="J133" s="1"/>
      <c r="K133" s="1">
        <f t="shared" si="16"/>
        <v>162.61688135593224</v>
      </c>
      <c r="M133" s="77">
        <f>VLOOKUP(B133,[1]ბიუჯეტი!$B:$K,3,FALSE)</f>
        <v>20.730401999999998</v>
      </c>
      <c r="N133" s="77">
        <f>VLOOKUP($B133,[1]ბიუჯეტი!$B:$K,4,FALSE)</f>
        <v>59.322033898305087</v>
      </c>
      <c r="O133" s="77">
        <f>VLOOKUP($B133,[1]ბიუჯეტი!$B:$K,5,FALSE)</f>
        <v>1229.7696101694914</v>
      </c>
      <c r="P133" s="77">
        <f>VLOOKUP($B133,[1]ბიუჯეტი!$B:$K,6,FALSE)</f>
        <v>0</v>
      </c>
      <c r="Q133" s="77">
        <f>VLOOKUP($B133,[1]ბიუჯეტი!$B:$K,7,FALSE)</f>
        <v>0</v>
      </c>
      <c r="R133" s="77">
        <f>VLOOKUP($B133,[1]ბიუჯეტი!$B:$K,8,FALSE)</f>
        <v>0</v>
      </c>
      <c r="S133" s="77">
        <f>VLOOKUP($B133,[1]ბიუჯეტი!$B:$K,9,FALSE)</f>
        <v>0</v>
      </c>
      <c r="T133" s="77">
        <f>VLOOKUP($B133,[1]ბიუჯეტი!$B:$K,10,FALSE)</f>
        <v>1229.7696101694914</v>
      </c>
      <c r="V133" s="78">
        <f t="shared" si="21"/>
        <v>0</v>
      </c>
      <c r="W133" s="78">
        <f t="shared" si="22"/>
        <v>0</v>
      </c>
      <c r="X133" s="78">
        <f t="shared" si="23"/>
        <v>0</v>
      </c>
      <c r="Y133" s="78">
        <f t="shared" si="24"/>
        <v>-17.989145999999998</v>
      </c>
    </row>
    <row r="134" spans="1:25" hidden="1" outlineLevel="1" x14ac:dyDescent="0.35">
      <c r="A134" s="51"/>
      <c r="B134" s="3" t="s">
        <v>51</v>
      </c>
      <c r="C134" s="4" t="s">
        <v>12</v>
      </c>
      <c r="D134" s="1">
        <f>D133/4*1.05</f>
        <v>0.71957970000000016</v>
      </c>
      <c r="E134" s="1">
        <f>SUMIFS(მასალა!D3:D219,მასალა!B3:B219,ბიუჯეტი!B134)</f>
        <v>265.50000000000006</v>
      </c>
      <c r="F134" s="1">
        <f t="shared" si="9"/>
        <v>191.04841035000007</v>
      </c>
      <c r="G134" s="1"/>
      <c r="H134" s="1">
        <f t="shared" si="18"/>
        <v>0</v>
      </c>
      <c r="I134" s="1"/>
      <c r="J134" s="1"/>
      <c r="K134" s="1">
        <f t="shared" si="16"/>
        <v>191.04841035000007</v>
      </c>
      <c r="M134" s="77">
        <f>VLOOKUP(B134,[1]ბიუჯეტი!$B:$K,3,FALSE)</f>
        <v>5.4417305249999997</v>
      </c>
      <c r="N134" s="77">
        <f>VLOOKUP($B134,[1]ბიუჯეტი!$B:$K,4,FALSE)</f>
        <v>265.47457627118644</v>
      </c>
      <c r="O134" s="77">
        <f>VLOOKUP($B134,[1]ბიუჯეტი!$B:$K,5,FALSE)</f>
        <v>1444.6411053063557</v>
      </c>
      <c r="P134" s="77">
        <f>VLOOKUP($B134,[1]ბიუჯეტი!$B:$K,6,FALSE)</f>
        <v>0</v>
      </c>
      <c r="Q134" s="77">
        <f>VLOOKUP($B134,[1]ბიუჯეტი!$B:$K,7,FALSE)</f>
        <v>0</v>
      </c>
      <c r="R134" s="77">
        <f>VLOOKUP($B134,[1]ბიუჯეტი!$B:$K,8,FALSE)</f>
        <v>0</v>
      </c>
      <c r="S134" s="77">
        <f>VLOOKUP($B134,[1]ბიუჯეტი!$B:$K,9,FALSE)</f>
        <v>0</v>
      </c>
      <c r="T134" s="77">
        <f>VLOOKUP($B134,[1]ბიუჯეტი!$B:$K,10,FALSE)</f>
        <v>1444.6411053063557</v>
      </c>
      <c r="V134" s="78">
        <f t="shared" si="21"/>
        <v>2.5423728813620983E-2</v>
      </c>
      <c r="W134" s="78">
        <f t="shared" si="22"/>
        <v>0</v>
      </c>
      <c r="X134" s="78">
        <f t="shared" si="23"/>
        <v>0</v>
      </c>
      <c r="Y134" s="78">
        <f t="shared" si="24"/>
        <v>-4.7221508249999999</v>
      </c>
    </row>
    <row r="135" spans="1:25" hidden="1" outlineLevel="1" x14ac:dyDescent="0.35">
      <c r="A135" s="51"/>
      <c r="B135" s="3" t="s">
        <v>370</v>
      </c>
      <c r="C135" s="4" t="s">
        <v>10</v>
      </c>
      <c r="D135" s="1">
        <f>D131</f>
        <v>37.295999999999999</v>
      </c>
      <c r="E135" s="1">
        <f>SUMIFS(მასალა!D4:D220,მასალა!B4:B220,ბიუჯეტი!B135)</f>
        <v>4.2372881355932206</v>
      </c>
      <c r="F135" s="1">
        <f t="shared" si="9"/>
        <v>158.03389830508476</v>
      </c>
      <c r="G135" s="1"/>
      <c r="H135" s="1">
        <f t="shared" si="18"/>
        <v>0</v>
      </c>
      <c r="I135" s="1"/>
      <c r="J135" s="1"/>
      <c r="K135" s="1">
        <f t="shared" si="16"/>
        <v>158.03389830508476</v>
      </c>
      <c r="M135" s="77">
        <f>VLOOKUP(B135,[1]ბიუჯეტი!$B:$K,3,FALSE)</f>
        <v>0</v>
      </c>
      <c r="N135" s="77">
        <f>VLOOKUP($B135,[1]ბიუჯეტი!$B:$K,4,FALSE)</f>
        <v>4.2372881355932206</v>
      </c>
      <c r="O135" s="77">
        <f>VLOOKUP($B135,[1]ბიუჯეტი!$B:$K,5,FALSE)</f>
        <v>0</v>
      </c>
      <c r="P135" s="77">
        <f>VLOOKUP($B135,[1]ბიუჯეტი!$B:$K,6,FALSE)</f>
        <v>0</v>
      </c>
      <c r="Q135" s="77">
        <f>VLOOKUP($B135,[1]ბიუჯეტი!$B:$K,7,FALSE)</f>
        <v>0</v>
      </c>
      <c r="R135" s="77">
        <f>VLOOKUP($B135,[1]ბიუჯეტი!$B:$K,8,FALSE)</f>
        <v>0</v>
      </c>
      <c r="S135" s="77">
        <f>VLOOKUP($B135,[1]ბიუჯეტი!$B:$K,9,FALSE)</f>
        <v>0</v>
      </c>
      <c r="T135" s="77">
        <f>VLOOKUP($B135,[1]ბიუჯეტი!$B:$K,10,FALSE)</f>
        <v>0</v>
      </c>
      <c r="V135" s="78">
        <f t="shared" si="21"/>
        <v>0</v>
      </c>
      <c r="W135" s="78">
        <f t="shared" si="22"/>
        <v>0</v>
      </c>
      <c r="X135" s="78">
        <f t="shared" si="23"/>
        <v>0</v>
      </c>
      <c r="Y135" s="78">
        <f t="shared" si="24"/>
        <v>37.295999999999999</v>
      </c>
    </row>
    <row r="136" spans="1:25" hidden="1" outlineLevel="1" x14ac:dyDescent="0.35">
      <c r="A136" s="51">
        <v>2</v>
      </c>
      <c r="B136" s="23" t="s">
        <v>159</v>
      </c>
      <c r="C136" s="4" t="s">
        <v>10</v>
      </c>
      <c r="D136" s="1">
        <f>სამუშაო!G47+სამუშაო!G48+სამუშაო!G49</f>
        <v>96.228000000000009</v>
      </c>
      <c r="E136" s="1"/>
      <c r="F136" s="1">
        <f t="shared" si="9"/>
        <v>0</v>
      </c>
      <c r="G136" s="1">
        <f>ხელფასი!D7</f>
        <v>82.875</v>
      </c>
      <c r="H136" s="1">
        <f t="shared" si="18"/>
        <v>7974.8955000000005</v>
      </c>
      <c r="I136" s="1"/>
      <c r="J136" s="1"/>
      <c r="K136" s="1">
        <f t="shared" si="16"/>
        <v>7974.8955000000005</v>
      </c>
      <c r="M136" s="77">
        <f>VLOOKUP(B136,[1]ბიუჯეტი!$B:$K,3,FALSE)</f>
        <v>96.228000000000009</v>
      </c>
      <c r="N136" s="77">
        <f>VLOOKUP($B136,[1]ბიუჯეტი!$B:$K,4,FALSE)</f>
        <v>0</v>
      </c>
      <c r="O136" s="77">
        <f>VLOOKUP($B136,[1]ბიუჯეტი!$B:$K,5,FALSE)</f>
        <v>0</v>
      </c>
      <c r="P136" s="77">
        <f>VLOOKUP($B136,[1]ბიუჯეტი!$B:$K,6,FALSE)</f>
        <v>82.875</v>
      </c>
      <c r="Q136" s="77">
        <f>VLOOKUP($B136,[1]ბიუჯეტი!$B:$K,7,FALSE)</f>
        <v>7974.8955000000005</v>
      </c>
      <c r="R136" s="77">
        <f>VLOOKUP($B136,[1]ბიუჯეტი!$B:$K,8,FALSE)</f>
        <v>0</v>
      </c>
      <c r="S136" s="77">
        <f>VLOOKUP($B136,[1]ბიუჯეტი!$B:$K,9,FALSE)</f>
        <v>0</v>
      </c>
      <c r="T136" s="77">
        <f>VLOOKUP($B136,[1]ბიუჯეტი!$B:$K,10,FALSE)</f>
        <v>7974.8955000000005</v>
      </c>
      <c r="V136" s="78">
        <f t="shared" si="21"/>
        <v>0</v>
      </c>
      <c r="W136" s="78">
        <f t="shared" si="22"/>
        <v>0</v>
      </c>
      <c r="X136" s="78">
        <f t="shared" si="23"/>
        <v>0</v>
      </c>
      <c r="Y136" s="78">
        <f t="shared" si="24"/>
        <v>0</v>
      </c>
    </row>
    <row r="137" spans="1:25" hidden="1" outlineLevel="1" x14ac:dyDescent="0.35">
      <c r="A137" s="51"/>
      <c r="B137" s="3" t="s">
        <v>54</v>
      </c>
      <c r="C137" s="4" t="s">
        <v>55</v>
      </c>
      <c r="D137" s="1">
        <f>D136*35*1.05/2</f>
        <v>1768.1895000000004</v>
      </c>
      <c r="E137" s="1">
        <f>SUMIFS(მასალა!D1:D222,მასალა!B1:B222,ბიუჯეტი!B137)</f>
        <v>0.80508474576271183</v>
      </c>
      <c r="F137" s="1">
        <f>D137*E137</f>
        <v>1423.542394067797</v>
      </c>
      <c r="G137" s="1"/>
      <c r="H137" s="1">
        <f t="shared" si="18"/>
        <v>0</v>
      </c>
      <c r="I137" s="1"/>
      <c r="J137" s="1"/>
      <c r="K137" s="1">
        <f t="shared" si="16"/>
        <v>1423.542394067797</v>
      </c>
      <c r="M137" s="77">
        <f>VLOOKUP(B137,[1]ბიუჯეტი!$B:$K,3,FALSE)</f>
        <v>0</v>
      </c>
      <c r="N137" s="77">
        <f>VLOOKUP($B137,[1]ბიუჯეტი!$B:$K,4,FALSE)</f>
        <v>0.80508474576271183</v>
      </c>
      <c r="O137" s="77">
        <f>VLOOKUP($B137,[1]ბიუჯეტი!$B:$K,5,FALSE)</f>
        <v>0</v>
      </c>
      <c r="P137" s="77">
        <f>VLOOKUP($B137,[1]ბიუჯეტი!$B:$K,6,FALSE)</f>
        <v>0</v>
      </c>
      <c r="Q137" s="77">
        <f>VLOOKUP($B137,[1]ბიუჯეტი!$B:$K,7,FALSE)</f>
        <v>0</v>
      </c>
      <c r="R137" s="77">
        <f>VLOOKUP($B137,[1]ბიუჯეტი!$B:$K,8,FALSE)</f>
        <v>0</v>
      </c>
      <c r="S137" s="77">
        <f>VLOOKUP($B137,[1]ბიუჯეტი!$B:$K,9,FALSE)</f>
        <v>0</v>
      </c>
      <c r="T137" s="77">
        <f>VLOOKUP($B137,[1]ბიუჯეტი!$B:$K,10,FALSE)</f>
        <v>0</v>
      </c>
      <c r="V137" s="78">
        <f t="shared" si="21"/>
        <v>0</v>
      </c>
      <c r="W137" s="78">
        <f t="shared" si="22"/>
        <v>0</v>
      </c>
      <c r="X137" s="78">
        <f t="shared" si="23"/>
        <v>0</v>
      </c>
      <c r="Y137" s="78">
        <f t="shared" si="24"/>
        <v>1768.1895000000004</v>
      </c>
    </row>
    <row r="138" spans="1:25" hidden="1" outlineLevel="1" x14ac:dyDescent="0.35">
      <c r="A138" s="51"/>
      <c r="B138" s="3" t="s">
        <v>50</v>
      </c>
      <c r="C138" s="4" t="s">
        <v>9</v>
      </c>
      <c r="D138" s="1">
        <f>D136*0.07*1.05</f>
        <v>7.0727580000000012</v>
      </c>
      <c r="E138" s="1">
        <f>SUMIFS(მასალა!D2:D223,მასალა!B2:B223,ბიუჯეტი!B138)</f>
        <v>59.322033898305087</v>
      </c>
      <c r="F138" s="1">
        <f>D138*E138</f>
        <v>419.57038983050853</v>
      </c>
      <c r="G138" s="1"/>
      <c r="H138" s="1">
        <f t="shared" si="18"/>
        <v>0</v>
      </c>
      <c r="I138" s="1"/>
      <c r="J138" s="1"/>
      <c r="K138" s="1">
        <f t="shared" si="16"/>
        <v>419.57038983050853</v>
      </c>
      <c r="M138" s="77">
        <f>VLOOKUP(B138,[1]ბიუჯეტი!$B:$K,3,FALSE)</f>
        <v>20.730401999999998</v>
      </c>
      <c r="N138" s="77">
        <f>VLOOKUP($B138,[1]ბიუჯეტი!$B:$K,4,FALSE)</f>
        <v>59.322033898305087</v>
      </c>
      <c r="O138" s="77">
        <f>VLOOKUP($B138,[1]ბიუჯეტი!$B:$K,5,FALSE)</f>
        <v>1229.7696101694914</v>
      </c>
      <c r="P138" s="77">
        <f>VLOOKUP($B138,[1]ბიუჯეტი!$B:$K,6,FALSE)</f>
        <v>0</v>
      </c>
      <c r="Q138" s="77">
        <f>VLOOKUP($B138,[1]ბიუჯეტი!$B:$K,7,FALSE)</f>
        <v>0</v>
      </c>
      <c r="R138" s="77">
        <f>VLOOKUP($B138,[1]ბიუჯეტი!$B:$K,8,FALSE)</f>
        <v>0</v>
      </c>
      <c r="S138" s="77">
        <f>VLOOKUP($B138,[1]ბიუჯეტი!$B:$K,9,FALSE)</f>
        <v>0</v>
      </c>
      <c r="T138" s="77">
        <f>VLOOKUP($B138,[1]ბიუჯეტი!$B:$K,10,FALSE)</f>
        <v>1229.7696101694914</v>
      </c>
      <c r="V138" s="78">
        <f t="shared" si="21"/>
        <v>0</v>
      </c>
      <c r="W138" s="78">
        <f t="shared" si="22"/>
        <v>0</v>
      </c>
      <c r="X138" s="78">
        <f t="shared" si="23"/>
        <v>0</v>
      </c>
      <c r="Y138" s="78">
        <f t="shared" si="24"/>
        <v>-13.657643999999998</v>
      </c>
    </row>
    <row r="139" spans="1:25" hidden="1" outlineLevel="1" x14ac:dyDescent="0.35">
      <c r="A139" s="51"/>
      <c r="B139" s="3" t="s">
        <v>51</v>
      </c>
      <c r="C139" s="4" t="s">
        <v>12</v>
      </c>
      <c r="D139" s="1">
        <f>D138/4*1.05</f>
        <v>1.8565989750000005</v>
      </c>
      <c r="E139" s="1">
        <f>SUMIFS(მასალა!D3:D224,მასალა!B3:B224,ბიუჯეტი!B139)</f>
        <v>265.50000000000006</v>
      </c>
      <c r="F139" s="1">
        <f>D139*E139</f>
        <v>492.92702786250021</v>
      </c>
      <c r="G139" s="1"/>
      <c r="H139" s="1">
        <f t="shared" si="18"/>
        <v>0</v>
      </c>
      <c r="I139" s="1"/>
      <c r="J139" s="1"/>
      <c r="K139" s="1">
        <f t="shared" si="16"/>
        <v>492.92702786250021</v>
      </c>
      <c r="M139" s="77">
        <f>VLOOKUP(B139,[1]ბიუჯეტი!$B:$K,3,FALSE)</f>
        <v>5.4417305249999997</v>
      </c>
      <c r="N139" s="77">
        <f>VLOOKUP($B139,[1]ბიუჯეტი!$B:$K,4,FALSE)</f>
        <v>265.47457627118644</v>
      </c>
      <c r="O139" s="77">
        <f>VLOOKUP($B139,[1]ბიუჯეტი!$B:$K,5,FALSE)</f>
        <v>1444.6411053063557</v>
      </c>
      <c r="P139" s="77">
        <f>VLOOKUP($B139,[1]ბიუჯეტი!$B:$K,6,FALSE)</f>
        <v>0</v>
      </c>
      <c r="Q139" s="77">
        <f>VLOOKUP($B139,[1]ბიუჯეტი!$B:$K,7,FALSE)</f>
        <v>0</v>
      </c>
      <c r="R139" s="77">
        <f>VLOOKUP($B139,[1]ბიუჯეტი!$B:$K,8,FALSE)</f>
        <v>0</v>
      </c>
      <c r="S139" s="77">
        <f>VLOOKUP($B139,[1]ბიუჯეტი!$B:$K,9,FALSE)</f>
        <v>0</v>
      </c>
      <c r="T139" s="77">
        <f>VLOOKUP($B139,[1]ბიუჯეტი!$B:$K,10,FALSE)</f>
        <v>1444.6411053063557</v>
      </c>
      <c r="V139" s="78">
        <f t="shared" si="21"/>
        <v>2.5423728813620983E-2</v>
      </c>
      <c r="W139" s="78">
        <f t="shared" si="22"/>
        <v>0</v>
      </c>
      <c r="X139" s="78">
        <f t="shared" si="23"/>
        <v>0</v>
      </c>
      <c r="Y139" s="78">
        <f t="shared" si="24"/>
        <v>-3.5851315499999989</v>
      </c>
    </row>
    <row r="140" spans="1:25" hidden="1" outlineLevel="1" x14ac:dyDescent="0.35">
      <c r="A140" s="51"/>
      <c r="B140" s="3" t="s">
        <v>370</v>
      </c>
      <c r="C140" s="4" t="s">
        <v>10</v>
      </c>
      <c r="D140" s="1">
        <f>D136</f>
        <v>96.228000000000009</v>
      </c>
      <c r="E140" s="1">
        <f>SUMIFS(მასალა!D4:D225,მასალა!B4:B225,ბიუჯეტი!B140)</f>
        <v>4.2372881355932206</v>
      </c>
      <c r="F140" s="1">
        <f>D140*E140</f>
        <v>407.74576271186447</v>
      </c>
      <c r="G140" s="1"/>
      <c r="H140" s="1">
        <f t="shared" si="18"/>
        <v>0</v>
      </c>
      <c r="I140" s="1"/>
      <c r="J140" s="1"/>
      <c r="K140" s="1">
        <f t="shared" si="16"/>
        <v>407.74576271186447</v>
      </c>
      <c r="M140" s="77">
        <f>VLOOKUP(B140,[1]ბიუჯეტი!$B:$K,3,FALSE)</f>
        <v>0</v>
      </c>
      <c r="N140" s="77">
        <f>VLOOKUP($B140,[1]ბიუჯეტი!$B:$K,4,FALSE)</f>
        <v>4.2372881355932206</v>
      </c>
      <c r="O140" s="77">
        <f>VLOOKUP($B140,[1]ბიუჯეტი!$B:$K,5,FALSE)</f>
        <v>0</v>
      </c>
      <c r="P140" s="77">
        <f>VLOOKUP($B140,[1]ბიუჯეტი!$B:$K,6,FALSE)</f>
        <v>0</v>
      </c>
      <c r="Q140" s="77">
        <f>VLOOKUP($B140,[1]ბიუჯეტი!$B:$K,7,FALSE)</f>
        <v>0</v>
      </c>
      <c r="R140" s="77">
        <f>VLOOKUP($B140,[1]ბიუჯეტი!$B:$K,8,FALSE)</f>
        <v>0</v>
      </c>
      <c r="S140" s="77">
        <f>VLOOKUP($B140,[1]ბიუჯეტი!$B:$K,9,FALSE)</f>
        <v>0</v>
      </c>
      <c r="T140" s="77">
        <f>VLOOKUP($B140,[1]ბიუჯეტი!$B:$K,10,FALSE)</f>
        <v>0</v>
      </c>
      <c r="V140" s="78">
        <f t="shared" si="21"/>
        <v>0</v>
      </c>
      <c r="W140" s="78">
        <f t="shared" si="22"/>
        <v>0</v>
      </c>
      <c r="X140" s="78">
        <f t="shared" si="23"/>
        <v>0</v>
      </c>
      <c r="Y140" s="78">
        <f t="shared" si="24"/>
        <v>96.228000000000009</v>
      </c>
    </row>
    <row r="141" spans="1:25" collapsed="1" x14ac:dyDescent="0.35">
      <c r="A141" s="51">
        <v>7</v>
      </c>
      <c r="B141" s="23" t="s">
        <v>161</v>
      </c>
      <c r="C141" s="4" t="s">
        <v>10</v>
      </c>
      <c r="D141" s="1">
        <f>D142+D152</f>
        <v>867.3420000000001</v>
      </c>
      <c r="E141" s="1">
        <f>SUM(F142:F161)/D141</f>
        <v>58.377197464656192</v>
      </c>
      <c r="F141" s="1">
        <f>D141*E141</f>
        <v>50632.995203389837</v>
      </c>
      <c r="G141" s="1">
        <f>ხელფასი!D34</f>
        <v>57.374999999999993</v>
      </c>
      <c r="H141" s="1">
        <f>G141*D141</f>
        <v>49763.74725</v>
      </c>
      <c r="I141" s="1">
        <v>0</v>
      </c>
      <c r="J141" s="1">
        <f>I141*D141</f>
        <v>0</v>
      </c>
      <c r="K141" s="1">
        <f t="shared" si="16"/>
        <v>100396.74245338983</v>
      </c>
      <c r="M141" s="77">
        <f>VLOOKUP(B141,[1]ბიუჯეტი!$B:$K,3,FALSE)</f>
        <v>760.91399999999999</v>
      </c>
      <c r="N141" s="77">
        <f>VLOOKUP($B141,[1]ბიუჯეტი!$B:$K,4,FALSE)</f>
        <v>54.855549835405355</v>
      </c>
      <c r="O141" s="77">
        <f>VLOOKUP($B141,[1]ბიუჯეტი!$B:$K,5,FALSE)</f>
        <v>41740.355847457628</v>
      </c>
      <c r="P141" s="77">
        <f>VLOOKUP($B141,[1]ბიუჯეტი!$B:$K,6,FALSE)</f>
        <v>57.374999999999993</v>
      </c>
      <c r="Q141" s="77">
        <f>VLOOKUP($B141,[1]ბიუჯეტი!$B:$K,7,FALSE)</f>
        <v>43657.440749999994</v>
      </c>
      <c r="R141" s="77">
        <f>VLOOKUP($B141,[1]ბიუჯეტი!$B:$K,8,FALSE)</f>
        <v>0</v>
      </c>
      <c r="S141" s="77">
        <f>VLOOKUP($B141,[1]ბიუჯეტი!$B:$K,9,FALSE)</f>
        <v>0</v>
      </c>
      <c r="T141" s="77">
        <f>VLOOKUP($B141,[1]ბიუჯეტი!$B:$K,10,FALSE)</f>
        <v>85397.796597457622</v>
      </c>
      <c r="V141" s="78">
        <f t="shared" si="21"/>
        <v>3.5216476292508361</v>
      </c>
      <c r="W141" s="78">
        <f t="shared" si="22"/>
        <v>0</v>
      </c>
      <c r="X141" s="78">
        <f t="shared" si="23"/>
        <v>0</v>
      </c>
      <c r="Y141" s="97">
        <f t="shared" si="24"/>
        <v>106.42800000000011</v>
      </c>
    </row>
    <row r="142" spans="1:25" hidden="1" outlineLevel="1" x14ac:dyDescent="0.35">
      <c r="A142" s="51">
        <v>1</v>
      </c>
      <c r="B142" s="3" t="s">
        <v>59</v>
      </c>
      <c r="C142" s="4" t="s">
        <v>10</v>
      </c>
      <c r="D142" s="1">
        <f>სამუშაო!E25</f>
        <v>201.76500000000004</v>
      </c>
      <c r="E142" s="1"/>
      <c r="F142" s="1">
        <f t="shared" ref="F142:F161" si="25">D142*E142</f>
        <v>0</v>
      </c>
      <c r="G142" s="1"/>
      <c r="H142" s="1">
        <f t="shared" ref="H142:H161" si="26">D142*G142</f>
        <v>0</v>
      </c>
      <c r="I142" s="1"/>
      <c r="J142" s="1"/>
      <c r="K142" s="1">
        <f t="shared" si="16"/>
        <v>0</v>
      </c>
      <c r="M142" s="77">
        <f>VLOOKUP(B142,[1]ბიუჯეტი!$B:$K,3,FALSE)</f>
        <v>263.73600000000005</v>
      </c>
      <c r="N142" s="77">
        <f>VLOOKUP($B142,[1]ბიუჯეტი!$B:$K,4,FALSE)</f>
        <v>0</v>
      </c>
      <c r="O142" s="77">
        <f>VLOOKUP($B142,[1]ბიუჯეტი!$B:$K,5,FALSE)</f>
        <v>0</v>
      </c>
      <c r="P142" s="77">
        <f>VLOOKUP($B142,[1]ბიუჯეტი!$B:$K,6,FALSE)</f>
        <v>0</v>
      </c>
      <c r="Q142" s="77">
        <f>VLOOKUP($B142,[1]ბიუჯეტი!$B:$K,7,FALSE)</f>
        <v>0</v>
      </c>
      <c r="R142" s="77">
        <f>VLOOKUP($B142,[1]ბიუჯეტი!$B:$K,8,FALSE)</f>
        <v>0</v>
      </c>
      <c r="S142" s="77">
        <f>VLOOKUP($B142,[1]ბიუჯეტი!$B:$K,9,FALSE)</f>
        <v>0</v>
      </c>
      <c r="T142" s="77">
        <f>VLOOKUP($B142,[1]ბიუჯეტი!$B:$K,10,FALSE)</f>
        <v>0</v>
      </c>
      <c r="V142" s="78">
        <f t="shared" si="21"/>
        <v>0</v>
      </c>
      <c r="W142" s="78">
        <f t="shared" si="22"/>
        <v>0</v>
      </c>
      <c r="X142" s="78">
        <f t="shared" si="23"/>
        <v>0</v>
      </c>
      <c r="Y142" s="78">
        <f t="shared" si="24"/>
        <v>-61.971000000000004</v>
      </c>
    </row>
    <row r="143" spans="1:25" hidden="1" outlineLevel="1" x14ac:dyDescent="0.35">
      <c r="A143" s="51"/>
      <c r="B143" s="3" t="s">
        <v>401</v>
      </c>
      <c r="C143" s="4" t="s">
        <v>192</v>
      </c>
      <c r="D143" s="1">
        <f>D142/2.5</f>
        <v>80.706000000000017</v>
      </c>
      <c r="E143" s="1">
        <f>SUMIFS(მასალა!D1:D228,მასალა!B1:B228,ბიუჯეტი!B143)</f>
        <v>15.677966101694915</v>
      </c>
      <c r="F143" s="1">
        <f t="shared" si="25"/>
        <v>1265.3059322033901</v>
      </c>
      <c r="G143" s="1"/>
      <c r="H143" s="1">
        <f t="shared" si="26"/>
        <v>0</v>
      </c>
      <c r="I143" s="1"/>
      <c r="J143" s="1"/>
      <c r="K143" s="1">
        <f t="shared" si="16"/>
        <v>1265.3059322033901</v>
      </c>
      <c r="M143" s="77">
        <f>VLOOKUP(B143,[1]ბიუჯეტი!$B:$K,3,FALSE)</f>
        <v>105.49440000000001</v>
      </c>
      <c r="N143" s="77">
        <f>VLOOKUP($B143,[1]ბიუჯეტი!$B:$K,4,FALSE)</f>
        <v>15.677966101694915</v>
      </c>
      <c r="O143" s="77">
        <f>VLOOKUP($B143,[1]ბიუჯეტი!$B:$K,5,FALSE)</f>
        <v>1653.9376271186443</v>
      </c>
      <c r="P143" s="77">
        <f>VLOOKUP($B143,[1]ბიუჯეტი!$B:$K,6,FALSE)</f>
        <v>0</v>
      </c>
      <c r="Q143" s="77">
        <f>VLOOKUP($B143,[1]ბიუჯეტი!$B:$K,7,FALSE)</f>
        <v>0</v>
      </c>
      <c r="R143" s="77">
        <f>VLOOKUP($B143,[1]ბიუჯეტი!$B:$K,8,FALSE)</f>
        <v>0</v>
      </c>
      <c r="S143" s="77">
        <f>VLOOKUP($B143,[1]ბიუჯეტი!$B:$K,9,FALSE)</f>
        <v>0</v>
      </c>
      <c r="T143" s="77">
        <f>VLOOKUP($B143,[1]ბიუჯეტი!$B:$K,10,FALSE)</f>
        <v>1653.9376271186443</v>
      </c>
      <c r="V143" s="78">
        <f t="shared" si="21"/>
        <v>0</v>
      </c>
      <c r="W143" s="78">
        <f t="shared" si="22"/>
        <v>0</v>
      </c>
      <c r="X143" s="78">
        <f t="shared" si="23"/>
        <v>0</v>
      </c>
      <c r="Y143" s="78">
        <f t="shared" si="24"/>
        <v>-24.788399999999996</v>
      </c>
    </row>
    <row r="144" spans="1:25" hidden="1" outlineLevel="1" x14ac:dyDescent="0.35">
      <c r="A144" s="51"/>
      <c r="B144" s="3" t="s">
        <v>402</v>
      </c>
      <c r="C144" s="4" t="s">
        <v>192</v>
      </c>
      <c r="D144" s="1">
        <f>D142/2</f>
        <v>100.88250000000002</v>
      </c>
      <c r="E144" s="1">
        <f>SUMIFS(მასალა!D2:D229,მასალა!B2:B229,ბიუჯეტი!B144)</f>
        <v>19.915254237288135</v>
      </c>
      <c r="F144" s="1">
        <f t="shared" si="25"/>
        <v>2009.1006355932207</v>
      </c>
      <c r="G144" s="1"/>
      <c r="H144" s="1">
        <f t="shared" si="26"/>
        <v>0</v>
      </c>
      <c r="I144" s="1"/>
      <c r="J144" s="1"/>
      <c r="K144" s="1">
        <f t="shared" si="16"/>
        <v>2009.1006355932207</v>
      </c>
      <c r="M144" s="77">
        <f>VLOOKUP(B144,[1]ბიუჯეტი!$B:$K,3,FALSE)</f>
        <v>131.86800000000002</v>
      </c>
      <c r="N144" s="77">
        <f>VLOOKUP($B144,[1]ბიუჯეტი!$B:$K,4,FALSE)</f>
        <v>19.915254237288135</v>
      </c>
      <c r="O144" s="77">
        <f>VLOOKUP($B144,[1]ბიუჯეტი!$B:$K,5,FALSE)</f>
        <v>2626.1847457627123</v>
      </c>
      <c r="P144" s="77">
        <f>VLOOKUP($B144,[1]ბიუჯეტი!$B:$K,6,FALSE)</f>
        <v>0</v>
      </c>
      <c r="Q144" s="77">
        <f>VLOOKUP($B144,[1]ბიუჯეტი!$B:$K,7,FALSE)</f>
        <v>0</v>
      </c>
      <c r="R144" s="77">
        <f>VLOOKUP($B144,[1]ბიუჯეტი!$B:$K,8,FALSE)</f>
        <v>0</v>
      </c>
      <c r="S144" s="77">
        <f>VLOOKUP($B144,[1]ბიუჯეტი!$B:$K,9,FALSE)</f>
        <v>0</v>
      </c>
      <c r="T144" s="77">
        <f>VLOOKUP($B144,[1]ბიუჯეტი!$B:$K,10,FALSE)</f>
        <v>2626.1847457627123</v>
      </c>
      <c r="V144" s="78">
        <f t="shared" si="21"/>
        <v>0</v>
      </c>
      <c r="W144" s="78">
        <f t="shared" si="22"/>
        <v>0</v>
      </c>
      <c r="X144" s="78">
        <f t="shared" si="23"/>
        <v>0</v>
      </c>
      <c r="Y144" s="78">
        <f t="shared" si="24"/>
        <v>-30.985500000000002</v>
      </c>
    </row>
    <row r="145" spans="1:25" hidden="1" outlineLevel="1" x14ac:dyDescent="0.35">
      <c r="A145" s="51"/>
      <c r="B145" s="3" t="s">
        <v>372</v>
      </c>
      <c r="C145" s="4" t="s">
        <v>10</v>
      </c>
      <c r="D145" s="1">
        <f>D142+7</f>
        <v>208.76500000000004</v>
      </c>
      <c r="E145" s="1">
        <f>SUMIFS(მასალა!D3:D230,მასალა!B3:B230,ბიუჯეტი!B145)</f>
        <v>1.2711864406779663</v>
      </c>
      <c r="F145" s="1">
        <f t="shared" si="25"/>
        <v>265.3792372881357</v>
      </c>
      <c r="G145" s="1"/>
      <c r="H145" s="1">
        <f t="shared" si="26"/>
        <v>0</v>
      </c>
      <c r="I145" s="1"/>
      <c r="J145" s="1"/>
      <c r="K145" s="1">
        <f t="shared" si="16"/>
        <v>265.3792372881357</v>
      </c>
      <c r="M145" s="77">
        <f>VLOOKUP(B145,[1]ბიუჯეტი!$B:$K,3,FALSE)</f>
        <v>270.73600000000005</v>
      </c>
      <c r="N145" s="77">
        <f>VLOOKUP($B145,[1]ბიუჯეტი!$B:$K,4,FALSE)</f>
        <v>1.2711864406779663</v>
      </c>
      <c r="O145" s="77">
        <f>VLOOKUP($B145,[1]ბიუჯეტი!$B:$K,5,FALSE)</f>
        <v>344.15593220338991</v>
      </c>
      <c r="P145" s="77">
        <f>VLOOKUP($B145,[1]ბიუჯეტი!$B:$K,6,FALSE)</f>
        <v>0</v>
      </c>
      <c r="Q145" s="77">
        <f>VLOOKUP($B145,[1]ბიუჯეტი!$B:$K,7,FALSE)</f>
        <v>0</v>
      </c>
      <c r="R145" s="77">
        <f>VLOOKUP($B145,[1]ბიუჯეტი!$B:$K,8,FALSE)</f>
        <v>0</v>
      </c>
      <c r="S145" s="77">
        <f>VLOOKUP($B145,[1]ბიუჯეტი!$B:$K,9,FALSE)</f>
        <v>0</v>
      </c>
      <c r="T145" s="77">
        <f>VLOOKUP($B145,[1]ბიუჯეტი!$B:$K,10,FALSE)</f>
        <v>344.15593220338991</v>
      </c>
      <c r="V145" s="78">
        <f t="shared" si="21"/>
        <v>0</v>
      </c>
      <c r="W145" s="78">
        <f t="shared" si="22"/>
        <v>0</v>
      </c>
      <c r="X145" s="78">
        <f t="shared" si="23"/>
        <v>0</v>
      </c>
      <c r="Y145" s="78">
        <f t="shared" si="24"/>
        <v>-61.971000000000004</v>
      </c>
    </row>
    <row r="146" spans="1:25" hidden="1" outlineLevel="1" x14ac:dyDescent="0.35">
      <c r="A146" s="51"/>
      <c r="B146" s="3" t="s">
        <v>373</v>
      </c>
      <c r="C146" s="4" t="s">
        <v>192</v>
      </c>
      <c r="D146" s="1">
        <f>D142/5</f>
        <v>40.353000000000009</v>
      </c>
      <c r="E146" s="1">
        <f>SUMIFS(მასალა!D4:D231,მასალა!B4:B231,ბიუჯეტი!B146)</f>
        <v>19.915254237288135</v>
      </c>
      <c r="F146" s="1">
        <f t="shared" si="25"/>
        <v>803.64025423728833</v>
      </c>
      <c r="G146" s="1"/>
      <c r="H146" s="1">
        <f t="shared" si="26"/>
        <v>0</v>
      </c>
      <c r="I146" s="1"/>
      <c r="J146" s="1"/>
      <c r="K146" s="1">
        <f t="shared" si="16"/>
        <v>803.64025423728833</v>
      </c>
      <c r="M146" s="77">
        <f>VLOOKUP(B146,[1]ბიუჯეტი!$B:$K,3,FALSE)</f>
        <v>52.747200000000007</v>
      </c>
      <c r="N146" s="77">
        <f>VLOOKUP($B146,[1]ბიუჯეტი!$B:$K,4,FALSE)</f>
        <v>19.915254237288135</v>
      </c>
      <c r="O146" s="77">
        <f>VLOOKUP($B146,[1]ბიუჯეტი!$B:$K,5,FALSE)</f>
        <v>1050.4738983050847</v>
      </c>
      <c r="P146" s="77">
        <f>VLOOKUP($B146,[1]ბიუჯეტი!$B:$K,6,FALSE)</f>
        <v>0</v>
      </c>
      <c r="Q146" s="77">
        <f>VLOOKUP($B146,[1]ბიუჯეტი!$B:$K,7,FALSE)</f>
        <v>0</v>
      </c>
      <c r="R146" s="77">
        <f>VLOOKUP($B146,[1]ბიუჯეტი!$B:$K,8,FALSE)</f>
        <v>0</v>
      </c>
      <c r="S146" s="77">
        <f>VLOOKUP($B146,[1]ბიუჯეტი!$B:$K,9,FALSE)</f>
        <v>0</v>
      </c>
      <c r="T146" s="77">
        <f>VLOOKUP($B146,[1]ბიუჯეტი!$B:$K,10,FALSE)</f>
        <v>1050.4738983050847</v>
      </c>
      <c r="V146" s="78">
        <f t="shared" si="21"/>
        <v>0</v>
      </c>
      <c r="W146" s="78">
        <f t="shared" si="22"/>
        <v>0</v>
      </c>
      <c r="X146" s="78">
        <f t="shared" si="23"/>
        <v>0</v>
      </c>
      <c r="Y146" s="78">
        <f t="shared" si="24"/>
        <v>-12.394199999999998</v>
      </c>
    </row>
    <row r="147" spans="1:25" hidden="1" outlineLevel="1" x14ac:dyDescent="0.35">
      <c r="A147" s="51"/>
      <c r="B147" s="3" t="s">
        <v>374</v>
      </c>
      <c r="C147" s="4" t="s">
        <v>246</v>
      </c>
      <c r="D147" s="1">
        <v>28</v>
      </c>
      <c r="E147" s="1">
        <f>SUMIFS(მასალა!D5:D232,მასალა!B5:B232,ბიუჯეტი!B147)</f>
        <v>9.4915254237288131</v>
      </c>
      <c r="F147" s="1">
        <f t="shared" si="25"/>
        <v>265.76271186440675</v>
      </c>
      <c r="G147" s="1"/>
      <c r="H147" s="1">
        <f t="shared" si="26"/>
        <v>0</v>
      </c>
      <c r="I147" s="1"/>
      <c r="J147" s="1"/>
      <c r="K147" s="1">
        <f t="shared" si="16"/>
        <v>265.76271186440675</v>
      </c>
      <c r="M147" s="77">
        <f>VLOOKUP(B147,[1]ბიუჯეტი!$B:$K,3,FALSE)</f>
        <v>28</v>
      </c>
      <c r="N147" s="77">
        <f>VLOOKUP($B147,[1]ბიუჯეტი!$B:$K,4,FALSE)</f>
        <v>9.4915254237288131</v>
      </c>
      <c r="O147" s="77">
        <f>VLOOKUP($B147,[1]ბიუჯეტი!$B:$K,5,FALSE)</f>
        <v>265.76271186440675</v>
      </c>
      <c r="P147" s="77">
        <f>VLOOKUP($B147,[1]ბიუჯეტი!$B:$K,6,FALSE)</f>
        <v>0</v>
      </c>
      <c r="Q147" s="77">
        <f>VLOOKUP($B147,[1]ბიუჯეტი!$B:$K,7,FALSE)</f>
        <v>0</v>
      </c>
      <c r="R147" s="77">
        <f>VLOOKUP($B147,[1]ბიუჯეტი!$B:$K,8,FALSE)</f>
        <v>0</v>
      </c>
      <c r="S147" s="77">
        <f>VLOOKUP($B147,[1]ბიუჯეტი!$B:$K,9,FALSE)</f>
        <v>0</v>
      </c>
      <c r="T147" s="77">
        <f>VLOOKUP($B147,[1]ბიუჯეტი!$B:$K,10,FALSE)</f>
        <v>265.76271186440675</v>
      </c>
      <c r="V147" s="78">
        <f t="shared" si="21"/>
        <v>0</v>
      </c>
      <c r="W147" s="78">
        <f t="shared" si="22"/>
        <v>0</v>
      </c>
      <c r="X147" s="78">
        <f t="shared" si="23"/>
        <v>0</v>
      </c>
      <c r="Y147" s="78">
        <f t="shared" si="24"/>
        <v>0</v>
      </c>
    </row>
    <row r="148" spans="1:25" hidden="1" outlineLevel="1" x14ac:dyDescent="0.35">
      <c r="A148" s="51"/>
      <c r="B148" s="3" t="s">
        <v>400</v>
      </c>
      <c r="C148" s="4" t="s">
        <v>246</v>
      </c>
      <c r="D148" s="1">
        <v>60</v>
      </c>
      <c r="E148" s="1">
        <f>SUMIFS(მასალა!D6:D233,მასალა!B6:B233,ბიუჯეტი!B148)</f>
        <v>33.898305084745765</v>
      </c>
      <c r="F148" s="1">
        <f t="shared" si="25"/>
        <v>2033.898305084746</v>
      </c>
      <c r="G148" s="1"/>
      <c r="H148" s="1">
        <f t="shared" si="26"/>
        <v>0</v>
      </c>
      <c r="I148" s="1"/>
      <c r="J148" s="1"/>
      <c r="K148" s="1">
        <f t="shared" si="16"/>
        <v>2033.898305084746</v>
      </c>
      <c r="M148" s="77">
        <f>VLOOKUP(B148,[1]ბიუჯეტი!$B:$K,3,FALSE)</f>
        <v>60</v>
      </c>
      <c r="N148" s="77">
        <f>VLOOKUP($B148,[1]ბიუჯეტი!$B:$K,4,FALSE)</f>
        <v>33.898305084745765</v>
      </c>
      <c r="O148" s="77">
        <f>VLOOKUP($B148,[1]ბიუჯეტი!$B:$K,5,FALSE)</f>
        <v>2033.898305084746</v>
      </c>
      <c r="P148" s="77">
        <f>VLOOKUP($B148,[1]ბიუჯეტი!$B:$K,6,FALSE)</f>
        <v>0</v>
      </c>
      <c r="Q148" s="77">
        <f>VLOOKUP($B148,[1]ბიუჯეტი!$B:$K,7,FALSE)</f>
        <v>0</v>
      </c>
      <c r="R148" s="77">
        <f>VLOOKUP($B148,[1]ბიუჯეტი!$B:$K,8,FALSE)</f>
        <v>0</v>
      </c>
      <c r="S148" s="77">
        <f>VLOOKUP($B148,[1]ბიუჯეტი!$B:$K,9,FALSE)</f>
        <v>0</v>
      </c>
      <c r="T148" s="77">
        <f>VLOOKUP($B148,[1]ბიუჯეტი!$B:$K,10,FALSE)</f>
        <v>2033.898305084746</v>
      </c>
      <c r="V148" s="78">
        <f t="shared" si="21"/>
        <v>0</v>
      </c>
      <c r="W148" s="78">
        <f t="shared" si="22"/>
        <v>0</v>
      </c>
      <c r="X148" s="78">
        <f t="shared" si="23"/>
        <v>0</v>
      </c>
      <c r="Y148" s="78">
        <f t="shared" si="24"/>
        <v>0</v>
      </c>
    </row>
    <row r="149" spans="1:25" hidden="1" outlineLevel="1" x14ac:dyDescent="0.35">
      <c r="A149" s="51"/>
      <c r="B149" s="3" t="s">
        <v>375</v>
      </c>
      <c r="C149" s="4" t="s">
        <v>10</v>
      </c>
      <c r="D149" s="1">
        <f>D142</f>
        <v>201.76500000000004</v>
      </c>
      <c r="E149" s="1">
        <f>SUMIFS(მასალა!D7:D234,მასალა!B7:B234,ბიუჯეტი!B149)</f>
        <v>19.423728813559325</v>
      </c>
      <c r="F149" s="1">
        <f t="shared" si="25"/>
        <v>3919.0286440677983</v>
      </c>
      <c r="G149" s="1"/>
      <c r="H149" s="1">
        <f t="shared" si="26"/>
        <v>0</v>
      </c>
      <c r="I149" s="1"/>
      <c r="J149" s="1"/>
      <c r="K149" s="1">
        <f t="shared" si="16"/>
        <v>3919.0286440677983</v>
      </c>
      <c r="M149" s="77">
        <f>VLOOKUP(B149,[1]ბიუჯეტი!$B:$K,3,FALSE)</f>
        <v>263.73600000000005</v>
      </c>
      <c r="N149" s="77">
        <f>VLOOKUP($B149,[1]ბიუჯეტი!$B:$K,4,FALSE)</f>
        <v>14.40677966101695</v>
      </c>
      <c r="O149" s="77">
        <f>VLOOKUP($B149,[1]ბიუჯეტი!$B:$K,5,FALSE)</f>
        <v>3799.5864406779669</v>
      </c>
      <c r="P149" s="77">
        <f>VLOOKUP($B149,[1]ბიუჯეტი!$B:$K,6,FALSE)</f>
        <v>0</v>
      </c>
      <c r="Q149" s="77">
        <f>VLOOKUP($B149,[1]ბიუჯეტი!$B:$K,7,FALSE)</f>
        <v>0</v>
      </c>
      <c r="R149" s="77">
        <f>VLOOKUP($B149,[1]ბიუჯეტი!$B:$K,8,FALSE)</f>
        <v>0</v>
      </c>
      <c r="S149" s="77">
        <f>VLOOKUP($B149,[1]ბიუჯეტი!$B:$K,9,FALSE)</f>
        <v>0</v>
      </c>
      <c r="T149" s="77">
        <f>VLOOKUP($B149,[1]ბიუჯეტი!$B:$K,10,FALSE)</f>
        <v>3799.5864406779669</v>
      </c>
      <c r="V149" s="78">
        <f t="shared" si="21"/>
        <v>5.0169491525423755</v>
      </c>
      <c r="W149" s="78">
        <f t="shared" si="22"/>
        <v>0</v>
      </c>
      <c r="X149" s="78">
        <f t="shared" si="23"/>
        <v>0</v>
      </c>
      <c r="Y149" s="78">
        <f t="shared" si="24"/>
        <v>-61.971000000000004</v>
      </c>
    </row>
    <row r="150" spans="1:25" hidden="1" outlineLevel="1" x14ac:dyDescent="0.35">
      <c r="A150" s="51"/>
      <c r="B150" s="3" t="s">
        <v>376</v>
      </c>
      <c r="C150" s="4" t="s">
        <v>10</v>
      </c>
      <c r="D150" s="1">
        <v>18</v>
      </c>
      <c r="E150" s="1">
        <f>SUMIFS(მასალა!D8:D235,მასალა!B8:B235,ბიუჯეტი!B150)</f>
        <v>7.6271186440677967</v>
      </c>
      <c r="F150" s="1">
        <f t="shared" si="25"/>
        <v>137.28813559322035</v>
      </c>
      <c r="G150" s="1"/>
      <c r="H150" s="1">
        <f t="shared" si="26"/>
        <v>0</v>
      </c>
      <c r="I150" s="1"/>
      <c r="J150" s="1"/>
      <c r="K150" s="1">
        <f t="shared" si="16"/>
        <v>137.28813559322035</v>
      </c>
      <c r="M150" s="77">
        <f>VLOOKUP(B150,[1]ბიუჯეტი!$B:$K,3,FALSE)</f>
        <v>18</v>
      </c>
      <c r="N150" s="77">
        <f>VLOOKUP($B150,[1]ბიუჯეტი!$B:$K,4,FALSE)</f>
        <v>7.6271186440677967</v>
      </c>
      <c r="O150" s="77">
        <f>VLOOKUP($B150,[1]ბიუჯეტი!$B:$K,5,FALSE)</f>
        <v>137.28813559322035</v>
      </c>
      <c r="P150" s="77">
        <f>VLOOKUP($B150,[1]ბიუჯეტი!$B:$K,6,FALSE)</f>
        <v>0</v>
      </c>
      <c r="Q150" s="77">
        <f>VLOOKUP($B150,[1]ბიუჯეტი!$B:$K,7,FALSE)</f>
        <v>0</v>
      </c>
      <c r="R150" s="77">
        <f>VLOOKUP($B150,[1]ბიუჯეტი!$B:$K,8,FALSE)</f>
        <v>0</v>
      </c>
      <c r="S150" s="77">
        <f>VLOOKUP($B150,[1]ბიუჯეტი!$B:$K,9,FALSE)</f>
        <v>0</v>
      </c>
      <c r="T150" s="77">
        <f>VLOOKUP($B150,[1]ბიუჯეტი!$B:$K,10,FALSE)</f>
        <v>137.28813559322035</v>
      </c>
      <c r="V150" s="78">
        <f t="shared" si="21"/>
        <v>0</v>
      </c>
      <c r="W150" s="78">
        <f t="shared" si="22"/>
        <v>0</v>
      </c>
      <c r="X150" s="78">
        <f t="shared" si="23"/>
        <v>0</v>
      </c>
      <c r="Y150" s="78">
        <f t="shared" si="24"/>
        <v>0</v>
      </c>
    </row>
    <row r="151" spans="1:25" hidden="1" outlineLevel="1" x14ac:dyDescent="0.35">
      <c r="A151" s="51"/>
      <c r="B151" s="3" t="s">
        <v>377</v>
      </c>
      <c r="C151" s="4" t="s">
        <v>10</v>
      </c>
      <c r="D151" s="1">
        <f>D142</f>
        <v>201.76500000000004</v>
      </c>
      <c r="E151" s="1">
        <f>SUMIFS(მასალა!D9:D236,მასალა!B9:B236,ბიუჯეტი!B151)</f>
        <v>6.7796610169491531</v>
      </c>
      <c r="F151" s="1">
        <f t="shared" si="25"/>
        <v>1367.8983050847462</v>
      </c>
      <c r="G151" s="1"/>
      <c r="H151" s="1">
        <f t="shared" si="26"/>
        <v>0</v>
      </c>
      <c r="I151" s="1"/>
      <c r="J151" s="1"/>
      <c r="K151" s="1">
        <f t="shared" si="16"/>
        <v>1367.8983050847462</v>
      </c>
      <c r="M151" s="77">
        <f>VLOOKUP(B151,[1]ბიუჯეტი!$B:$K,3,FALSE)</f>
        <v>263.73600000000005</v>
      </c>
      <c r="N151" s="77">
        <f>VLOOKUP($B151,[1]ბიუჯეტი!$B:$K,4,FALSE)</f>
        <v>6.7796610169491531</v>
      </c>
      <c r="O151" s="77">
        <f>VLOOKUP($B151,[1]ბიუჯეტი!$B:$K,5,FALSE)</f>
        <v>1788.0406779661021</v>
      </c>
      <c r="P151" s="77">
        <f>VLOOKUP($B151,[1]ბიუჯეტი!$B:$K,6,FALSE)</f>
        <v>0</v>
      </c>
      <c r="Q151" s="77">
        <f>VLOOKUP($B151,[1]ბიუჯეტი!$B:$K,7,FALSE)</f>
        <v>0</v>
      </c>
      <c r="R151" s="77">
        <f>VLOOKUP($B151,[1]ბიუჯეტი!$B:$K,8,FALSE)</f>
        <v>0</v>
      </c>
      <c r="S151" s="77">
        <f>VLOOKUP($B151,[1]ბიუჯეტი!$B:$K,9,FALSE)</f>
        <v>0</v>
      </c>
      <c r="T151" s="77">
        <f>VLOOKUP($B151,[1]ბიუჯეტი!$B:$K,10,FALSE)</f>
        <v>1788.0406779661021</v>
      </c>
      <c r="V151" s="78">
        <f t="shared" si="21"/>
        <v>0</v>
      </c>
      <c r="W151" s="78">
        <f t="shared" si="22"/>
        <v>0</v>
      </c>
      <c r="X151" s="78">
        <f t="shared" si="23"/>
        <v>0</v>
      </c>
      <c r="Y151" s="78">
        <f t="shared" si="24"/>
        <v>-61.971000000000004</v>
      </c>
    </row>
    <row r="152" spans="1:25" hidden="1" outlineLevel="1" x14ac:dyDescent="0.35">
      <c r="A152" s="51">
        <v>2</v>
      </c>
      <c r="B152" s="3" t="s">
        <v>162</v>
      </c>
      <c r="C152" s="4" t="s">
        <v>10</v>
      </c>
      <c r="D152" s="1">
        <f>სამუშაო!E26+სამუშაო!E27+სამუშაო!E28</f>
        <v>665.577</v>
      </c>
      <c r="E152" s="1"/>
      <c r="F152" s="1">
        <f t="shared" si="25"/>
        <v>0</v>
      </c>
      <c r="G152" s="1"/>
      <c r="H152" s="1">
        <f t="shared" si="26"/>
        <v>0</v>
      </c>
      <c r="I152" s="1"/>
      <c r="J152" s="1"/>
      <c r="K152" s="1">
        <f t="shared" si="16"/>
        <v>0</v>
      </c>
      <c r="M152" s="77">
        <f>VLOOKUP(B152,[1]ბიუჯეტი!$B:$K,3,FALSE)</f>
        <v>497.17799999999988</v>
      </c>
      <c r="N152" s="77">
        <f>VLOOKUP($B152,[1]ბიუჯეტი!$B:$K,4,FALSE)</f>
        <v>0</v>
      </c>
      <c r="O152" s="77">
        <f>VLOOKUP($B152,[1]ბიუჯეტი!$B:$K,5,FALSE)</f>
        <v>0</v>
      </c>
      <c r="P152" s="77">
        <f>VLOOKUP($B152,[1]ბიუჯეტი!$B:$K,6,FALSE)</f>
        <v>0</v>
      </c>
      <c r="Q152" s="77">
        <f>VLOOKUP($B152,[1]ბიუჯეტი!$B:$K,7,FALSE)</f>
        <v>0</v>
      </c>
      <c r="R152" s="77">
        <f>VLOOKUP($B152,[1]ბიუჯეტი!$B:$K,8,FALSE)</f>
        <v>0</v>
      </c>
      <c r="S152" s="77">
        <f>VLOOKUP($B152,[1]ბიუჯეტი!$B:$K,9,FALSE)</f>
        <v>0</v>
      </c>
      <c r="T152" s="77">
        <f>VLOOKUP($B152,[1]ბიუჯეტი!$B:$K,10,FALSE)</f>
        <v>0</v>
      </c>
      <c r="V152" s="78">
        <f t="shared" si="21"/>
        <v>0</v>
      </c>
      <c r="W152" s="78">
        <f t="shared" si="22"/>
        <v>0</v>
      </c>
      <c r="X152" s="78">
        <f t="shared" si="23"/>
        <v>0</v>
      </c>
      <c r="Y152" s="78">
        <f t="shared" si="24"/>
        <v>168.39900000000011</v>
      </c>
    </row>
    <row r="153" spans="1:25" hidden="1" outlineLevel="1" x14ac:dyDescent="0.35">
      <c r="A153" s="51"/>
      <c r="B153" s="3" t="s">
        <v>401</v>
      </c>
      <c r="C153" s="4" t="s">
        <v>192</v>
      </c>
      <c r="D153" s="1">
        <f>D152/2.5</f>
        <v>266.23079999999999</v>
      </c>
      <c r="E153" s="1">
        <f>SUMIFS(მასალა!D1:D238,მასალა!B1:B238,ბიუჯეტი!B153)</f>
        <v>15.677966101694915</v>
      </c>
      <c r="F153" s="1">
        <f t="shared" si="25"/>
        <v>4173.9574576271189</v>
      </c>
      <c r="G153" s="1"/>
      <c r="H153" s="1">
        <f t="shared" si="26"/>
        <v>0</v>
      </c>
      <c r="I153" s="1"/>
      <c r="J153" s="1"/>
      <c r="K153" s="1">
        <f t="shared" si="16"/>
        <v>4173.9574576271189</v>
      </c>
      <c r="M153" s="77">
        <f>VLOOKUP(B153,[1]ბიუჯეტი!$B:$K,3,FALSE)</f>
        <v>105.49440000000001</v>
      </c>
      <c r="N153" s="77">
        <f>VLOOKUP($B153,[1]ბიუჯეტი!$B:$K,4,FALSE)</f>
        <v>15.677966101694915</v>
      </c>
      <c r="O153" s="77">
        <f>VLOOKUP($B153,[1]ბიუჯეტი!$B:$K,5,FALSE)</f>
        <v>1653.9376271186443</v>
      </c>
      <c r="P153" s="77">
        <f>VLOOKUP($B153,[1]ბიუჯეტი!$B:$K,6,FALSE)</f>
        <v>0</v>
      </c>
      <c r="Q153" s="77">
        <f>VLOOKUP($B153,[1]ბიუჯეტი!$B:$K,7,FALSE)</f>
        <v>0</v>
      </c>
      <c r="R153" s="77">
        <f>VLOOKUP($B153,[1]ბიუჯეტი!$B:$K,8,FALSE)</f>
        <v>0</v>
      </c>
      <c r="S153" s="77">
        <f>VLOOKUP($B153,[1]ბიუჯეტი!$B:$K,9,FALSE)</f>
        <v>0</v>
      </c>
      <c r="T153" s="77">
        <f>VLOOKUP($B153,[1]ბიუჯეტი!$B:$K,10,FALSE)</f>
        <v>1653.9376271186443</v>
      </c>
      <c r="V153" s="78">
        <f t="shared" si="21"/>
        <v>0</v>
      </c>
      <c r="W153" s="78">
        <f t="shared" si="22"/>
        <v>0</v>
      </c>
      <c r="X153" s="78">
        <f t="shared" si="23"/>
        <v>0</v>
      </c>
      <c r="Y153" s="78">
        <f t="shared" si="24"/>
        <v>160.73639999999997</v>
      </c>
    </row>
    <row r="154" spans="1:25" hidden="1" outlineLevel="1" x14ac:dyDescent="0.35">
      <c r="A154" s="51"/>
      <c r="B154" s="3" t="s">
        <v>402</v>
      </c>
      <c r="C154" s="4" t="s">
        <v>192</v>
      </c>
      <c r="D154" s="1">
        <f>D152/2</f>
        <v>332.7885</v>
      </c>
      <c r="E154" s="1">
        <f>SUMIFS(მასალა!D2:D239,მასალა!B2:B239,ბიუჯეტი!B154)</f>
        <v>19.915254237288135</v>
      </c>
      <c r="F154" s="1">
        <f t="shared" si="25"/>
        <v>6627.5675847457624</v>
      </c>
      <c r="G154" s="1"/>
      <c r="H154" s="1">
        <f t="shared" si="26"/>
        <v>0</v>
      </c>
      <c r="I154" s="1"/>
      <c r="J154" s="1"/>
      <c r="K154" s="1">
        <f t="shared" ref="K154:K217" si="27">F154+H154+J154</f>
        <v>6627.5675847457624</v>
      </c>
      <c r="M154" s="77">
        <f>VLOOKUP(B154,[1]ბიუჯეტი!$B:$K,3,FALSE)</f>
        <v>131.86800000000002</v>
      </c>
      <c r="N154" s="77">
        <f>VLOOKUP($B154,[1]ბიუჯეტი!$B:$K,4,FALSE)</f>
        <v>19.915254237288135</v>
      </c>
      <c r="O154" s="77">
        <f>VLOOKUP($B154,[1]ბიუჯეტი!$B:$K,5,FALSE)</f>
        <v>2626.1847457627123</v>
      </c>
      <c r="P154" s="77">
        <f>VLOOKUP($B154,[1]ბიუჯეტი!$B:$K,6,FALSE)</f>
        <v>0</v>
      </c>
      <c r="Q154" s="77">
        <f>VLOOKUP($B154,[1]ბიუჯეტი!$B:$K,7,FALSE)</f>
        <v>0</v>
      </c>
      <c r="R154" s="77">
        <f>VLOOKUP($B154,[1]ბიუჯეტი!$B:$K,8,FALSE)</f>
        <v>0</v>
      </c>
      <c r="S154" s="77">
        <f>VLOOKUP($B154,[1]ბიუჯეტი!$B:$K,9,FALSE)</f>
        <v>0</v>
      </c>
      <c r="T154" s="77">
        <f>VLOOKUP($B154,[1]ბიუჯეტი!$B:$K,10,FALSE)</f>
        <v>2626.1847457627123</v>
      </c>
      <c r="V154" s="78">
        <f t="shared" si="21"/>
        <v>0</v>
      </c>
      <c r="W154" s="78">
        <f t="shared" si="22"/>
        <v>0</v>
      </c>
      <c r="X154" s="78">
        <f t="shared" si="23"/>
        <v>0</v>
      </c>
      <c r="Y154" s="78">
        <f t="shared" si="24"/>
        <v>200.92049999999998</v>
      </c>
    </row>
    <row r="155" spans="1:25" hidden="1" outlineLevel="1" x14ac:dyDescent="0.35">
      <c r="A155" s="51"/>
      <c r="B155" s="3" t="s">
        <v>372</v>
      </c>
      <c r="C155" s="4" t="s">
        <v>10</v>
      </c>
      <c r="D155" s="1">
        <f>D152+7</f>
        <v>672.577</v>
      </c>
      <c r="E155" s="1">
        <f>SUMIFS(მასალა!D3:D240,მასალა!B3:B240,ბიუჯეტი!B155)</f>
        <v>1.2711864406779663</v>
      </c>
      <c r="F155" s="1">
        <f t="shared" si="25"/>
        <v>854.9707627118645</v>
      </c>
      <c r="G155" s="1"/>
      <c r="H155" s="1">
        <f t="shared" si="26"/>
        <v>0</v>
      </c>
      <c r="I155" s="1"/>
      <c r="J155" s="1"/>
      <c r="K155" s="1">
        <f t="shared" si="27"/>
        <v>854.9707627118645</v>
      </c>
      <c r="M155" s="77">
        <f>VLOOKUP(B155,[1]ბიუჯეტი!$B:$K,3,FALSE)</f>
        <v>270.73600000000005</v>
      </c>
      <c r="N155" s="77">
        <f>VLOOKUP($B155,[1]ბიუჯეტი!$B:$K,4,FALSE)</f>
        <v>1.2711864406779663</v>
      </c>
      <c r="O155" s="77">
        <f>VLOOKUP($B155,[1]ბიუჯეტი!$B:$K,5,FALSE)</f>
        <v>344.15593220338991</v>
      </c>
      <c r="P155" s="77">
        <f>VLOOKUP($B155,[1]ბიუჯეტი!$B:$K,6,FALSE)</f>
        <v>0</v>
      </c>
      <c r="Q155" s="77">
        <f>VLOOKUP($B155,[1]ბიუჯეტი!$B:$K,7,FALSE)</f>
        <v>0</v>
      </c>
      <c r="R155" s="77">
        <f>VLOOKUP($B155,[1]ბიუჯეტი!$B:$K,8,FALSE)</f>
        <v>0</v>
      </c>
      <c r="S155" s="77">
        <f>VLOOKUP($B155,[1]ბიუჯეტი!$B:$K,9,FALSE)</f>
        <v>0</v>
      </c>
      <c r="T155" s="77">
        <f>VLOOKUP($B155,[1]ბიუჯეტი!$B:$K,10,FALSE)</f>
        <v>344.15593220338991</v>
      </c>
      <c r="V155" s="78">
        <f t="shared" si="21"/>
        <v>0</v>
      </c>
      <c r="W155" s="78">
        <f t="shared" si="22"/>
        <v>0</v>
      </c>
      <c r="X155" s="78">
        <f t="shared" si="23"/>
        <v>0</v>
      </c>
      <c r="Y155" s="78">
        <f t="shared" si="24"/>
        <v>401.84099999999995</v>
      </c>
    </row>
    <row r="156" spans="1:25" hidden="1" outlineLevel="1" x14ac:dyDescent="0.35">
      <c r="A156" s="51"/>
      <c r="B156" s="3" t="s">
        <v>373</v>
      </c>
      <c r="C156" s="4" t="s">
        <v>192</v>
      </c>
      <c r="D156" s="1">
        <f>D152/5</f>
        <v>133.11539999999999</v>
      </c>
      <c r="E156" s="1">
        <f>SUMIFS(მასალა!D4:D241,მასალა!B4:B241,ბიუჯეტი!B156)</f>
        <v>19.915254237288135</v>
      </c>
      <c r="F156" s="1">
        <f t="shared" si="25"/>
        <v>2651.027033898305</v>
      </c>
      <c r="G156" s="1"/>
      <c r="H156" s="1">
        <f t="shared" si="26"/>
        <v>0</v>
      </c>
      <c r="I156" s="1"/>
      <c r="J156" s="1"/>
      <c r="K156" s="1">
        <f t="shared" si="27"/>
        <v>2651.027033898305</v>
      </c>
      <c r="M156" s="77">
        <f>VLOOKUP(B156,[1]ბიუჯეტი!$B:$K,3,FALSE)</f>
        <v>52.747200000000007</v>
      </c>
      <c r="N156" s="77">
        <f>VLOOKUP($B156,[1]ბიუჯეტი!$B:$K,4,FALSE)</f>
        <v>19.915254237288135</v>
      </c>
      <c r="O156" s="77">
        <f>VLOOKUP($B156,[1]ბიუჯეტი!$B:$K,5,FALSE)</f>
        <v>1050.4738983050847</v>
      </c>
      <c r="P156" s="77">
        <f>VLOOKUP($B156,[1]ბიუჯეტი!$B:$K,6,FALSE)</f>
        <v>0</v>
      </c>
      <c r="Q156" s="77">
        <f>VLOOKUP($B156,[1]ბიუჯეტი!$B:$K,7,FALSE)</f>
        <v>0</v>
      </c>
      <c r="R156" s="77">
        <f>VLOOKUP($B156,[1]ბიუჯეტი!$B:$K,8,FALSE)</f>
        <v>0</v>
      </c>
      <c r="S156" s="77">
        <f>VLOOKUP($B156,[1]ბიუჯეტი!$B:$K,9,FALSE)</f>
        <v>0</v>
      </c>
      <c r="T156" s="77">
        <f>VLOOKUP($B156,[1]ბიუჯეტი!$B:$K,10,FALSE)</f>
        <v>1050.4738983050847</v>
      </c>
      <c r="V156" s="78">
        <f t="shared" si="21"/>
        <v>0</v>
      </c>
      <c r="W156" s="78">
        <f t="shared" si="22"/>
        <v>0</v>
      </c>
      <c r="X156" s="78">
        <f t="shared" si="23"/>
        <v>0</v>
      </c>
      <c r="Y156" s="78">
        <f t="shared" si="24"/>
        <v>80.368199999999987</v>
      </c>
    </row>
    <row r="157" spans="1:25" hidden="1" outlineLevel="1" x14ac:dyDescent="0.35">
      <c r="A157" s="51"/>
      <c r="B157" s="3" t="s">
        <v>374</v>
      </c>
      <c r="C157" s="4" t="s">
        <v>246</v>
      </c>
      <c r="D157" s="1">
        <v>75</v>
      </c>
      <c r="E157" s="1">
        <f>SUMIFS(მასალა!D5:D242,მასალა!B5:B242,ბიუჯეტი!B157)</f>
        <v>9.4915254237288131</v>
      </c>
      <c r="F157" s="1">
        <f t="shared" si="25"/>
        <v>711.86440677966095</v>
      </c>
      <c r="G157" s="1"/>
      <c r="H157" s="1">
        <f t="shared" si="26"/>
        <v>0</v>
      </c>
      <c r="I157" s="1"/>
      <c r="J157" s="1"/>
      <c r="K157" s="1">
        <f t="shared" si="27"/>
        <v>711.86440677966095</v>
      </c>
      <c r="M157" s="77">
        <f>VLOOKUP(B157,[1]ბიუჯეტი!$B:$K,3,FALSE)</f>
        <v>28</v>
      </c>
      <c r="N157" s="77">
        <f>VLOOKUP($B157,[1]ბიუჯეტი!$B:$K,4,FALSE)</f>
        <v>9.4915254237288131</v>
      </c>
      <c r="O157" s="77">
        <f>VLOOKUP($B157,[1]ბიუჯეტი!$B:$K,5,FALSE)</f>
        <v>265.76271186440675</v>
      </c>
      <c r="P157" s="77">
        <f>VLOOKUP($B157,[1]ბიუჯეტი!$B:$K,6,FALSE)</f>
        <v>0</v>
      </c>
      <c r="Q157" s="77">
        <f>VLOOKUP($B157,[1]ბიუჯეტი!$B:$K,7,FALSE)</f>
        <v>0</v>
      </c>
      <c r="R157" s="77">
        <f>VLOOKUP($B157,[1]ბიუჯეტი!$B:$K,8,FALSE)</f>
        <v>0</v>
      </c>
      <c r="S157" s="77">
        <f>VLOOKUP($B157,[1]ბიუჯეტი!$B:$K,9,FALSE)</f>
        <v>0</v>
      </c>
      <c r="T157" s="77">
        <f>VLOOKUP($B157,[1]ბიუჯეტი!$B:$K,10,FALSE)</f>
        <v>265.76271186440675</v>
      </c>
      <c r="V157" s="78">
        <f t="shared" si="21"/>
        <v>0</v>
      </c>
      <c r="W157" s="78">
        <f t="shared" si="22"/>
        <v>0</v>
      </c>
      <c r="X157" s="78">
        <f t="shared" si="23"/>
        <v>0</v>
      </c>
      <c r="Y157" s="78">
        <f t="shared" si="24"/>
        <v>47</v>
      </c>
    </row>
    <row r="158" spans="1:25" hidden="1" outlineLevel="1" x14ac:dyDescent="0.35">
      <c r="A158" s="51"/>
      <c r="B158" s="3" t="s">
        <v>400</v>
      </c>
      <c r="C158" s="4" t="s">
        <v>246</v>
      </c>
      <c r="D158" s="1">
        <v>170</v>
      </c>
      <c r="E158" s="1">
        <f>SUMIFS(მასალა!D6:D243,მასალა!B6:B243,ბიუჯეტი!B158)</f>
        <v>33.898305084745765</v>
      </c>
      <c r="F158" s="1">
        <f t="shared" si="25"/>
        <v>5762.7118644067796</v>
      </c>
      <c r="G158" s="1"/>
      <c r="H158" s="1">
        <f t="shared" si="26"/>
        <v>0</v>
      </c>
      <c r="I158" s="1"/>
      <c r="J158" s="1"/>
      <c r="K158" s="1">
        <f t="shared" si="27"/>
        <v>5762.7118644067796</v>
      </c>
      <c r="M158" s="77">
        <f>VLOOKUP(B158,[1]ბიუჯეტი!$B:$K,3,FALSE)</f>
        <v>60</v>
      </c>
      <c r="N158" s="77">
        <f>VLOOKUP($B158,[1]ბიუჯეტი!$B:$K,4,FALSE)</f>
        <v>33.898305084745765</v>
      </c>
      <c r="O158" s="77">
        <f>VLOOKUP($B158,[1]ბიუჯეტი!$B:$K,5,FALSE)</f>
        <v>2033.898305084746</v>
      </c>
      <c r="P158" s="77">
        <f>VLOOKUP($B158,[1]ბიუჯეტი!$B:$K,6,FALSE)</f>
        <v>0</v>
      </c>
      <c r="Q158" s="77">
        <f>VLOOKUP($B158,[1]ბიუჯეტი!$B:$K,7,FALSE)</f>
        <v>0</v>
      </c>
      <c r="R158" s="77">
        <f>VLOOKUP($B158,[1]ბიუჯეტი!$B:$K,8,FALSE)</f>
        <v>0</v>
      </c>
      <c r="S158" s="77">
        <f>VLOOKUP($B158,[1]ბიუჯეტი!$B:$K,9,FALSE)</f>
        <v>0</v>
      </c>
      <c r="T158" s="77">
        <f>VLOOKUP($B158,[1]ბიუჯეტი!$B:$K,10,FALSE)</f>
        <v>2033.898305084746</v>
      </c>
      <c r="V158" s="78">
        <f t="shared" si="21"/>
        <v>0</v>
      </c>
      <c r="W158" s="78">
        <f t="shared" si="22"/>
        <v>0</v>
      </c>
      <c r="X158" s="78">
        <f t="shared" si="23"/>
        <v>0</v>
      </c>
      <c r="Y158" s="78">
        <f t="shared" si="24"/>
        <v>110</v>
      </c>
    </row>
    <row r="159" spans="1:25" hidden="1" outlineLevel="1" x14ac:dyDescent="0.35">
      <c r="A159" s="51"/>
      <c r="B159" s="3" t="s">
        <v>375</v>
      </c>
      <c r="C159" s="4" t="s">
        <v>10</v>
      </c>
      <c r="D159" s="1">
        <f>D152</f>
        <v>665.577</v>
      </c>
      <c r="E159" s="1">
        <f>SUMIFS(მასალა!D7:D244,მასალა!B7:B244,ბიუჯეტი!B159)</f>
        <v>19.423728813559325</v>
      </c>
      <c r="F159" s="1">
        <f t="shared" si="25"/>
        <v>12927.987152542375</v>
      </c>
      <c r="G159" s="1"/>
      <c r="H159" s="1">
        <f t="shared" si="26"/>
        <v>0</v>
      </c>
      <c r="I159" s="1"/>
      <c r="J159" s="1"/>
      <c r="K159" s="1">
        <f t="shared" si="27"/>
        <v>12927.987152542375</v>
      </c>
      <c r="M159" s="77">
        <f>VLOOKUP(B159,[1]ბიუჯეტი!$B:$K,3,FALSE)</f>
        <v>263.73600000000005</v>
      </c>
      <c r="N159" s="77">
        <f>VLOOKUP($B159,[1]ბიუჯეტი!$B:$K,4,FALSE)</f>
        <v>14.40677966101695</v>
      </c>
      <c r="O159" s="77">
        <f>VLOOKUP($B159,[1]ბიუჯეტი!$B:$K,5,FALSE)</f>
        <v>3799.5864406779669</v>
      </c>
      <c r="P159" s="77">
        <f>VLOOKUP($B159,[1]ბიუჯეტი!$B:$K,6,FALSE)</f>
        <v>0</v>
      </c>
      <c r="Q159" s="77">
        <f>VLOOKUP($B159,[1]ბიუჯეტი!$B:$K,7,FALSE)</f>
        <v>0</v>
      </c>
      <c r="R159" s="77">
        <f>VLOOKUP($B159,[1]ბიუჯეტი!$B:$K,8,FALSE)</f>
        <v>0</v>
      </c>
      <c r="S159" s="77">
        <f>VLOOKUP($B159,[1]ბიუჯეტი!$B:$K,9,FALSE)</f>
        <v>0</v>
      </c>
      <c r="T159" s="77">
        <f>VLOOKUP($B159,[1]ბიუჯეტი!$B:$K,10,FALSE)</f>
        <v>3799.5864406779669</v>
      </c>
      <c r="V159" s="78">
        <f t="shared" si="21"/>
        <v>5.0169491525423755</v>
      </c>
      <c r="W159" s="78">
        <f t="shared" si="22"/>
        <v>0</v>
      </c>
      <c r="X159" s="78">
        <f t="shared" si="23"/>
        <v>0</v>
      </c>
      <c r="Y159" s="78">
        <f t="shared" si="24"/>
        <v>401.84099999999995</v>
      </c>
    </row>
    <row r="160" spans="1:25" hidden="1" outlineLevel="1" x14ac:dyDescent="0.35">
      <c r="A160" s="51"/>
      <c r="B160" s="3" t="s">
        <v>376</v>
      </c>
      <c r="C160" s="4" t="s">
        <v>10</v>
      </c>
      <c r="D160" s="1">
        <v>45</v>
      </c>
      <c r="E160" s="1">
        <f>SUMIFS(მასალა!D8:D245,მასალა!B8:B245,ბიუჯეტი!B160)</f>
        <v>7.6271186440677967</v>
      </c>
      <c r="F160" s="1">
        <f t="shared" si="25"/>
        <v>343.22033898305085</v>
      </c>
      <c r="G160" s="1"/>
      <c r="H160" s="1">
        <f t="shared" si="26"/>
        <v>0</v>
      </c>
      <c r="I160" s="1"/>
      <c r="J160" s="1"/>
      <c r="K160" s="1">
        <f t="shared" si="27"/>
        <v>343.22033898305085</v>
      </c>
      <c r="M160" s="77">
        <f>VLOOKUP(B160,[1]ბიუჯეტი!$B:$K,3,FALSE)</f>
        <v>18</v>
      </c>
      <c r="N160" s="77">
        <f>VLOOKUP($B160,[1]ბიუჯეტი!$B:$K,4,FALSE)</f>
        <v>7.6271186440677967</v>
      </c>
      <c r="O160" s="77">
        <f>VLOOKUP($B160,[1]ბიუჯეტი!$B:$K,5,FALSE)</f>
        <v>137.28813559322035</v>
      </c>
      <c r="P160" s="77">
        <f>VLOOKUP($B160,[1]ბიუჯეტი!$B:$K,6,FALSE)</f>
        <v>0</v>
      </c>
      <c r="Q160" s="77">
        <f>VLOOKUP($B160,[1]ბიუჯეტი!$B:$K,7,FALSE)</f>
        <v>0</v>
      </c>
      <c r="R160" s="77">
        <f>VLOOKUP($B160,[1]ბიუჯეტი!$B:$K,8,FALSE)</f>
        <v>0</v>
      </c>
      <c r="S160" s="77">
        <f>VLOOKUP($B160,[1]ბიუჯეტი!$B:$K,9,FALSE)</f>
        <v>0</v>
      </c>
      <c r="T160" s="77">
        <f>VLOOKUP($B160,[1]ბიუჯეტი!$B:$K,10,FALSE)</f>
        <v>137.28813559322035</v>
      </c>
      <c r="V160" s="78">
        <f t="shared" si="21"/>
        <v>0</v>
      </c>
      <c r="W160" s="78">
        <f t="shared" si="22"/>
        <v>0</v>
      </c>
      <c r="X160" s="78">
        <f t="shared" si="23"/>
        <v>0</v>
      </c>
      <c r="Y160" s="78">
        <f t="shared" si="24"/>
        <v>27</v>
      </c>
    </row>
    <row r="161" spans="1:25" hidden="1" outlineLevel="1" x14ac:dyDescent="0.35">
      <c r="A161" s="51"/>
      <c r="B161" s="3" t="s">
        <v>377</v>
      </c>
      <c r="C161" s="4" t="s">
        <v>10</v>
      </c>
      <c r="D161" s="1">
        <f>D152</f>
        <v>665.577</v>
      </c>
      <c r="E161" s="1">
        <f>SUMIFS(მასალა!D9:D246,მასალა!B9:B246,ბიუჯეტი!B161)</f>
        <v>6.7796610169491531</v>
      </c>
      <c r="F161" s="1">
        <f t="shared" si="25"/>
        <v>4512.3864406779667</v>
      </c>
      <c r="G161" s="1"/>
      <c r="H161" s="1">
        <f t="shared" si="26"/>
        <v>0</v>
      </c>
      <c r="I161" s="1"/>
      <c r="J161" s="1"/>
      <c r="K161" s="1">
        <f t="shared" si="27"/>
        <v>4512.3864406779667</v>
      </c>
      <c r="M161" s="77">
        <f>VLOOKUP(B161,[1]ბიუჯეტი!$B:$K,3,FALSE)</f>
        <v>263.73600000000005</v>
      </c>
      <c r="N161" s="77">
        <f>VLOOKUP($B161,[1]ბიუჯეტი!$B:$K,4,FALSE)</f>
        <v>6.7796610169491531</v>
      </c>
      <c r="O161" s="77">
        <f>VLOOKUP($B161,[1]ბიუჯეტი!$B:$K,5,FALSE)</f>
        <v>1788.0406779661021</v>
      </c>
      <c r="P161" s="77">
        <f>VLOOKUP($B161,[1]ბიუჯეტი!$B:$K,6,FALSE)</f>
        <v>0</v>
      </c>
      <c r="Q161" s="77">
        <f>VLOOKUP($B161,[1]ბიუჯეტი!$B:$K,7,FALSE)</f>
        <v>0</v>
      </c>
      <c r="R161" s="77">
        <f>VLOOKUP($B161,[1]ბიუჯეტი!$B:$K,8,FALSE)</f>
        <v>0</v>
      </c>
      <c r="S161" s="77">
        <f>VLOOKUP($B161,[1]ბიუჯეტი!$B:$K,9,FALSE)</f>
        <v>0</v>
      </c>
      <c r="T161" s="77">
        <f>VLOOKUP($B161,[1]ბიუჯეტი!$B:$K,10,FALSE)</f>
        <v>1788.0406779661021</v>
      </c>
      <c r="V161" s="78">
        <f t="shared" si="21"/>
        <v>0</v>
      </c>
      <c r="W161" s="78">
        <f t="shared" si="22"/>
        <v>0</v>
      </c>
      <c r="X161" s="78">
        <f t="shared" si="23"/>
        <v>0</v>
      </c>
      <c r="Y161" s="78">
        <f t="shared" si="24"/>
        <v>401.84099999999995</v>
      </c>
    </row>
    <row r="162" spans="1:25" collapsed="1" x14ac:dyDescent="0.35">
      <c r="A162" s="63">
        <v>8</v>
      </c>
      <c r="B162" s="64" t="s">
        <v>254</v>
      </c>
      <c r="C162" s="65" t="s">
        <v>10</v>
      </c>
      <c r="D162" s="66">
        <f>D163</f>
        <v>218.39999999999998</v>
      </c>
      <c r="E162" s="66">
        <f>SUM(K164:K166)/D162</f>
        <v>8.4166980932203419</v>
      </c>
      <c r="F162" s="66">
        <f>D162*E162</f>
        <v>1838.2068635593225</v>
      </c>
      <c r="G162" s="66">
        <f>ხელფასი!D38</f>
        <v>19.125</v>
      </c>
      <c r="H162" s="66">
        <f>G162*D162</f>
        <v>4176.8999999999996</v>
      </c>
      <c r="I162" s="66">
        <v>0</v>
      </c>
      <c r="J162" s="66">
        <f>I162*D162</f>
        <v>0</v>
      </c>
      <c r="K162" s="1">
        <f t="shared" si="27"/>
        <v>6015.1068635593219</v>
      </c>
      <c r="M162" s="77">
        <f>VLOOKUP(B162,[1]ბიუჯეტი!$B:$K,3,FALSE)</f>
        <v>218.39999999999998</v>
      </c>
      <c r="N162" s="77">
        <f>VLOOKUP($B162,[1]ბიუჯეტი!$B:$K,4,FALSE)</f>
        <v>8.4162309322033924</v>
      </c>
      <c r="O162" s="77">
        <f>VLOOKUP($B162,[1]ბიუჯეტი!$B:$K,5,FALSE)</f>
        <v>1838.1048355932207</v>
      </c>
      <c r="P162" s="77">
        <f>VLOOKUP($B162,[1]ბიუჯეტი!$B:$K,6,FALSE)</f>
        <v>19.125</v>
      </c>
      <c r="Q162" s="77">
        <f>VLOOKUP($B162,[1]ბიუჯეტი!$B:$K,7,FALSE)</f>
        <v>4176.8999999999996</v>
      </c>
      <c r="R162" s="77">
        <f>VLOOKUP($B162,[1]ბიუჯეტი!$B:$K,8,FALSE)</f>
        <v>0</v>
      </c>
      <c r="S162" s="77">
        <f>VLOOKUP($B162,[1]ბიუჯეტი!$B:$K,9,FALSE)</f>
        <v>0</v>
      </c>
      <c r="T162" s="77">
        <f>VLOOKUP($B162,[1]ბიუჯეტი!$B:$K,10,FALSE)</f>
        <v>6015.0048355932204</v>
      </c>
      <c r="V162" s="78">
        <f t="shared" si="21"/>
        <v>4.6716101694954659E-4</v>
      </c>
      <c r="W162" s="78">
        <f t="shared" si="22"/>
        <v>0</v>
      </c>
      <c r="X162" s="78">
        <f t="shared" si="23"/>
        <v>0</v>
      </c>
      <c r="Y162" s="78">
        <f t="shared" si="24"/>
        <v>0</v>
      </c>
    </row>
    <row r="163" spans="1:25" hidden="1" outlineLevel="1" x14ac:dyDescent="0.35">
      <c r="A163" s="51">
        <v>2</v>
      </c>
      <c r="B163" s="23" t="s">
        <v>254</v>
      </c>
      <c r="C163" s="4" t="s">
        <v>10</v>
      </c>
      <c r="D163" s="1">
        <f>(7*2.6)*12</f>
        <v>218.39999999999998</v>
      </c>
      <c r="E163" s="1"/>
      <c r="F163" s="1">
        <f>D163*E163</f>
        <v>0</v>
      </c>
      <c r="G163" s="1">
        <f>ხელფასი!D38</f>
        <v>19.125</v>
      </c>
      <c r="H163" s="1">
        <f>G163*D163</f>
        <v>4176.8999999999996</v>
      </c>
      <c r="I163" s="1"/>
      <c r="J163" s="1"/>
      <c r="K163" s="1">
        <f t="shared" si="27"/>
        <v>4176.8999999999996</v>
      </c>
      <c r="M163" s="77">
        <f>VLOOKUP(B163,[1]ბიუჯეტი!$B:$K,3,FALSE)</f>
        <v>218.39999999999998</v>
      </c>
      <c r="N163" s="77">
        <f>VLOOKUP($B163,[1]ბიუჯეტი!$B:$K,4,FALSE)</f>
        <v>8.4162309322033924</v>
      </c>
      <c r="O163" s="77">
        <f>VLOOKUP($B163,[1]ბიუჯეტი!$B:$K,5,FALSE)</f>
        <v>1838.1048355932207</v>
      </c>
      <c r="P163" s="77">
        <f>VLOOKUP($B163,[1]ბიუჯეტი!$B:$K,6,FALSE)</f>
        <v>19.125</v>
      </c>
      <c r="Q163" s="77">
        <f>VLOOKUP($B163,[1]ბიუჯეტი!$B:$K,7,FALSE)</f>
        <v>4176.8999999999996</v>
      </c>
      <c r="R163" s="77">
        <f>VLOOKUP($B163,[1]ბიუჯეტი!$B:$K,8,FALSE)</f>
        <v>0</v>
      </c>
      <c r="S163" s="77">
        <f>VLOOKUP($B163,[1]ბიუჯეტი!$B:$K,9,FALSE)</f>
        <v>0</v>
      </c>
      <c r="T163" s="77">
        <f>VLOOKUP($B163,[1]ბიუჯეტი!$B:$K,10,FALSE)</f>
        <v>6015.0048355932204</v>
      </c>
      <c r="V163" s="78">
        <f t="shared" si="21"/>
        <v>-8.4162309322033924</v>
      </c>
      <c r="W163" s="78">
        <f t="shared" si="22"/>
        <v>0</v>
      </c>
      <c r="X163" s="78">
        <f t="shared" si="23"/>
        <v>0</v>
      </c>
      <c r="Y163" s="78">
        <f t="shared" si="24"/>
        <v>0</v>
      </c>
    </row>
    <row r="164" spans="1:25" hidden="1" outlineLevel="1" x14ac:dyDescent="0.35">
      <c r="A164" s="51"/>
      <c r="B164" s="3" t="s">
        <v>50</v>
      </c>
      <c r="C164" s="4" t="s">
        <v>9</v>
      </c>
      <c r="D164" s="1">
        <f>0.05*D163*1.05</f>
        <v>11.466000000000001</v>
      </c>
      <c r="E164" s="1">
        <f>SUMIFS(მასალა!D1:D249,მასალა!B1:B249,ბიუჯეტი!B164)</f>
        <v>59.322033898305087</v>
      </c>
      <c r="F164" s="1">
        <f>D164*E164</f>
        <v>680.18644067796617</v>
      </c>
      <c r="G164" s="1"/>
      <c r="H164" s="1">
        <f>D164*G164</f>
        <v>0</v>
      </c>
      <c r="I164" s="1"/>
      <c r="J164" s="1"/>
      <c r="K164" s="1">
        <f t="shared" si="27"/>
        <v>680.18644067796617</v>
      </c>
      <c r="M164" s="77">
        <f>VLOOKUP(B164,[1]ბიუჯეტი!$B:$K,3,FALSE)</f>
        <v>20.730401999999998</v>
      </c>
      <c r="N164" s="77">
        <f>VLOOKUP($B164,[1]ბიუჯეტი!$B:$K,4,FALSE)</f>
        <v>59.322033898305087</v>
      </c>
      <c r="O164" s="77">
        <f>VLOOKUP($B164,[1]ბიუჯეტი!$B:$K,5,FALSE)</f>
        <v>1229.7696101694914</v>
      </c>
      <c r="P164" s="77">
        <f>VLOOKUP($B164,[1]ბიუჯეტი!$B:$K,6,FALSE)</f>
        <v>0</v>
      </c>
      <c r="Q164" s="77">
        <f>VLOOKUP($B164,[1]ბიუჯეტი!$B:$K,7,FALSE)</f>
        <v>0</v>
      </c>
      <c r="R164" s="77">
        <f>VLOOKUP($B164,[1]ბიუჯეტი!$B:$K,8,FALSE)</f>
        <v>0</v>
      </c>
      <c r="S164" s="77">
        <f>VLOOKUP($B164,[1]ბიუჯეტი!$B:$K,9,FALSE)</f>
        <v>0</v>
      </c>
      <c r="T164" s="77">
        <f>VLOOKUP($B164,[1]ბიუჯეტი!$B:$K,10,FALSE)</f>
        <v>1229.7696101694914</v>
      </c>
      <c r="V164" s="78">
        <f t="shared" si="21"/>
        <v>0</v>
      </c>
      <c r="W164" s="78">
        <f t="shared" si="22"/>
        <v>0</v>
      </c>
      <c r="X164" s="78">
        <f t="shared" si="23"/>
        <v>0</v>
      </c>
      <c r="Y164" s="78">
        <f t="shared" si="24"/>
        <v>-9.2644019999999969</v>
      </c>
    </row>
    <row r="165" spans="1:25" hidden="1" outlineLevel="1" x14ac:dyDescent="0.35">
      <c r="A165" s="51"/>
      <c r="B165" s="3" t="s">
        <v>378</v>
      </c>
      <c r="C165" s="4" t="s">
        <v>10</v>
      </c>
      <c r="D165" s="1">
        <f>D162</f>
        <v>218.39999999999998</v>
      </c>
      <c r="E165" s="1">
        <f>SUMIFS(მასალა!D2:D250,მასალა!B2:B250,ბიუჯეტი!B165)</f>
        <v>0.42372881355932207</v>
      </c>
      <c r="F165" s="1">
        <f>D165*E165</f>
        <v>92.542372881355931</v>
      </c>
      <c r="G165" s="1"/>
      <c r="H165" s="1">
        <f>D165*G165</f>
        <v>0</v>
      </c>
      <c r="I165" s="1"/>
      <c r="J165" s="1"/>
      <c r="K165" s="1">
        <f t="shared" si="27"/>
        <v>92.542372881355931</v>
      </c>
      <c r="M165" s="77">
        <f>VLOOKUP(B165,[1]ბიუჯეტი!$B:$K,3,FALSE)</f>
        <v>218.39999999999998</v>
      </c>
      <c r="N165" s="77">
        <f>VLOOKUP($B165,[1]ბიუჯეტი!$B:$K,4,FALSE)</f>
        <v>0.42372881355932207</v>
      </c>
      <c r="O165" s="77">
        <f>VLOOKUP($B165,[1]ბიუჯეტი!$B:$K,5,FALSE)</f>
        <v>92.542372881355931</v>
      </c>
      <c r="P165" s="77">
        <f>VLOOKUP($B165,[1]ბიუჯეტი!$B:$K,6,FALSE)</f>
        <v>0</v>
      </c>
      <c r="Q165" s="77">
        <f>VLOOKUP($B165,[1]ბიუჯეტი!$B:$K,7,FALSE)</f>
        <v>0</v>
      </c>
      <c r="R165" s="77">
        <f>VLOOKUP($B165,[1]ბიუჯეტი!$B:$K,8,FALSE)</f>
        <v>0</v>
      </c>
      <c r="S165" s="77">
        <f>VLOOKUP($B165,[1]ბიუჯეტი!$B:$K,9,FALSE)</f>
        <v>0</v>
      </c>
      <c r="T165" s="77">
        <f>VLOOKUP($B165,[1]ბიუჯეტი!$B:$K,10,FALSE)</f>
        <v>92.542372881355931</v>
      </c>
      <c r="V165" s="78">
        <f t="shared" si="21"/>
        <v>0</v>
      </c>
      <c r="W165" s="78">
        <f t="shared" si="22"/>
        <v>0</v>
      </c>
      <c r="X165" s="78">
        <f t="shared" si="23"/>
        <v>0</v>
      </c>
      <c r="Y165" s="78">
        <f t="shared" si="24"/>
        <v>0</v>
      </c>
    </row>
    <row r="166" spans="1:25" hidden="1" outlineLevel="1" x14ac:dyDescent="0.35">
      <c r="A166" s="51"/>
      <c r="B166" s="3" t="s">
        <v>51</v>
      </c>
      <c r="C166" s="4" t="s">
        <v>12</v>
      </c>
      <c r="D166" s="1">
        <f>D164/3*1.05</f>
        <v>4.0131000000000006</v>
      </c>
      <c r="E166" s="1">
        <f>SUMIFS(მასალა!D3:D251,მასალა!B3:B251,ბიუჯეტი!B166)</f>
        <v>265.50000000000006</v>
      </c>
      <c r="F166" s="1">
        <f>D166*E166</f>
        <v>1065.4780500000004</v>
      </c>
      <c r="G166" s="1"/>
      <c r="H166" s="1">
        <f>D166*G166</f>
        <v>0</v>
      </c>
      <c r="I166" s="1"/>
      <c r="J166" s="1"/>
      <c r="K166" s="1">
        <f t="shared" si="27"/>
        <v>1065.4780500000004</v>
      </c>
      <c r="M166" s="77">
        <f>VLOOKUP(B166,[1]ბიუჯეტი!$B:$K,3,FALSE)</f>
        <v>5.4417305249999997</v>
      </c>
      <c r="N166" s="77">
        <f>VLOOKUP($B166,[1]ბიუჯეტი!$B:$K,4,FALSE)</f>
        <v>265.47457627118644</v>
      </c>
      <c r="O166" s="77">
        <f>VLOOKUP($B166,[1]ბიუჯეტი!$B:$K,5,FALSE)</f>
        <v>1444.6411053063557</v>
      </c>
      <c r="P166" s="77">
        <f>VLOOKUP($B166,[1]ბიუჯეტი!$B:$K,6,FALSE)</f>
        <v>0</v>
      </c>
      <c r="Q166" s="77">
        <f>VLOOKUP($B166,[1]ბიუჯეტი!$B:$K,7,FALSE)</f>
        <v>0</v>
      </c>
      <c r="R166" s="77">
        <f>VLOOKUP($B166,[1]ბიუჯეტი!$B:$K,8,FALSE)</f>
        <v>0</v>
      </c>
      <c r="S166" s="77">
        <f>VLOOKUP($B166,[1]ბიუჯეტი!$B:$K,9,FALSE)</f>
        <v>0</v>
      </c>
      <c r="T166" s="77">
        <f>VLOOKUP($B166,[1]ბიუჯეტი!$B:$K,10,FALSE)</f>
        <v>1444.6411053063557</v>
      </c>
      <c r="V166" s="78">
        <f t="shared" si="21"/>
        <v>2.5423728813620983E-2</v>
      </c>
      <c r="W166" s="78">
        <f t="shared" si="22"/>
        <v>0</v>
      </c>
      <c r="X166" s="78">
        <f t="shared" si="23"/>
        <v>0</v>
      </c>
      <c r="Y166" s="78">
        <f t="shared" si="24"/>
        <v>-1.4286305249999991</v>
      </c>
    </row>
    <row r="167" spans="1:25" collapsed="1" x14ac:dyDescent="0.35">
      <c r="A167" s="51">
        <v>9</v>
      </c>
      <c r="B167" s="23" t="s">
        <v>187</v>
      </c>
      <c r="C167" s="4" t="s">
        <v>10</v>
      </c>
      <c r="D167" s="1">
        <f>სამუშაო!H45+სამუშაო!H46+სამუშაო!H47+სამუშაო!H48+სამუშაო!H49</f>
        <v>107.21999999999998</v>
      </c>
      <c r="E167" s="1">
        <v>0</v>
      </c>
      <c r="F167" s="1">
        <f t="shared" ref="F167:F198" si="28">D167*E167</f>
        <v>0</v>
      </c>
      <c r="G167" s="1">
        <v>0</v>
      </c>
      <c r="H167" s="1">
        <f>G167*D167</f>
        <v>0</v>
      </c>
      <c r="I167" s="1">
        <f>მომსახურება!D5</f>
        <v>292.10000000000002</v>
      </c>
      <c r="J167" s="1">
        <f>I167*D167</f>
        <v>31318.962</v>
      </c>
      <c r="K167" s="1">
        <f t="shared" si="27"/>
        <v>31318.962</v>
      </c>
      <c r="M167" s="77">
        <f>VLOOKUP(B167,[1]ბიუჯეტი!$B:$K,3,FALSE)</f>
        <v>107.21999999999998</v>
      </c>
      <c r="N167" s="77">
        <f>VLOOKUP($B167,[1]ბიუჯეტი!$B:$K,4,FALSE)</f>
        <v>0</v>
      </c>
      <c r="O167" s="77">
        <f>VLOOKUP($B167,[1]ბიუჯეტი!$B:$K,5,FALSE)</f>
        <v>0</v>
      </c>
      <c r="P167" s="77">
        <f>VLOOKUP($B167,[1]ბიუჯეტი!$B:$K,6,FALSE)</f>
        <v>0</v>
      </c>
      <c r="Q167" s="77">
        <f>VLOOKUP($B167,[1]ბიუჯეტი!$B:$K,7,FALSE)</f>
        <v>0</v>
      </c>
      <c r="R167" s="77">
        <f>VLOOKUP($B167,[1]ბიუჯეტი!$B:$K,8,FALSE)</f>
        <v>292.10000000000002</v>
      </c>
      <c r="S167" s="77">
        <f>VLOOKUP($B167,[1]ბიუჯეტი!$B:$K,9,FALSE)</f>
        <v>31318.962</v>
      </c>
      <c r="T167" s="77">
        <f>VLOOKUP($B167,[1]ბიუჯეტი!$B:$K,10,FALSE)</f>
        <v>31318.962</v>
      </c>
      <c r="V167" s="78">
        <f t="shared" si="21"/>
        <v>0</v>
      </c>
      <c r="W167" s="78">
        <f t="shared" si="22"/>
        <v>0</v>
      </c>
      <c r="X167" s="78">
        <f t="shared" si="23"/>
        <v>0</v>
      </c>
      <c r="Y167" s="78">
        <f t="shared" si="24"/>
        <v>0</v>
      </c>
    </row>
    <row r="168" spans="1:25" x14ac:dyDescent="0.35">
      <c r="A168" s="51">
        <v>10</v>
      </c>
      <c r="B168" s="23" t="s">
        <v>60</v>
      </c>
      <c r="C168" s="4" t="s">
        <v>40</v>
      </c>
      <c r="D168" s="1">
        <f>SUM(D169,D173,D177,D181,)</f>
        <v>106</v>
      </c>
      <c r="E168" s="1">
        <f>SUM(K182:K184,K178:K180,K174:K176,K170:K172,)/D168</f>
        <v>27.628135593220346</v>
      </c>
      <c r="F168" s="1">
        <f t="shared" si="28"/>
        <v>2928.5823728813566</v>
      </c>
      <c r="G168" s="1">
        <f>SUM(H169:H184)/D168</f>
        <v>20.400000000000002</v>
      </c>
      <c r="H168" s="1">
        <f>G168*D168</f>
        <v>2162.4</v>
      </c>
      <c r="I168" s="1">
        <v>0</v>
      </c>
      <c r="J168" s="1">
        <v>0</v>
      </c>
      <c r="K168" s="1">
        <f t="shared" si="27"/>
        <v>5090.9823728813572</v>
      </c>
      <c r="M168" s="77">
        <f>VLOOKUP(B168,[1]ბიუჯეტი!$B:$K,3,FALSE)</f>
        <v>161.10000000000002</v>
      </c>
      <c r="N168" s="77">
        <f>VLOOKUP($B168,[1]ბიუჯეტი!$B:$K,4,FALSE)</f>
        <v>27.62813559322035</v>
      </c>
      <c r="O168" s="77">
        <f>VLOOKUP($B168,[1]ბიუჯეტი!$B:$K,5,FALSE)</f>
        <v>4450.8926440677988</v>
      </c>
      <c r="P168" s="77">
        <f>VLOOKUP($B168,[1]ბიუჯეტი!$B:$K,6,FALSE)</f>
        <v>20.399999999999999</v>
      </c>
      <c r="Q168" s="77">
        <f>VLOOKUP($B168,[1]ბიუჯეტი!$B:$K,7,FALSE)</f>
        <v>3286.44</v>
      </c>
      <c r="R168" s="77">
        <f>VLOOKUP($B168,[1]ბიუჯეტი!$B:$K,8,FALSE)</f>
        <v>0</v>
      </c>
      <c r="S168" s="77">
        <f>VLOOKUP($B168,[1]ბიუჯეტი!$B:$K,9,FALSE)</f>
        <v>0</v>
      </c>
      <c r="T168" s="77">
        <f>VLOOKUP($B168,[1]ბიუჯეტი!$B:$K,10,FALSE)</f>
        <v>7737.3326440677993</v>
      </c>
      <c r="V168" s="78">
        <f t="shared" si="21"/>
        <v>0</v>
      </c>
      <c r="W168" s="78">
        <f t="shared" si="22"/>
        <v>0</v>
      </c>
      <c r="X168" s="78">
        <f t="shared" si="23"/>
        <v>0</v>
      </c>
      <c r="Y168" s="78">
        <f t="shared" si="24"/>
        <v>-55.100000000000023</v>
      </c>
    </row>
    <row r="169" spans="1:25" hidden="1" outlineLevel="1" x14ac:dyDescent="0.35">
      <c r="A169" s="51">
        <v>1</v>
      </c>
      <c r="B169" s="23" t="s">
        <v>163</v>
      </c>
      <c r="C169" s="4" t="s">
        <v>40</v>
      </c>
      <c r="D169" s="1">
        <f>სამუშაო!H24</f>
        <v>24</v>
      </c>
      <c r="E169" s="1"/>
      <c r="F169" s="1">
        <f t="shared" si="28"/>
        <v>0</v>
      </c>
      <c r="G169" s="1">
        <f>ხელფასი!D10</f>
        <v>20.399999999999999</v>
      </c>
      <c r="H169" s="1">
        <f t="shared" ref="H169:H184" si="29">D169*G169</f>
        <v>489.59999999999997</v>
      </c>
      <c r="I169" s="1"/>
      <c r="J169" s="1"/>
      <c r="K169" s="1">
        <f t="shared" si="27"/>
        <v>489.59999999999997</v>
      </c>
      <c r="M169" s="77">
        <f>VLOOKUP(B169,[1]ბიუჯეტი!$B:$K,3,FALSE)</f>
        <v>28.8</v>
      </c>
      <c r="N169" s="77">
        <f>VLOOKUP($B169,[1]ბიუჯეტი!$B:$K,4,FALSE)</f>
        <v>0</v>
      </c>
      <c r="O169" s="77">
        <f>VLOOKUP($B169,[1]ბიუჯეტი!$B:$K,5,FALSE)</f>
        <v>0</v>
      </c>
      <c r="P169" s="77">
        <f>VLOOKUP($B169,[1]ბიუჯეტი!$B:$K,6,FALSE)</f>
        <v>20.399999999999999</v>
      </c>
      <c r="Q169" s="77">
        <f>VLOOKUP($B169,[1]ბიუჯეტი!$B:$K,7,FALSE)</f>
        <v>587.52</v>
      </c>
      <c r="R169" s="77">
        <f>VLOOKUP($B169,[1]ბიუჯეტი!$B:$K,8,FALSE)</f>
        <v>0</v>
      </c>
      <c r="S169" s="77">
        <f>VLOOKUP($B169,[1]ბიუჯეტი!$B:$K,9,FALSE)</f>
        <v>0</v>
      </c>
      <c r="T169" s="77">
        <f>VLOOKUP($B169,[1]ბიუჯეტი!$B:$K,10,FALSE)</f>
        <v>587.52</v>
      </c>
      <c r="V169" s="78">
        <f t="shared" si="21"/>
        <v>0</v>
      </c>
      <c r="W169" s="78">
        <f t="shared" si="22"/>
        <v>0</v>
      </c>
      <c r="X169" s="78">
        <f t="shared" si="23"/>
        <v>0</v>
      </c>
      <c r="Y169" s="78">
        <f t="shared" si="24"/>
        <v>-4.8000000000000007</v>
      </c>
    </row>
    <row r="170" spans="1:25" hidden="1" outlineLevel="1" x14ac:dyDescent="0.35">
      <c r="A170" s="51"/>
      <c r="B170" s="3" t="s">
        <v>62</v>
      </c>
      <c r="C170" s="4" t="s">
        <v>10</v>
      </c>
      <c r="D170" s="1">
        <f>D169*0.2*1.05</f>
        <v>5.0400000000000009</v>
      </c>
      <c r="E170" s="1">
        <f>SUMIFS(მასალა!D1:D255,მასალა!B1:B255,ბიუჯეტი!B170)</f>
        <v>118.64406779661017</v>
      </c>
      <c r="F170" s="1">
        <f t="shared" si="28"/>
        <v>597.96610169491544</v>
      </c>
      <c r="G170" s="1"/>
      <c r="H170" s="1">
        <f t="shared" si="29"/>
        <v>0</v>
      </c>
      <c r="I170" s="1"/>
      <c r="J170" s="1"/>
      <c r="K170" s="1">
        <f t="shared" si="27"/>
        <v>597.96610169491544</v>
      </c>
      <c r="M170" s="77">
        <f>VLOOKUP(B170,[1]ბიუჯეტი!$B:$K,3,FALSE)</f>
        <v>6.0480000000000009</v>
      </c>
      <c r="N170" s="77">
        <f>VLOOKUP($B170,[1]ბიუჯეტი!$B:$K,4,FALSE)</f>
        <v>118.64406779661017</v>
      </c>
      <c r="O170" s="77">
        <f>VLOOKUP($B170,[1]ბიუჯეტი!$B:$K,5,FALSE)</f>
        <v>717.55932203389841</v>
      </c>
      <c r="P170" s="77">
        <f>VLOOKUP($B170,[1]ბიუჯეტი!$B:$K,6,FALSE)</f>
        <v>0</v>
      </c>
      <c r="Q170" s="77">
        <f>VLOOKUP($B170,[1]ბიუჯეტი!$B:$K,7,FALSE)</f>
        <v>0</v>
      </c>
      <c r="R170" s="77">
        <f>VLOOKUP($B170,[1]ბიუჯეტი!$B:$K,8,FALSE)</f>
        <v>0</v>
      </c>
      <c r="S170" s="77">
        <f>VLOOKUP($B170,[1]ბიუჯეტი!$B:$K,9,FALSE)</f>
        <v>0</v>
      </c>
      <c r="T170" s="77">
        <f>VLOOKUP($B170,[1]ბიუჯეტი!$B:$K,10,FALSE)</f>
        <v>717.55932203389841</v>
      </c>
      <c r="V170" s="78">
        <f t="shared" si="21"/>
        <v>0</v>
      </c>
      <c r="W170" s="78">
        <f t="shared" si="22"/>
        <v>0</v>
      </c>
      <c r="X170" s="78">
        <f t="shared" si="23"/>
        <v>0</v>
      </c>
      <c r="Y170" s="78">
        <f t="shared" si="24"/>
        <v>-1.008</v>
      </c>
    </row>
    <row r="171" spans="1:25" hidden="1" outlineLevel="1" x14ac:dyDescent="0.35">
      <c r="A171" s="51"/>
      <c r="B171" s="3" t="s">
        <v>63</v>
      </c>
      <c r="C171" s="4" t="s">
        <v>49</v>
      </c>
      <c r="D171" s="1">
        <f>D170*10/25*1.1</f>
        <v>2.2176</v>
      </c>
      <c r="E171" s="1">
        <f>SUMIFS(მასალა!D2:D256,მასალა!B2:B256,ბიუჯეტი!B171)</f>
        <v>11.016949152542374</v>
      </c>
      <c r="F171" s="1">
        <f t="shared" si="28"/>
        <v>24.431186440677969</v>
      </c>
      <c r="G171" s="1"/>
      <c r="H171" s="1">
        <f t="shared" si="29"/>
        <v>0</v>
      </c>
      <c r="I171" s="1"/>
      <c r="J171" s="1"/>
      <c r="K171" s="1">
        <f t="shared" si="27"/>
        <v>24.431186440677969</v>
      </c>
      <c r="M171" s="77">
        <f>VLOOKUP(B171,[1]ბიუჯეტი!$B:$K,3,FALSE)</f>
        <v>8</v>
      </c>
      <c r="N171" s="77">
        <f>VLOOKUP($B171,[1]ბიუჯეტი!$B:$K,4,FALSE)</f>
        <v>11.016949152542374</v>
      </c>
      <c r="O171" s="77">
        <f>VLOOKUP($B171,[1]ბიუჯეტი!$B:$K,5,FALSE)</f>
        <v>88.13559322033899</v>
      </c>
      <c r="P171" s="77">
        <f>VLOOKUP($B171,[1]ბიუჯეტი!$B:$K,6,FALSE)</f>
        <v>0</v>
      </c>
      <c r="Q171" s="77">
        <f>VLOOKUP($B171,[1]ბიუჯეტი!$B:$K,7,FALSE)</f>
        <v>0</v>
      </c>
      <c r="R171" s="77">
        <f>VLOOKUP($B171,[1]ბიუჯეტი!$B:$K,8,FALSE)</f>
        <v>0</v>
      </c>
      <c r="S171" s="77">
        <f>VLOOKUP($B171,[1]ბიუჯეტი!$B:$K,9,FALSE)</f>
        <v>0</v>
      </c>
      <c r="T171" s="77">
        <f>VLOOKUP($B171,[1]ბიუჯეტი!$B:$K,10,FALSE)</f>
        <v>88.13559322033899</v>
      </c>
      <c r="V171" s="78">
        <f t="shared" si="21"/>
        <v>0</v>
      </c>
      <c r="W171" s="78">
        <f t="shared" si="22"/>
        <v>0</v>
      </c>
      <c r="X171" s="78">
        <f t="shared" si="23"/>
        <v>0</v>
      </c>
      <c r="Y171" s="78">
        <f t="shared" si="24"/>
        <v>-5.7824</v>
      </c>
    </row>
    <row r="172" spans="1:25" hidden="1" outlineLevel="1" x14ac:dyDescent="0.35">
      <c r="A172" s="51"/>
      <c r="B172" s="3" t="s">
        <v>379</v>
      </c>
      <c r="C172" s="4" t="s">
        <v>55</v>
      </c>
      <c r="D172" s="1">
        <f>D169</f>
        <v>24</v>
      </c>
      <c r="E172" s="1">
        <f>SUMIFS(მასალა!D3:D257,მასალა!B3:B257,ბიუჯეტი!B172)</f>
        <v>1.6949152542372883</v>
      </c>
      <c r="F172" s="1">
        <f t="shared" si="28"/>
        <v>40.677966101694921</v>
      </c>
      <c r="G172" s="1"/>
      <c r="H172" s="1">
        <f t="shared" si="29"/>
        <v>0</v>
      </c>
      <c r="I172" s="1"/>
      <c r="J172" s="1"/>
      <c r="K172" s="1">
        <f t="shared" si="27"/>
        <v>40.677966101694921</v>
      </c>
      <c r="M172" s="77">
        <f>VLOOKUP(B172,[1]ბიუჯეტი!$B:$K,3,FALSE)</f>
        <v>28.8</v>
      </c>
      <c r="N172" s="77">
        <f>VLOOKUP($B172,[1]ბიუჯეტი!$B:$K,4,FALSE)</f>
        <v>1.6949152542372883</v>
      </c>
      <c r="O172" s="77">
        <f>VLOOKUP($B172,[1]ბიუჯეტი!$B:$K,5,FALSE)</f>
        <v>48.813559322033903</v>
      </c>
      <c r="P172" s="77">
        <f>VLOOKUP($B172,[1]ბიუჯეტი!$B:$K,6,FALSE)</f>
        <v>0</v>
      </c>
      <c r="Q172" s="77">
        <f>VLOOKUP($B172,[1]ბიუჯეტი!$B:$K,7,FALSE)</f>
        <v>0</v>
      </c>
      <c r="R172" s="77">
        <f>VLOOKUP($B172,[1]ბიუჯეტი!$B:$K,8,FALSE)</f>
        <v>0</v>
      </c>
      <c r="S172" s="77">
        <f>VLOOKUP($B172,[1]ბიუჯეტი!$B:$K,9,FALSE)</f>
        <v>0</v>
      </c>
      <c r="T172" s="77">
        <f>VLOOKUP($B172,[1]ბიუჯეტი!$B:$K,10,FALSE)</f>
        <v>48.813559322033903</v>
      </c>
      <c r="V172" s="78">
        <f t="shared" si="21"/>
        <v>0</v>
      </c>
      <c r="W172" s="78">
        <f t="shared" si="22"/>
        <v>0</v>
      </c>
      <c r="X172" s="78">
        <f t="shared" si="23"/>
        <v>0</v>
      </c>
      <c r="Y172" s="78">
        <f t="shared" si="24"/>
        <v>-4.8000000000000007</v>
      </c>
    </row>
    <row r="173" spans="1:25" hidden="1" outlineLevel="1" x14ac:dyDescent="0.35">
      <c r="A173" s="51">
        <v>2</v>
      </c>
      <c r="B173" s="23" t="s">
        <v>61</v>
      </c>
      <c r="C173" s="4" t="s">
        <v>40</v>
      </c>
      <c r="D173" s="1">
        <f>სამუშაო!H25</f>
        <v>20.2</v>
      </c>
      <c r="E173" s="1"/>
      <c r="F173" s="1">
        <f t="shared" si="28"/>
        <v>0</v>
      </c>
      <c r="G173" s="1">
        <f>ხელფასი!D10</f>
        <v>20.399999999999999</v>
      </c>
      <c r="H173" s="1">
        <f t="shared" si="29"/>
        <v>412.08</v>
      </c>
      <c r="I173" s="1"/>
      <c r="J173" s="1"/>
      <c r="K173" s="1">
        <f t="shared" si="27"/>
        <v>412.08</v>
      </c>
      <c r="M173" s="77">
        <f>VLOOKUP(B173,[1]ბიუჯეტი!$B:$K,3,FALSE)</f>
        <v>44.7</v>
      </c>
      <c r="N173" s="77">
        <f>VLOOKUP($B173,[1]ბიუჯეტი!$B:$K,4,FALSE)</f>
        <v>0</v>
      </c>
      <c r="O173" s="77">
        <f>VLOOKUP($B173,[1]ბიუჯეტი!$B:$K,5,FALSE)</f>
        <v>0</v>
      </c>
      <c r="P173" s="77">
        <f>VLOOKUP($B173,[1]ბიუჯეტი!$B:$K,6,FALSE)</f>
        <v>20.399999999999999</v>
      </c>
      <c r="Q173" s="77">
        <f>VLOOKUP($B173,[1]ბიუჯეტი!$B:$K,7,FALSE)</f>
        <v>911.88</v>
      </c>
      <c r="R173" s="77">
        <f>VLOOKUP($B173,[1]ბიუჯეტი!$B:$K,8,FALSE)</f>
        <v>0</v>
      </c>
      <c r="S173" s="77">
        <f>VLOOKUP($B173,[1]ბიუჯეტი!$B:$K,9,FALSE)</f>
        <v>0</v>
      </c>
      <c r="T173" s="77">
        <f>VLOOKUP($B173,[1]ბიუჯეტი!$B:$K,10,FALSE)</f>
        <v>911.88</v>
      </c>
      <c r="V173" s="78">
        <f t="shared" si="21"/>
        <v>0</v>
      </c>
      <c r="W173" s="78">
        <f t="shared" si="22"/>
        <v>0</v>
      </c>
      <c r="X173" s="78">
        <f t="shared" si="23"/>
        <v>0</v>
      </c>
      <c r="Y173" s="78">
        <f t="shared" si="24"/>
        <v>-24.500000000000004</v>
      </c>
    </row>
    <row r="174" spans="1:25" hidden="1" outlineLevel="1" x14ac:dyDescent="0.35">
      <c r="A174" s="51"/>
      <c r="B174" s="3" t="s">
        <v>62</v>
      </c>
      <c r="C174" s="4" t="s">
        <v>10</v>
      </c>
      <c r="D174" s="1">
        <f>D173*0.2*1.05</f>
        <v>4.242</v>
      </c>
      <c r="E174" s="1">
        <f>SUMIFS(მასალა!D5:D259,მასალა!B5:B259,ბიუჯეტი!B174)</f>
        <v>118.64406779661017</v>
      </c>
      <c r="F174" s="1">
        <f t="shared" si="28"/>
        <v>503.28813559322037</v>
      </c>
      <c r="G174" s="1"/>
      <c r="H174" s="1">
        <f t="shared" si="29"/>
        <v>0</v>
      </c>
      <c r="I174" s="1"/>
      <c r="J174" s="1"/>
      <c r="K174" s="1">
        <f t="shared" si="27"/>
        <v>503.28813559322037</v>
      </c>
      <c r="M174" s="77">
        <f>VLOOKUP(B174,[1]ბიუჯეტი!$B:$K,3,FALSE)</f>
        <v>6.0480000000000009</v>
      </c>
      <c r="N174" s="77">
        <f>VLOOKUP($B174,[1]ბიუჯეტი!$B:$K,4,FALSE)</f>
        <v>118.64406779661017</v>
      </c>
      <c r="O174" s="77">
        <f>VLOOKUP($B174,[1]ბიუჯეტი!$B:$K,5,FALSE)</f>
        <v>717.55932203389841</v>
      </c>
      <c r="P174" s="77">
        <f>VLOOKUP($B174,[1]ბიუჯეტი!$B:$K,6,FALSE)</f>
        <v>0</v>
      </c>
      <c r="Q174" s="77">
        <f>VLOOKUP($B174,[1]ბიუჯეტი!$B:$K,7,FALSE)</f>
        <v>0</v>
      </c>
      <c r="R174" s="77">
        <f>VLOOKUP($B174,[1]ბიუჯეტი!$B:$K,8,FALSE)</f>
        <v>0</v>
      </c>
      <c r="S174" s="77">
        <f>VLOOKUP($B174,[1]ბიუჯეტი!$B:$K,9,FALSE)</f>
        <v>0</v>
      </c>
      <c r="T174" s="77">
        <f>VLOOKUP($B174,[1]ბიუჯეტი!$B:$K,10,FALSE)</f>
        <v>717.55932203389841</v>
      </c>
      <c r="V174" s="78">
        <f t="shared" si="21"/>
        <v>0</v>
      </c>
      <c r="W174" s="78">
        <f t="shared" si="22"/>
        <v>0</v>
      </c>
      <c r="X174" s="78">
        <f t="shared" si="23"/>
        <v>0</v>
      </c>
      <c r="Y174" s="78">
        <f t="shared" si="24"/>
        <v>-1.8060000000000009</v>
      </c>
    </row>
    <row r="175" spans="1:25" hidden="1" outlineLevel="1" x14ac:dyDescent="0.35">
      <c r="A175" s="51"/>
      <c r="B175" s="3" t="s">
        <v>63</v>
      </c>
      <c r="C175" s="4" t="s">
        <v>49</v>
      </c>
      <c r="D175" s="1">
        <f>D174*10/25*1.1</f>
        <v>1.8664800000000001</v>
      </c>
      <c r="E175" s="1">
        <f>SUMIFS(მასალა!D6:D260,მასალა!B6:B260,ბიუჯეტი!B175)</f>
        <v>11.016949152542374</v>
      </c>
      <c r="F175" s="1">
        <f t="shared" si="28"/>
        <v>20.562915254237293</v>
      </c>
      <c r="G175" s="1"/>
      <c r="H175" s="1">
        <f t="shared" si="29"/>
        <v>0</v>
      </c>
      <c r="I175" s="1"/>
      <c r="J175" s="1"/>
      <c r="K175" s="1">
        <f t="shared" si="27"/>
        <v>20.562915254237293</v>
      </c>
      <c r="M175" s="77">
        <f>VLOOKUP(B175,[1]ბიუჯეტი!$B:$K,3,FALSE)</f>
        <v>8</v>
      </c>
      <c r="N175" s="77">
        <f>VLOOKUP($B175,[1]ბიუჯეტი!$B:$K,4,FALSE)</f>
        <v>11.016949152542374</v>
      </c>
      <c r="O175" s="77">
        <f>VLOOKUP($B175,[1]ბიუჯეტი!$B:$K,5,FALSE)</f>
        <v>88.13559322033899</v>
      </c>
      <c r="P175" s="77">
        <f>VLOOKUP($B175,[1]ბიუჯეტი!$B:$K,6,FALSE)</f>
        <v>0</v>
      </c>
      <c r="Q175" s="77">
        <f>VLOOKUP($B175,[1]ბიუჯეტი!$B:$K,7,FALSE)</f>
        <v>0</v>
      </c>
      <c r="R175" s="77">
        <f>VLOOKUP($B175,[1]ბიუჯეტი!$B:$K,8,FALSE)</f>
        <v>0</v>
      </c>
      <c r="S175" s="77">
        <f>VLOOKUP($B175,[1]ბიუჯეტი!$B:$K,9,FALSE)</f>
        <v>0</v>
      </c>
      <c r="T175" s="77">
        <f>VLOOKUP($B175,[1]ბიუჯეტი!$B:$K,10,FALSE)</f>
        <v>88.13559322033899</v>
      </c>
      <c r="V175" s="78">
        <f t="shared" si="21"/>
        <v>0</v>
      </c>
      <c r="W175" s="78">
        <f t="shared" si="22"/>
        <v>0</v>
      </c>
      <c r="X175" s="78">
        <f t="shared" si="23"/>
        <v>0</v>
      </c>
      <c r="Y175" s="78">
        <f t="shared" si="24"/>
        <v>-6.1335199999999999</v>
      </c>
    </row>
    <row r="176" spans="1:25" hidden="1" outlineLevel="1" x14ac:dyDescent="0.35">
      <c r="A176" s="51"/>
      <c r="B176" s="3" t="s">
        <v>379</v>
      </c>
      <c r="C176" s="4" t="s">
        <v>55</v>
      </c>
      <c r="D176" s="1">
        <f>D173</f>
        <v>20.2</v>
      </c>
      <c r="E176" s="1">
        <f>SUMIFS(მასალა!D7:D261,მასალა!B7:B261,ბიუჯეტი!B176)</f>
        <v>1.6949152542372883</v>
      </c>
      <c r="F176" s="1">
        <f t="shared" si="28"/>
        <v>34.237288135593225</v>
      </c>
      <c r="G176" s="1"/>
      <c r="H176" s="1">
        <f t="shared" si="29"/>
        <v>0</v>
      </c>
      <c r="I176" s="1"/>
      <c r="J176" s="1"/>
      <c r="K176" s="1">
        <f t="shared" si="27"/>
        <v>34.237288135593225</v>
      </c>
      <c r="M176" s="77">
        <f>VLOOKUP(B176,[1]ბიუჯეტი!$B:$K,3,FALSE)</f>
        <v>28.8</v>
      </c>
      <c r="N176" s="77">
        <f>VLOOKUP($B176,[1]ბიუჯეტი!$B:$K,4,FALSE)</f>
        <v>1.6949152542372883</v>
      </c>
      <c r="O176" s="77">
        <f>VLOOKUP($B176,[1]ბიუჯეტი!$B:$K,5,FALSE)</f>
        <v>48.813559322033903</v>
      </c>
      <c r="P176" s="77">
        <f>VLOOKUP($B176,[1]ბიუჯეტი!$B:$K,6,FALSE)</f>
        <v>0</v>
      </c>
      <c r="Q176" s="77">
        <f>VLOOKUP($B176,[1]ბიუჯეტი!$B:$K,7,FALSE)</f>
        <v>0</v>
      </c>
      <c r="R176" s="77">
        <f>VLOOKUP($B176,[1]ბიუჯეტი!$B:$K,8,FALSE)</f>
        <v>0</v>
      </c>
      <c r="S176" s="77">
        <f>VLOOKUP($B176,[1]ბიუჯეტი!$B:$K,9,FALSE)</f>
        <v>0</v>
      </c>
      <c r="T176" s="77">
        <f>VLOOKUP($B176,[1]ბიუჯეტი!$B:$K,10,FALSE)</f>
        <v>48.813559322033903</v>
      </c>
      <c r="V176" s="78">
        <f t="shared" si="21"/>
        <v>0</v>
      </c>
      <c r="W176" s="78">
        <f t="shared" si="22"/>
        <v>0</v>
      </c>
      <c r="X176" s="78">
        <f t="shared" si="23"/>
        <v>0</v>
      </c>
      <c r="Y176" s="78">
        <f t="shared" si="24"/>
        <v>-8.6000000000000014</v>
      </c>
    </row>
    <row r="177" spans="1:25" hidden="1" outlineLevel="1" x14ac:dyDescent="0.35">
      <c r="A177" s="51">
        <v>3</v>
      </c>
      <c r="B177" s="23" t="s">
        <v>164</v>
      </c>
      <c r="C177" s="4" t="s">
        <v>40</v>
      </c>
      <c r="D177" s="1">
        <f>სამუშაო!H26+სამუშაო!H27+სამუშაო!H28</f>
        <v>61.800000000000004</v>
      </c>
      <c r="E177" s="1"/>
      <c r="F177" s="1">
        <f t="shared" si="28"/>
        <v>0</v>
      </c>
      <c r="G177" s="1">
        <f>ხელფასი!D10</f>
        <v>20.399999999999999</v>
      </c>
      <c r="H177" s="1">
        <f t="shared" si="29"/>
        <v>1260.72</v>
      </c>
      <c r="I177" s="1"/>
      <c r="J177" s="1"/>
      <c r="K177" s="1">
        <f t="shared" si="27"/>
        <v>1260.72</v>
      </c>
      <c r="M177" s="77">
        <f>VLOOKUP(B177,[1]ბიუჯეტი!$B:$K,3,FALSE)</f>
        <v>87.600000000000009</v>
      </c>
      <c r="N177" s="77">
        <f>VLOOKUP($B177,[1]ბიუჯეტი!$B:$K,4,FALSE)</f>
        <v>0</v>
      </c>
      <c r="O177" s="77">
        <f>VLOOKUP($B177,[1]ბიუჯეტი!$B:$K,5,FALSE)</f>
        <v>0</v>
      </c>
      <c r="P177" s="77">
        <f>VLOOKUP($B177,[1]ბიუჯეტი!$B:$K,6,FALSE)</f>
        <v>20.399999999999999</v>
      </c>
      <c r="Q177" s="77">
        <f>VLOOKUP($B177,[1]ბიუჯეტი!$B:$K,7,FALSE)</f>
        <v>1787.04</v>
      </c>
      <c r="R177" s="77">
        <f>VLOOKUP($B177,[1]ბიუჯეტი!$B:$K,8,FALSE)</f>
        <v>0</v>
      </c>
      <c r="S177" s="77">
        <f>VLOOKUP($B177,[1]ბიუჯეტი!$B:$K,9,FALSE)</f>
        <v>0</v>
      </c>
      <c r="T177" s="77">
        <f>VLOOKUP($B177,[1]ბიუჯეტი!$B:$K,10,FALSE)</f>
        <v>1787.04</v>
      </c>
      <c r="V177" s="78">
        <f t="shared" si="21"/>
        <v>0</v>
      </c>
      <c r="W177" s="78">
        <f t="shared" si="22"/>
        <v>0</v>
      </c>
      <c r="X177" s="78">
        <f t="shared" si="23"/>
        <v>0</v>
      </c>
      <c r="Y177" s="78">
        <f t="shared" si="24"/>
        <v>-25.800000000000004</v>
      </c>
    </row>
    <row r="178" spans="1:25" hidden="1" outlineLevel="1" x14ac:dyDescent="0.35">
      <c r="A178" s="51"/>
      <c r="B178" s="3" t="s">
        <v>62</v>
      </c>
      <c r="C178" s="4" t="s">
        <v>10</v>
      </c>
      <c r="D178" s="1">
        <f>D177*0.2*1.05</f>
        <v>12.978000000000002</v>
      </c>
      <c r="E178" s="1">
        <f>SUMIFS(მასალა!D1:D263,მასალა!B1:B263,ბიუჯეტი!B178)</f>
        <v>118.64406779661017</v>
      </c>
      <c r="F178" s="1">
        <f t="shared" si="28"/>
        <v>1539.762711864407</v>
      </c>
      <c r="G178" s="1"/>
      <c r="H178" s="1">
        <f t="shared" si="29"/>
        <v>0</v>
      </c>
      <c r="I178" s="1"/>
      <c r="J178" s="1"/>
      <c r="K178" s="1">
        <f t="shared" si="27"/>
        <v>1539.762711864407</v>
      </c>
      <c r="M178" s="77">
        <f>VLOOKUP(B178,[1]ბიუჯეტი!$B:$K,3,FALSE)</f>
        <v>6.0480000000000009</v>
      </c>
      <c r="N178" s="77">
        <f>VLOOKUP($B178,[1]ბიუჯეტი!$B:$K,4,FALSE)</f>
        <v>118.64406779661017</v>
      </c>
      <c r="O178" s="77">
        <f>VLOOKUP($B178,[1]ბიუჯეტი!$B:$K,5,FALSE)</f>
        <v>717.55932203389841</v>
      </c>
      <c r="P178" s="77">
        <f>VLOOKUP($B178,[1]ბიუჯეტი!$B:$K,6,FALSE)</f>
        <v>0</v>
      </c>
      <c r="Q178" s="77">
        <f>VLOOKUP($B178,[1]ბიუჯეტი!$B:$K,7,FALSE)</f>
        <v>0</v>
      </c>
      <c r="R178" s="77">
        <f>VLOOKUP($B178,[1]ბიუჯეტი!$B:$K,8,FALSE)</f>
        <v>0</v>
      </c>
      <c r="S178" s="77">
        <f>VLOOKUP($B178,[1]ბიუჯეტი!$B:$K,9,FALSE)</f>
        <v>0</v>
      </c>
      <c r="T178" s="77">
        <f>VLOOKUP($B178,[1]ბიუჯეტი!$B:$K,10,FALSE)</f>
        <v>717.55932203389841</v>
      </c>
      <c r="V178" s="78">
        <f t="shared" si="21"/>
        <v>0</v>
      </c>
      <c r="W178" s="78">
        <f t="shared" si="22"/>
        <v>0</v>
      </c>
      <c r="X178" s="78">
        <f t="shared" si="23"/>
        <v>0</v>
      </c>
      <c r="Y178" s="78">
        <f t="shared" si="24"/>
        <v>6.9300000000000006</v>
      </c>
    </row>
    <row r="179" spans="1:25" hidden="1" outlineLevel="1" x14ac:dyDescent="0.35">
      <c r="A179" s="51"/>
      <c r="B179" s="3" t="s">
        <v>63</v>
      </c>
      <c r="C179" s="4" t="s">
        <v>49</v>
      </c>
      <c r="D179" s="1">
        <f>D178*10/25*1.1</f>
        <v>5.7103200000000021</v>
      </c>
      <c r="E179" s="1">
        <f>SUMIFS(მასალა!D2:D264,მასალა!B2:B264,ბიუჯეტი!B179)</f>
        <v>11.016949152542374</v>
      </c>
      <c r="F179" s="1">
        <f t="shared" si="28"/>
        <v>62.910305084745794</v>
      </c>
      <c r="G179" s="1"/>
      <c r="H179" s="1">
        <f t="shared" si="29"/>
        <v>0</v>
      </c>
      <c r="I179" s="1"/>
      <c r="J179" s="1"/>
      <c r="K179" s="1">
        <f t="shared" si="27"/>
        <v>62.910305084745794</v>
      </c>
      <c r="M179" s="77">
        <f>VLOOKUP(B179,[1]ბიუჯეტი!$B:$K,3,FALSE)</f>
        <v>8</v>
      </c>
      <c r="N179" s="77">
        <f>VLOOKUP($B179,[1]ბიუჯეტი!$B:$K,4,FALSE)</f>
        <v>11.016949152542374</v>
      </c>
      <c r="O179" s="77">
        <f>VLOOKUP($B179,[1]ბიუჯეტი!$B:$K,5,FALSE)</f>
        <v>88.13559322033899</v>
      </c>
      <c r="P179" s="77">
        <f>VLOOKUP($B179,[1]ბიუჯეტი!$B:$K,6,FALSE)</f>
        <v>0</v>
      </c>
      <c r="Q179" s="77">
        <f>VLOOKUP($B179,[1]ბიუჯეტი!$B:$K,7,FALSE)</f>
        <v>0</v>
      </c>
      <c r="R179" s="77">
        <f>VLOOKUP($B179,[1]ბიუჯეტი!$B:$K,8,FALSE)</f>
        <v>0</v>
      </c>
      <c r="S179" s="77">
        <f>VLOOKUP($B179,[1]ბიუჯეტი!$B:$K,9,FALSE)</f>
        <v>0</v>
      </c>
      <c r="T179" s="77">
        <f>VLOOKUP($B179,[1]ბიუჯეტი!$B:$K,10,FALSE)</f>
        <v>88.13559322033899</v>
      </c>
      <c r="V179" s="78">
        <f t="shared" si="21"/>
        <v>0</v>
      </c>
      <c r="W179" s="78">
        <f t="shared" si="22"/>
        <v>0</v>
      </c>
      <c r="X179" s="78">
        <f t="shared" si="23"/>
        <v>0</v>
      </c>
      <c r="Y179" s="78">
        <f t="shared" si="24"/>
        <v>-2.2896799999999979</v>
      </c>
    </row>
    <row r="180" spans="1:25" hidden="1" outlineLevel="1" x14ac:dyDescent="0.35">
      <c r="A180" s="51"/>
      <c r="B180" s="3" t="s">
        <v>379</v>
      </c>
      <c r="C180" s="4" t="s">
        <v>55</v>
      </c>
      <c r="D180" s="1">
        <f>D177</f>
        <v>61.800000000000004</v>
      </c>
      <c r="E180" s="1">
        <f>SUMIFS(მასალა!D3:D265,მასალა!B3:B265,ბიუჯეტი!B180)</f>
        <v>1.6949152542372883</v>
      </c>
      <c r="F180" s="1">
        <f t="shared" si="28"/>
        <v>104.74576271186443</v>
      </c>
      <c r="G180" s="1"/>
      <c r="H180" s="1">
        <f t="shared" si="29"/>
        <v>0</v>
      </c>
      <c r="I180" s="1"/>
      <c r="J180" s="1"/>
      <c r="K180" s="1">
        <f t="shared" si="27"/>
        <v>104.74576271186443</v>
      </c>
      <c r="M180" s="77">
        <f>VLOOKUP(B180,[1]ბიუჯეტი!$B:$K,3,FALSE)</f>
        <v>28.8</v>
      </c>
      <c r="N180" s="77">
        <f>VLOOKUP($B180,[1]ბიუჯეტი!$B:$K,4,FALSE)</f>
        <v>1.6949152542372883</v>
      </c>
      <c r="O180" s="77">
        <f>VLOOKUP($B180,[1]ბიუჯეტი!$B:$K,5,FALSE)</f>
        <v>48.813559322033903</v>
      </c>
      <c r="P180" s="77">
        <f>VLOOKUP($B180,[1]ბიუჯეტი!$B:$K,6,FALSE)</f>
        <v>0</v>
      </c>
      <c r="Q180" s="77">
        <f>VLOOKUP($B180,[1]ბიუჯეტი!$B:$K,7,FALSE)</f>
        <v>0</v>
      </c>
      <c r="R180" s="77">
        <f>VLOOKUP($B180,[1]ბიუჯეტი!$B:$K,8,FALSE)</f>
        <v>0</v>
      </c>
      <c r="S180" s="77">
        <f>VLOOKUP($B180,[1]ბიუჯეტი!$B:$K,9,FALSE)</f>
        <v>0</v>
      </c>
      <c r="T180" s="77">
        <f>VLOOKUP($B180,[1]ბიუჯეტი!$B:$K,10,FALSE)</f>
        <v>48.813559322033903</v>
      </c>
      <c r="V180" s="78">
        <f t="shared" si="21"/>
        <v>0</v>
      </c>
      <c r="W180" s="78">
        <f t="shared" si="22"/>
        <v>0</v>
      </c>
      <c r="X180" s="78">
        <f t="shared" si="23"/>
        <v>0</v>
      </c>
      <c r="Y180" s="78">
        <f t="shared" si="24"/>
        <v>33</v>
      </c>
    </row>
    <row r="181" spans="1:25" hidden="1" outlineLevel="1" x14ac:dyDescent="0.35">
      <c r="A181" s="51">
        <v>8</v>
      </c>
      <c r="B181" s="23" t="s">
        <v>64</v>
      </c>
      <c r="C181" s="4" t="s">
        <v>40</v>
      </c>
      <c r="D181" s="1">
        <v>0</v>
      </c>
      <c r="E181" s="1"/>
      <c r="F181" s="1">
        <f t="shared" si="28"/>
        <v>0</v>
      </c>
      <c r="G181" s="1">
        <f>ხელფასი!D10</f>
        <v>20.399999999999999</v>
      </c>
      <c r="H181" s="1">
        <f t="shared" si="29"/>
        <v>0</v>
      </c>
      <c r="I181" s="1"/>
      <c r="J181" s="1"/>
      <c r="K181" s="1">
        <f t="shared" si="27"/>
        <v>0</v>
      </c>
      <c r="M181" s="77">
        <f>VLOOKUP(B181,[1]ბიუჯეტი!$B:$K,3,FALSE)</f>
        <v>0</v>
      </c>
      <c r="N181" s="77">
        <f>VLOOKUP($B181,[1]ბიუჯეტი!$B:$K,4,FALSE)</f>
        <v>0</v>
      </c>
      <c r="O181" s="77">
        <f>VLOOKUP($B181,[1]ბიუჯეტი!$B:$K,5,FALSE)</f>
        <v>0</v>
      </c>
      <c r="P181" s="77">
        <f>VLOOKUP($B181,[1]ბიუჯეტი!$B:$K,6,FALSE)</f>
        <v>20.399999999999999</v>
      </c>
      <c r="Q181" s="77">
        <f>VLOOKUP($B181,[1]ბიუჯეტი!$B:$K,7,FALSE)</f>
        <v>0</v>
      </c>
      <c r="R181" s="77">
        <f>VLOOKUP($B181,[1]ბიუჯეტი!$B:$K,8,FALSE)</f>
        <v>0</v>
      </c>
      <c r="S181" s="77">
        <f>VLOOKUP($B181,[1]ბიუჯეტი!$B:$K,9,FALSE)</f>
        <v>0</v>
      </c>
      <c r="T181" s="77">
        <f>VLOOKUP($B181,[1]ბიუჯეტი!$B:$K,10,FALSE)</f>
        <v>0</v>
      </c>
      <c r="V181" s="78">
        <f t="shared" si="21"/>
        <v>0</v>
      </c>
      <c r="W181" s="78">
        <f t="shared" si="22"/>
        <v>0</v>
      </c>
      <c r="X181" s="78">
        <f t="shared" si="23"/>
        <v>0</v>
      </c>
      <c r="Y181" s="78">
        <f t="shared" si="24"/>
        <v>0</v>
      </c>
    </row>
    <row r="182" spans="1:25" hidden="1" outlineLevel="1" x14ac:dyDescent="0.35">
      <c r="A182" s="51"/>
      <c r="B182" s="3" t="s">
        <v>62</v>
      </c>
      <c r="C182" s="4" t="s">
        <v>10</v>
      </c>
      <c r="D182" s="1">
        <f>D181*0.2*1.05</f>
        <v>0</v>
      </c>
      <c r="E182" s="1">
        <f>SUMIFS(მასალა!D5:D267,მასალა!B5:B267,ბიუჯეტი!B182)</f>
        <v>118.64406779661017</v>
      </c>
      <c r="F182" s="1">
        <f t="shared" si="28"/>
        <v>0</v>
      </c>
      <c r="G182" s="1"/>
      <c r="H182" s="1">
        <f t="shared" si="29"/>
        <v>0</v>
      </c>
      <c r="I182" s="1"/>
      <c r="J182" s="1"/>
      <c r="K182" s="1">
        <f t="shared" si="27"/>
        <v>0</v>
      </c>
      <c r="M182" s="77">
        <f>VLOOKUP(B182,[1]ბიუჯეტი!$B:$K,3,FALSE)</f>
        <v>6.0480000000000009</v>
      </c>
      <c r="N182" s="77">
        <f>VLOOKUP($B182,[1]ბიუჯეტი!$B:$K,4,FALSE)</f>
        <v>118.64406779661017</v>
      </c>
      <c r="O182" s="77">
        <f>VLOOKUP($B182,[1]ბიუჯეტი!$B:$K,5,FALSE)</f>
        <v>717.55932203389841</v>
      </c>
      <c r="P182" s="77">
        <f>VLOOKUP($B182,[1]ბიუჯეტი!$B:$K,6,FALSE)</f>
        <v>0</v>
      </c>
      <c r="Q182" s="77">
        <f>VLOOKUP($B182,[1]ბიუჯეტი!$B:$K,7,FALSE)</f>
        <v>0</v>
      </c>
      <c r="R182" s="77">
        <f>VLOOKUP($B182,[1]ბიუჯეტი!$B:$K,8,FALSE)</f>
        <v>0</v>
      </c>
      <c r="S182" s="77">
        <f>VLOOKUP($B182,[1]ბიუჯეტი!$B:$K,9,FALSE)</f>
        <v>0</v>
      </c>
      <c r="T182" s="77">
        <f>VLOOKUP($B182,[1]ბიუჯეტი!$B:$K,10,FALSE)</f>
        <v>717.55932203389841</v>
      </c>
      <c r="V182" s="78">
        <f t="shared" si="21"/>
        <v>0</v>
      </c>
      <c r="W182" s="78">
        <f t="shared" si="22"/>
        <v>0</v>
      </c>
      <c r="X182" s="78">
        <f t="shared" si="23"/>
        <v>0</v>
      </c>
      <c r="Y182" s="78">
        <f t="shared" si="24"/>
        <v>-6.0480000000000009</v>
      </c>
    </row>
    <row r="183" spans="1:25" hidden="1" outlineLevel="1" x14ac:dyDescent="0.35">
      <c r="A183" s="51"/>
      <c r="B183" s="3" t="s">
        <v>63</v>
      </c>
      <c r="C183" s="4" t="s">
        <v>49</v>
      </c>
      <c r="D183" s="1">
        <f>D182*10/25*1.05</f>
        <v>0</v>
      </c>
      <c r="E183" s="1">
        <f>SUMIFS(მასალა!D6:D268,მასალა!B6:B268,ბიუჯეტი!B183)</f>
        <v>11.016949152542374</v>
      </c>
      <c r="F183" s="1">
        <f t="shared" si="28"/>
        <v>0</v>
      </c>
      <c r="G183" s="1"/>
      <c r="H183" s="1">
        <f t="shared" si="29"/>
        <v>0</v>
      </c>
      <c r="I183" s="1"/>
      <c r="J183" s="1"/>
      <c r="K183" s="1">
        <f t="shared" si="27"/>
        <v>0</v>
      </c>
      <c r="M183" s="77">
        <f>VLOOKUP(B183,[1]ბიუჯეტი!$B:$K,3,FALSE)</f>
        <v>8</v>
      </c>
      <c r="N183" s="77">
        <f>VLOOKUP($B183,[1]ბიუჯეტი!$B:$K,4,FALSE)</f>
        <v>11.016949152542374</v>
      </c>
      <c r="O183" s="77">
        <f>VLOOKUP($B183,[1]ბიუჯეტი!$B:$K,5,FALSE)</f>
        <v>88.13559322033899</v>
      </c>
      <c r="P183" s="77">
        <f>VLOOKUP($B183,[1]ბიუჯეტი!$B:$K,6,FALSE)</f>
        <v>0</v>
      </c>
      <c r="Q183" s="77">
        <f>VLOOKUP($B183,[1]ბიუჯეტი!$B:$K,7,FALSE)</f>
        <v>0</v>
      </c>
      <c r="R183" s="77">
        <f>VLOOKUP($B183,[1]ბიუჯეტი!$B:$K,8,FALSE)</f>
        <v>0</v>
      </c>
      <c r="S183" s="77">
        <f>VLOOKUP($B183,[1]ბიუჯეტი!$B:$K,9,FALSE)</f>
        <v>0</v>
      </c>
      <c r="T183" s="77">
        <f>VLOOKUP($B183,[1]ბიუჯეტი!$B:$K,10,FALSE)</f>
        <v>88.13559322033899</v>
      </c>
      <c r="V183" s="78">
        <f t="shared" si="21"/>
        <v>0</v>
      </c>
      <c r="W183" s="78">
        <f t="shared" si="22"/>
        <v>0</v>
      </c>
      <c r="X183" s="78">
        <f t="shared" si="23"/>
        <v>0</v>
      </c>
      <c r="Y183" s="78">
        <f t="shared" si="24"/>
        <v>-8</v>
      </c>
    </row>
    <row r="184" spans="1:25" hidden="1" outlineLevel="1" x14ac:dyDescent="0.35">
      <c r="A184" s="51"/>
      <c r="B184" s="3" t="s">
        <v>379</v>
      </c>
      <c r="C184" s="4" t="s">
        <v>55</v>
      </c>
      <c r="D184" s="1">
        <f>D181</f>
        <v>0</v>
      </c>
      <c r="E184" s="1">
        <f>SUMIFS(მასალა!D7:D269,მასალა!B7:B269,ბიუჯეტი!B184)</f>
        <v>1.6949152542372883</v>
      </c>
      <c r="F184" s="1">
        <f t="shared" si="28"/>
        <v>0</v>
      </c>
      <c r="G184" s="1"/>
      <c r="H184" s="1">
        <f t="shared" si="29"/>
        <v>0</v>
      </c>
      <c r="I184" s="1"/>
      <c r="J184" s="1"/>
      <c r="K184" s="1">
        <f t="shared" si="27"/>
        <v>0</v>
      </c>
      <c r="M184" s="77">
        <f>VLOOKUP(B184,[1]ბიუჯეტი!$B:$K,3,FALSE)</f>
        <v>28.8</v>
      </c>
      <c r="N184" s="77">
        <f>VLOOKUP($B184,[1]ბიუჯეტი!$B:$K,4,FALSE)</f>
        <v>1.6949152542372883</v>
      </c>
      <c r="O184" s="77">
        <f>VLOOKUP($B184,[1]ბიუჯეტი!$B:$K,5,FALSE)</f>
        <v>48.813559322033903</v>
      </c>
      <c r="P184" s="77">
        <f>VLOOKUP($B184,[1]ბიუჯეტი!$B:$K,6,FALSE)</f>
        <v>0</v>
      </c>
      <c r="Q184" s="77">
        <f>VLOOKUP($B184,[1]ბიუჯეტი!$B:$K,7,FALSE)</f>
        <v>0</v>
      </c>
      <c r="R184" s="77">
        <f>VLOOKUP($B184,[1]ბიუჯეტი!$B:$K,8,FALSE)</f>
        <v>0</v>
      </c>
      <c r="S184" s="77">
        <f>VLOOKUP($B184,[1]ბიუჯეტი!$B:$K,9,FALSE)</f>
        <v>0</v>
      </c>
      <c r="T184" s="77">
        <f>VLOOKUP($B184,[1]ბიუჯეტი!$B:$K,10,FALSE)</f>
        <v>48.813559322033903</v>
      </c>
      <c r="V184" s="78">
        <f t="shared" si="21"/>
        <v>0</v>
      </c>
      <c r="W184" s="78">
        <f t="shared" si="22"/>
        <v>0</v>
      </c>
      <c r="X184" s="78">
        <f t="shared" si="23"/>
        <v>0</v>
      </c>
      <c r="Y184" s="78">
        <f t="shared" si="24"/>
        <v>-28.8</v>
      </c>
    </row>
    <row r="185" spans="1:25" collapsed="1" x14ac:dyDescent="0.35">
      <c r="A185" s="51">
        <v>11</v>
      </c>
      <c r="B185" s="23" t="s">
        <v>65</v>
      </c>
      <c r="C185" s="4" t="s">
        <v>40</v>
      </c>
      <c r="D185" s="1">
        <f>SUM(D186,D189,D192)</f>
        <v>1004.9999999999999</v>
      </c>
      <c r="E185" s="1">
        <f>SUM(K187:K188,K190:K191,K193:K194)/D185</f>
        <v>0.72803849907032647</v>
      </c>
      <c r="F185" s="1">
        <f t="shared" si="28"/>
        <v>731.67869156567804</v>
      </c>
      <c r="G185" s="1">
        <f>SUM(H186:H195)/D185</f>
        <v>6.3750000000000009</v>
      </c>
      <c r="H185" s="1">
        <f>G185*D185</f>
        <v>6406.875</v>
      </c>
      <c r="I185" s="1">
        <v>0</v>
      </c>
      <c r="J185" s="1">
        <v>0</v>
      </c>
      <c r="K185" s="1">
        <f t="shared" si="27"/>
        <v>7138.5536915656776</v>
      </c>
      <c r="M185" s="77">
        <f>VLOOKUP(B185,[1]ბიუჯეტი!$B:$K,3,FALSE)</f>
        <v>2230.4</v>
      </c>
      <c r="N185" s="77">
        <f>VLOOKUP($B185,[1]ბიუჯეტი!$B:$K,4,FALSE)</f>
        <v>0.72300487050662043</v>
      </c>
      <c r="O185" s="77">
        <f>VLOOKUP($B185,[1]ბიუჯეტი!$B:$K,5,FALSE)</f>
        <v>1612.5900631779664</v>
      </c>
      <c r="P185" s="77">
        <f>VLOOKUP($B185,[1]ბიუჯეტი!$B:$K,6,FALSE)</f>
        <v>6.375</v>
      </c>
      <c r="Q185" s="77">
        <f>VLOOKUP($B185,[1]ბიუჯეტი!$B:$K,7,FALSE)</f>
        <v>14218.800000000001</v>
      </c>
      <c r="R185" s="77">
        <f>VLOOKUP($B185,[1]ბიუჯეტი!$B:$K,8,FALSE)</f>
        <v>0</v>
      </c>
      <c r="S185" s="77">
        <f>VLOOKUP($B185,[1]ბიუჯეტი!$B:$K,9,FALSE)</f>
        <v>0</v>
      </c>
      <c r="T185" s="77">
        <f>VLOOKUP($B185,[1]ბიუჯეტი!$B:$K,10,FALSE)</f>
        <v>15831.390063177967</v>
      </c>
      <c r="V185" s="78">
        <f t="shared" si="21"/>
        <v>5.0336285637060385E-3</v>
      </c>
      <c r="W185" s="78">
        <f t="shared" si="22"/>
        <v>0</v>
      </c>
      <c r="X185" s="78">
        <f t="shared" si="23"/>
        <v>0</v>
      </c>
      <c r="Y185" s="78">
        <f t="shared" si="24"/>
        <v>-1225.4000000000001</v>
      </c>
    </row>
    <row r="186" spans="1:25" hidden="1" outlineLevel="1" x14ac:dyDescent="0.35">
      <c r="A186" s="51">
        <v>1</v>
      </c>
      <c r="B186" s="23" t="s">
        <v>165</v>
      </c>
      <c r="C186" s="4" t="s">
        <v>40</v>
      </c>
      <c r="D186" s="1">
        <f>1.2*15</f>
        <v>18</v>
      </c>
      <c r="E186" s="1"/>
      <c r="F186" s="1">
        <f t="shared" si="28"/>
        <v>0</v>
      </c>
      <c r="G186" s="1">
        <f>ხელფასი!D11</f>
        <v>6.375</v>
      </c>
      <c r="H186" s="1">
        <f>G186*D186</f>
        <v>114.75</v>
      </c>
      <c r="I186" s="1"/>
      <c r="J186" s="1"/>
      <c r="K186" s="1">
        <f t="shared" si="27"/>
        <v>114.75</v>
      </c>
      <c r="M186" s="77">
        <f>VLOOKUP(B186,[1]ბიუჯეტი!$B:$K,3,FALSE)</f>
        <v>21.599999999999998</v>
      </c>
      <c r="N186" s="77">
        <f>VLOOKUP($B186,[1]ბიუჯეტი!$B:$K,4,FALSE)</f>
        <v>0</v>
      </c>
      <c r="O186" s="77">
        <f>VLOOKUP($B186,[1]ბიუჯეტი!$B:$K,5,FALSE)</f>
        <v>0</v>
      </c>
      <c r="P186" s="77">
        <f>VLOOKUP($B186,[1]ბიუჯეტი!$B:$K,6,FALSE)</f>
        <v>6.375</v>
      </c>
      <c r="Q186" s="77">
        <f>VLOOKUP($B186,[1]ბიუჯეტი!$B:$K,7,FALSE)</f>
        <v>137.69999999999999</v>
      </c>
      <c r="R186" s="77">
        <f>VLOOKUP($B186,[1]ბიუჯეტი!$B:$K,8,FALSE)</f>
        <v>0</v>
      </c>
      <c r="S186" s="77">
        <f>VLOOKUP($B186,[1]ბიუჯეტი!$B:$K,9,FALSE)</f>
        <v>0</v>
      </c>
      <c r="T186" s="77">
        <f>VLOOKUP($B186,[1]ბიუჯეტი!$B:$K,10,FALSE)</f>
        <v>137.69999999999999</v>
      </c>
      <c r="V186" s="78">
        <f t="shared" si="21"/>
        <v>0</v>
      </c>
      <c r="W186" s="78">
        <f t="shared" si="22"/>
        <v>0</v>
      </c>
      <c r="X186" s="78">
        <f t="shared" si="23"/>
        <v>0</v>
      </c>
      <c r="Y186" s="78">
        <f t="shared" si="24"/>
        <v>-3.5999999999999979</v>
      </c>
    </row>
    <row r="187" spans="1:25" hidden="1" outlineLevel="1" x14ac:dyDescent="0.35">
      <c r="A187" s="51"/>
      <c r="B187" s="3" t="s">
        <v>50</v>
      </c>
      <c r="C187" s="4" t="s">
        <v>9</v>
      </c>
      <c r="D187" s="1">
        <f>0.03*D186*0.15*1.1</f>
        <v>8.9100000000000013E-2</v>
      </c>
      <c r="E187" s="1">
        <f>SUMIFS(მასალა!D1:D272,მასალა!B1:B272,ბიუჯეტი!B187)</f>
        <v>59.322033898305087</v>
      </c>
      <c r="F187" s="1">
        <f t="shared" si="28"/>
        <v>5.2855932203389839</v>
      </c>
      <c r="G187" s="1"/>
      <c r="H187" s="1">
        <f>D187*G187</f>
        <v>0</v>
      </c>
      <c r="I187" s="1"/>
      <c r="J187" s="1"/>
      <c r="K187" s="1">
        <f t="shared" si="27"/>
        <v>5.2855932203389839</v>
      </c>
      <c r="M187" s="77">
        <f>VLOOKUP(B187,[1]ბიუჯეტი!$B:$K,3,FALSE)</f>
        <v>20.730401999999998</v>
      </c>
      <c r="N187" s="77">
        <f>VLOOKUP($B187,[1]ბიუჯეტი!$B:$K,4,FALSE)</f>
        <v>59.322033898305087</v>
      </c>
      <c r="O187" s="77">
        <f>VLOOKUP($B187,[1]ბიუჯეტი!$B:$K,5,FALSE)</f>
        <v>1229.7696101694914</v>
      </c>
      <c r="P187" s="77">
        <f>VLOOKUP($B187,[1]ბიუჯეტი!$B:$K,6,FALSE)</f>
        <v>0</v>
      </c>
      <c r="Q187" s="77">
        <f>VLOOKUP($B187,[1]ბიუჯეტი!$B:$K,7,FALSE)</f>
        <v>0</v>
      </c>
      <c r="R187" s="77">
        <f>VLOOKUP($B187,[1]ბიუჯეტი!$B:$K,8,FALSE)</f>
        <v>0</v>
      </c>
      <c r="S187" s="77">
        <f>VLOOKUP($B187,[1]ბიუჯეტი!$B:$K,9,FALSE)</f>
        <v>0</v>
      </c>
      <c r="T187" s="77">
        <f>VLOOKUP($B187,[1]ბიუჯეტი!$B:$K,10,FALSE)</f>
        <v>1229.7696101694914</v>
      </c>
      <c r="V187" s="78">
        <f t="shared" si="21"/>
        <v>0</v>
      </c>
      <c r="W187" s="78">
        <f t="shared" si="22"/>
        <v>0</v>
      </c>
      <c r="X187" s="78">
        <f t="shared" si="23"/>
        <v>0</v>
      </c>
      <c r="Y187" s="78">
        <f t="shared" si="24"/>
        <v>-20.641302</v>
      </c>
    </row>
    <row r="188" spans="1:25" hidden="1" outlineLevel="1" x14ac:dyDescent="0.35">
      <c r="A188" s="51"/>
      <c r="B188" s="3" t="s">
        <v>51</v>
      </c>
      <c r="C188" s="4" t="s">
        <v>12</v>
      </c>
      <c r="D188" s="1">
        <f>D187/3*1.05</f>
        <v>3.1185000000000004E-2</v>
      </c>
      <c r="E188" s="1">
        <f>SUMIFS(მასალა!D2:D273,მასალა!B2:B273,ბიუჯეტი!B188)</f>
        <v>265.50000000000006</v>
      </c>
      <c r="F188" s="1">
        <f t="shared" si="28"/>
        <v>8.2796175000000023</v>
      </c>
      <c r="G188" s="1"/>
      <c r="H188" s="1">
        <f>D188*G188</f>
        <v>0</v>
      </c>
      <c r="I188" s="1"/>
      <c r="J188" s="1"/>
      <c r="K188" s="1">
        <f t="shared" si="27"/>
        <v>8.2796175000000023</v>
      </c>
      <c r="M188" s="77">
        <f>VLOOKUP(B188,[1]ბიუჯეტი!$B:$K,3,FALSE)</f>
        <v>5.4417305249999997</v>
      </c>
      <c r="N188" s="77">
        <f>VLOOKUP($B188,[1]ბიუჯეტი!$B:$K,4,FALSE)</f>
        <v>265.47457627118644</v>
      </c>
      <c r="O188" s="77">
        <f>VLOOKUP($B188,[1]ბიუჯეტი!$B:$K,5,FALSE)</f>
        <v>1444.6411053063557</v>
      </c>
      <c r="P188" s="77">
        <f>VLOOKUP($B188,[1]ბიუჯეტი!$B:$K,6,FALSE)</f>
        <v>0</v>
      </c>
      <c r="Q188" s="77">
        <f>VLOOKUP($B188,[1]ბიუჯეტი!$B:$K,7,FALSE)</f>
        <v>0</v>
      </c>
      <c r="R188" s="77">
        <f>VLOOKUP($B188,[1]ბიუჯეტი!$B:$K,8,FALSE)</f>
        <v>0</v>
      </c>
      <c r="S188" s="77">
        <f>VLOOKUP($B188,[1]ბიუჯეტი!$B:$K,9,FALSE)</f>
        <v>0</v>
      </c>
      <c r="T188" s="77">
        <f>VLOOKUP($B188,[1]ბიუჯეტი!$B:$K,10,FALSE)</f>
        <v>1444.6411053063557</v>
      </c>
      <c r="V188" s="78">
        <f t="shared" si="21"/>
        <v>2.5423728813620983E-2</v>
      </c>
      <c r="W188" s="78">
        <f t="shared" si="22"/>
        <v>0</v>
      </c>
      <c r="X188" s="78">
        <f t="shared" si="23"/>
        <v>0</v>
      </c>
      <c r="Y188" s="78">
        <f t="shared" si="24"/>
        <v>-5.4105455249999999</v>
      </c>
    </row>
    <row r="189" spans="1:25" hidden="1" outlineLevel="1" x14ac:dyDescent="0.35">
      <c r="A189" s="51">
        <v>2</v>
      </c>
      <c r="B189" s="23" t="s">
        <v>66</v>
      </c>
      <c r="C189" s="4" t="s">
        <v>40</v>
      </c>
      <c r="D189" s="1">
        <v>236.4</v>
      </c>
      <c r="E189" s="1"/>
      <c r="F189" s="1">
        <f t="shared" si="28"/>
        <v>0</v>
      </c>
      <c r="G189" s="1">
        <f>ხელფასი!D11</f>
        <v>6.375</v>
      </c>
      <c r="H189" s="1">
        <f>G189*D189</f>
        <v>1507.05</v>
      </c>
      <c r="I189" s="1"/>
      <c r="J189" s="1"/>
      <c r="K189" s="1">
        <f t="shared" si="27"/>
        <v>1507.05</v>
      </c>
      <c r="M189" s="77">
        <f>VLOOKUP(B189,[1]ბიუჯეტი!$B:$K,3,FALSE)</f>
        <v>218.00000000000003</v>
      </c>
      <c r="N189" s="77">
        <f>VLOOKUP($B189,[1]ბიუჯეტი!$B:$K,4,FALSE)</f>
        <v>0</v>
      </c>
      <c r="O189" s="77">
        <f>VLOOKUP($B189,[1]ბიუჯეტი!$B:$K,5,FALSE)</f>
        <v>0</v>
      </c>
      <c r="P189" s="77">
        <f>VLOOKUP($B189,[1]ბიუჯეტი!$B:$K,6,FALSE)</f>
        <v>6.375</v>
      </c>
      <c r="Q189" s="77">
        <f>VLOOKUP($B189,[1]ბიუჯეტი!$B:$K,7,FALSE)</f>
        <v>1389.7500000000002</v>
      </c>
      <c r="R189" s="77">
        <f>VLOOKUP($B189,[1]ბიუჯეტი!$B:$K,8,FALSE)</f>
        <v>0</v>
      </c>
      <c r="S189" s="77">
        <f>VLOOKUP($B189,[1]ბიუჯეტი!$B:$K,9,FALSE)</f>
        <v>0</v>
      </c>
      <c r="T189" s="77">
        <f>VLOOKUP($B189,[1]ბიუჯეტი!$B:$K,10,FALSE)</f>
        <v>1389.7500000000002</v>
      </c>
      <c r="V189" s="78">
        <f t="shared" si="21"/>
        <v>0</v>
      </c>
      <c r="W189" s="78">
        <f t="shared" si="22"/>
        <v>0</v>
      </c>
      <c r="X189" s="78">
        <f t="shared" si="23"/>
        <v>0</v>
      </c>
      <c r="Y189" s="78">
        <f t="shared" si="24"/>
        <v>18.399999999999977</v>
      </c>
    </row>
    <row r="190" spans="1:25" hidden="1" outlineLevel="1" x14ac:dyDescent="0.35">
      <c r="A190" s="51"/>
      <c r="B190" s="3" t="s">
        <v>50</v>
      </c>
      <c r="C190" s="4" t="s">
        <v>9</v>
      </c>
      <c r="D190" s="1">
        <f>0.03*D189*0.15*1.1</f>
        <v>1.17018</v>
      </c>
      <c r="E190" s="1">
        <f>SUMIFS(მასალა!D4:D275,მასალა!B4:B275,ბიუჯეტი!B190)</f>
        <v>59.322033898305087</v>
      </c>
      <c r="F190" s="1">
        <f t="shared" si="28"/>
        <v>69.417457627118651</v>
      </c>
      <c r="G190" s="1"/>
      <c r="H190" s="1">
        <f>D190*G190</f>
        <v>0</v>
      </c>
      <c r="I190" s="1"/>
      <c r="J190" s="1"/>
      <c r="K190" s="1">
        <f t="shared" si="27"/>
        <v>69.417457627118651</v>
      </c>
      <c r="M190" s="77">
        <f>VLOOKUP(B190,[1]ბიუჯეტი!$B:$K,3,FALSE)</f>
        <v>20.730401999999998</v>
      </c>
      <c r="N190" s="77">
        <f>VLOOKUP($B190,[1]ბიუჯეტი!$B:$K,4,FALSE)</f>
        <v>59.322033898305087</v>
      </c>
      <c r="O190" s="77">
        <f>VLOOKUP($B190,[1]ბიუჯეტი!$B:$K,5,FALSE)</f>
        <v>1229.7696101694914</v>
      </c>
      <c r="P190" s="77">
        <f>VLOOKUP($B190,[1]ბიუჯეტი!$B:$K,6,FALSE)</f>
        <v>0</v>
      </c>
      <c r="Q190" s="77">
        <f>VLOOKUP($B190,[1]ბიუჯეტი!$B:$K,7,FALSE)</f>
        <v>0</v>
      </c>
      <c r="R190" s="77">
        <f>VLOOKUP($B190,[1]ბიუჯეტი!$B:$K,8,FALSE)</f>
        <v>0</v>
      </c>
      <c r="S190" s="77">
        <f>VLOOKUP($B190,[1]ბიუჯეტი!$B:$K,9,FALSE)</f>
        <v>0</v>
      </c>
      <c r="T190" s="77">
        <f>VLOOKUP($B190,[1]ბიუჯეტი!$B:$K,10,FALSE)</f>
        <v>1229.7696101694914</v>
      </c>
      <c r="V190" s="78">
        <f t="shared" si="21"/>
        <v>0</v>
      </c>
      <c r="W190" s="78">
        <f t="shared" si="22"/>
        <v>0</v>
      </c>
      <c r="X190" s="78">
        <f t="shared" si="23"/>
        <v>0</v>
      </c>
      <c r="Y190" s="78">
        <f t="shared" si="24"/>
        <v>-19.560222</v>
      </c>
    </row>
    <row r="191" spans="1:25" hidden="1" outlineLevel="1" x14ac:dyDescent="0.35">
      <c r="A191" s="51"/>
      <c r="B191" s="3" t="s">
        <v>51</v>
      </c>
      <c r="C191" s="4" t="s">
        <v>12</v>
      </c>
      <c r="D191" s="1">
        <f>D190/3*1.05</f>
        <v>0.40956300000000001</v>
      </c>
      <c r="E191" s="1">
        <f>SUMIFS(მასალა!D5:D276,მასალა!B5:B276,ბიუჯეტი!B191)</f>
        <v>265.50000000000006</v>
      </c>
      <c r="F191" s="1">
        <f t="shared" si="28"/>
        <v>108.73897650000002</v>
      </c>
      <c r="G191" s="1"/>
      <c r="H191" s="1">
        <f>D191*G191</f>
        <v>0</v>
      </c>
      <c r="I191" s="1"/>
      <c r="J191" s="1"/>
      <c r="K191" s="1">
        <f t="shared" si="27"/>
        <v>108.73897650000002</v>
      </c>
      <c r="M191" s="77">
        <f>VLOOKUP(B191,[1]ბიუჯეტი!$B:$K,3,FALSE)</f>
        <v>5.4417305249999997</v>
      </c>
      <c r="N191" s="77">
        <f>VLOOKUP($B191,[1]ბიუჯეტი!$B:$K,4,FALSE)</f>
        <v>265.47457627118644</v>
      </c>
      <c r="O191" s="77">
        <f>VLOOKUP($B191,[1]ბიუჯეტი!$B:$K,5,FALSE)</f>
        <v>1444.6411053063557</v>
      </c>
      <c r="P191" s="77">
        <f>VLOOKUP($B191,[1]ბიუჯეტი!$B:$K,6,FALSE)</f>
        <v>0</v>
      </c>
      <c r="Q191" s="77">
        <f>VLOOKUP($B191,[1]ბიუჯეტი!$B:$K,7,FALSE)</f>
        <v>0</v>
      </c>
      <c r="R191" s="77">
        <f>VLOOKUP($B191,[1]ბიუჯეტი!$B:$K,8,FALSE)</f>
        <v>0</v>
      </c>
      <c r="S191" s="77">
        <f>VLOOKUP($B191,[1]ბიუჯეტი!$B:$K,9,FALSE)</f>
        <v>0</v>
      </c>
      <c r="T191" s="77">
        <f>VLOOKUP($B191,[1]ბიუჯეტი!$B:$K,10,FALSE)</f>
        <v>1444.6411053063557</v>
      </c>
      <c r="V191" s="78">
        <f t="shared" ref="V191:V254" si="30">E191-N191</f>
        <v>2.5423728813620983E-2</v>
      </c>
      <c r="W191" s="78">
        <f t="shared" ref="W191:W254" si="31">G191-P191</f>
        <v>0</v>
      </c>
      <c r="X191" s="78">
        <f t="shared" ref="X191:X254" si="32">I191-R191</f>
        <v>0</v>
      </c>
      <c r="Y191" s="78">
        <f t="shared" ref="Y191:Y254" si="33">D191-M191</f>
        <v>-5.0321675249999993</v>
      </c>
    </row>
    <row r="192" spans="1:25" hidden="1" outlineLevel="1" x14ac:dyDescent="0.35">
      <c r="A192" s="51">
        <v>3</v>
      </c>
      <c r="B192" s="23" t="s">
        <v>166</v>
      </c>
      <c r="C192" s="4" t="s">
        <v>40</v>
      </c>
      <c r="D192" s="1">
        <f>(250.2)*3</f>
        <v>750.59999999999991</v>
      </c>
      <c r="E192" s="1"/>
      <c r="F192" s="1">
        <f t="shared" si="28"/>
        <v>0</v>
      </c>
      <c r="G192" s="1">
        <f>ხელფასი!D11</f>
        <v>6.375</v>
      </c>
      <c r="H192" s="1">
        <f>G192*D192</f>
        <v>4785.0749999999998</v>
      </c>
      <c r="I192" s="1"/>
      <c r="J192" s="1"/>
      <c r="K192" s="1">
        <f t="shared" si="27"/>
        <v>4785.0749999999998</v>
      </c>
      <c r="M192" s="77">
        <f>VLOOKUP(B192,[1]ბიუჯეტი!$B:$K,3,FALSE)</f>
        <v>1990.8000000000002</v>
      </c>
      <c r="N192" s="77">
        <f>VLOOKUP($B192,[1]ბიუჯეტი!$B:$K,4,FALSE)</f>
        <v>0</v>
      </c>
      <c r="O192" s="77">
        <f>VLOOKUP($B192,[1]ბიუჯეტი!$B:$K,5,FALSE)</f>
        <v>0</v>
      </c>
      <c r="P192" s="77">
        <f>VLOOKUP($B192,[1]ბიუჯეტი!$B:$K,6,FALSE)</f>
        <v>6.375</v>
      </c>
      <c r="Q192" s="77">
        <f>VLOOKUP($B192,[1]ბიუჯეტი!$B:$K,7,FALSE)</f>
        <v>12691.35</v>
      </c>
      <c r="R192" s="77">
        <f>VLOOKUP($B192,[1]ბიუჯეტი!$B:$K,8,FALSE)</f>
        <v>0</v>
      </c>
      <c r="S192" s="77">
        <f>VLOOKUP($B192,[1]ბიუჯეტი!$B:$K,9,FALSE)</f>
        <v>0</v>
      </c>
      <c r="T192" s="77">
        <f>VLOOKUP($B192,[1]ბიუჯეტი!$B:$K,10,FALSE)</f>
        <v>12691.35</v>
      </c>
      <c r="V192" s="78">
        <f t="shared" si="30"/>
        <v>0</v>
      </c>
      <c r="W192" s="78">
        <f t="shared" si="31"/>
        <v>0</v>
      </c>
      <c r="X192" s="78">
        <f t="shared" si="32"/>
        <v>0</v>
      </c>
      <c r="Y192" s="78">
        <f t="shared" si="33"/>
        <v>-1240.2000000000003</v>
      </c>
    </row>
    <row r="193" spans="1:25" hidden="1" outlineLevel="1" x14ac:dyDescent="0.35">
      <c r="A193" s="51"/>
      <c r="B193" s="3" t="s">
        <v>50</v>
      </c>
      <c r="C193" s="4" t="s">
        <v>9</v>
      </c>
      <c r="D193" s="1">
        <f>0.03*D192*0.15*1.05</f>
        <v>3.5465849999999994</v>
      </c>
      <c r="E193" s="1">
        <f>SUMIFS(მასალა!D7:D278,მასალა!B7:B278,ბიუჯეტი!B193)</f>
        <v>59.322033898305087</v>
      </c>
      <c r="F193" s="1">
        <f t="shared" si="28"/>
        <v>210.39063559322031</v>
      </c>
      <c r="G193" s="1"/>
      <c r="H193" s="1">
        <f>D193*G193</f>
        <v>0</v>
      </c>
      <c r="I193" s="1"/>
      <c r="J193" s="1"/>
      <c r="K193" s="1">
        <f t="shared" si="27"/>
        <v>210.39063559322031</v>
      </c>
      <c r="M193" s="77">
        <f>VLOOKUP(B193,[1]ბიუჯეტი!$B:$K,3,FALSE)</f>
        <v>20.730401999999998</v>
      </c>
      <c r="N193" s="77">
        <f>VLOOKUP($B193,[1]ბიუჯეტი!$B:$K,4,FALSE)</f>
        <v>59.322033898305087</v>
      </c>
      <c r="O193" s="77">
        <f>VLOOKUP($B193,[1]ბიუჯეტი!$B:$K,5,FALSE)</f>
        <v>1229.7696101694914</v>
      </c>
      <c r="P193" s="77">
        <f>VLOOKUP($B193,[1]ბიუჯეტი!$B:$K,6,FALSE)</f>
        <v>0</v>
      </c>
      <c r="Q193" s="77">
        <f>VLOOKUP($B193,[1]ბიუჯეტი!$B:$K,7,FALSE)</f>
        <v>0</v>
      </c>
      <c r="R193" s="77">
        <f>VLOOKUP($B193,[1]ბიუჯეტი!$B:$K,8,FALSE)</f>
        <v>0</v>
      </c>
      <c r="S193" s="77">
        <f>VLOOKUP($B193,[1]ბიუჯეტი!$B:$K,9,FALSE)</f>
        <v>0</v>
      </c>
      <c r="T193" s="77">
        <f>VLOOKUP($B193,[1]ბიუჯეტი!$B:$K,10,FALSE)</f>
        <v>1229.7696101694914</v>
      </c>
      <c r="V193" s="78">
        <f t="shared" si="30"/>
        <v>0</v>
      </c>
      <c r="W193" s="78">
        <f t="shared" si="31"/>
        <v>0</v>
      </c>
      <c r="X193" s="78">
        <f t="shared" si="32"/>
        <v>0</v>
      </c>
      <c r="Y193" s="78">
        <f t="shared" si="33"/>
        <v>-17.183816999999998</v>
      </c>
    </row>
    <row r="194" spans="1:25" hidden="1" outlineLevel="1" x14ac:dyDescent="0.35">
      <c r="A194" s="51"/>
      <c r="B194" s="3" t="s">
        <v>51</v>
      </c>
      <c r="C194" s="4" t="s">
        <v>12</v>
      </c>
      <c r="D194" s="1">
        <f>D193/3*1.05</f>
        <v>1.2413047499999998</v>
      </c>
      <c r="E194" s="1">
        <f>SUMIFS(მასალა!D8:D279,მასალა!B8:B279,ბიუჯეტი!B194)</f>
        <v>265.50000000000006</v>
      </c>
      <c r="F194" s="1">
        <f t="shared" si="28"/>
        <v>329.566411125</v>
      </c>
      <c r="G194" s="1"/>
      <c r="H194" s="1">
        <f>D194*G194</f>
        <v>0</v>
      </c>
      <c r="I194" s="1"/>
      <c r="J194" s="1"/>
      <c r="K194" s="1">
        <f t="shared" si="27"/>
        <v>329.566411125</v>
      </c>
      <c r="M194" s="77">
        <f>VLOOKUP(B194,[1]ბიუჯეტი!$B:$K,3,FALSE)</f>
        <v>5.4417305249999997</v>
      </c>
      <c r="N194" s="77">
        <f>VLOOKUP($B194,[1]ბიუჯეტი!$B:$K,4,FALSE)</f>
        <v>265.47457627118644</v>
      </c>
      <c r="O194" s="77">
        <f>VLOOKUP($B194,[1]ბიუჯეტი!$B:$K,5,FALSE)</f>
        <v>1444.6411053063557</v>
      </c>
      <c r="P194" s="77">
        <f>VLOOKUP($B194,[1]ბიუჯეტი!$B:$K,6,FALSE)</f>
        <v>0</v>
      </c>
      <c r="Q194" s="77">
        <f>VLOOKUP($B194,[1]ბიუჯეტი!$B:$K,7,FALSE)</f>
        <v>0</v>
      </c>
      <c r="R194" s="77">
        <f>VLOOKUP($B194,[1]ბიუჯეტი!$B:$K,8,FALSE)</f>
        <v>0</v>
      </c>
      <c r="S194" s="77">
        <f>VLOOKUP($B194,[1]ბიუჯეტი!$B:$K,9,FALSE)</f>
        <v>0</v>
      </c>
      <c r="T194" s="77">
        <f>VLOOKUP($B194,[1]ბიუჯეტი!$B:$K,10,FALSE)</f>
        <v>1444.6411053063557</v>
      </c>
      <c r="V194" s="78">
        <f t="shared" si="30"/>
        <v>2.5423728813620983E-2</v>
      </c>
      <c r="W194" s="78">
        <f t="shared" si="31"/>
        <v>0</v>
      </c>
      <c r="X194" s="78">
        <f t="shared" si="32"/>
        <v>0</v>
      </c>
      <c r="Y194" s="78">
        <f t="shared" si="33"/>
        <v>-4.2004257749999994</v>
      </c>
    </row>
    <row r="195" spans="1:25" collapsed="1" x14ac:dyDescent="0.35">
      <c r="A195" s="51">
        <v>12</v>
      </c>
      <c r="B195" s="23" t="s">
        <v>67</v>
      </c>
      <c r="C195" s="4" t="s">
        <v>40</v>
      </c>
      <c r="D195" s="1">
        <f>SUM(D196:D198)</f>
        <v>395.4</v>
      </c>
      <c r="E195" s="1">
        <v>0</v>
      </c>
      <c r="F195" s="1">
        <f t="shared" si="28"/>
        <v>0</v>
      </c>
      <c r="G195" s="1">
        <v>0</v>
      </c>
      <c r="H195" s="1">
        <f>G195*D195</f>
        <v>0</v>
      </c>
      <c r="I195" s="1">
        <f>მომსახურება!D6</f>
        <v>15.254237288135593</v>
      </c>
      <c r="J195" s="1">
        <f>I195*D195+1000</f>
        <v>7031.5254237288136</v>
      </c>
      <c r="K195" s="1">
        <f t="shared" si="27"/>
        <v>7031.5254237288136</v>
      </c>
      <c r="M195" s="77">
        <f>VLOOKUP(B195,[1]ბიუჯეტი!$B:$K,3,FALSE)</f>
        <v>394.19999999999993</v>
      </c>
      <c r="N195" s="77">
        <f>VLOOKUP($B195,[1]ბიუჯეტი!$B:$K,4,FALSE)</f>
        <v>0</v>
      </c>
      <c r="O195" s="77">
        <f>VLOOKUP($B195,[1]ბიუჯეტი!$B:$K,5,FALSE)</f>
        <v>0</v>
      </c>
      <c r="P195" s="77">
        <f>VLOOKUP($B195,[1]ბიუჯეტი!$B:$K,6,FALSE)</f>
        <v>0</v>
      </c>
      <c r="Q195" s="77">
        <f>VLOOKUP($B195,[1]ბიუჯეტი!$B:$K,7,FALSE)</f>
        <v>0</v>
      </c>
      <c r="R195" s="77">
        <f>VLOOKUP($B195,[1]ბიუჯეტი!$B:$K,8,FALSE)</f>
        <v>15.254237288135593</v>
      </c>
      <c r="S195" s="77">
        <f>VLOOKUP($B195,[1]ბიუჯეტი!$B:$K,9,FALSE)</f>
        <v>7013.2203389830502</v>
      </c>
      <c r="T195" s="77">
        <f>VLOOKUP($B195,[1]ბიუჯეტი!$B:$K,10,FALSE)</f>
        <v>7013.2203389830502</v>
      </c>
      <c r="V195" s="78">
        <f t="shared" si="30"/>
        <v>0</v>
      </c>
      <c r="W195" s="78">
        <f t="shared" si="31"/>
        <v>0</v>
      </c>
      <c r="X195" s="78">
        <f t="shared" si="32"/>
        <v>0</v>
      </c>
      <c r="Y195" s="78">
        <f t="shared" si="33"/>
        <v>1.2000000000000455</v>
      </c>
    </row>
    <row r="196" spans="1:25" hidden="1" outlineLevel="1" x14ac:dyDescent="0.35">
      <c r="A196" s="51">
        <v>1</v>
      </c>
      <c r="B196" s="23" t="s">
        <v>317</v>
      </c>
      <c r="C196" s="4" t="s">
        <v>40</v>
      </c>
      <c r="D196" s="1">
        <f>2.2*15</f>
        <v>33</v>
      </c>
      <c r="E196" s="1"/>
      <c r="F196" s="1">
        <f t="shared" si="28"/>
        <v>0</v>
      </c>
      <c r="G196" s="1"/>
      <c r="H196" s="1"/>
      <c r="I196" s="1">
        <f>მომსახურება!D6</f>
        <v>15.254237288135593</v>
      </c>
      <c r="J196" s="1">
        <f>I196*D196</f>
        <v>503.38983050847457</v>
      </c>
      <c r="K196" s="1">
        <f t="shared" si="27"/>
        <v>503.38983050847457</v>
      </c>
      <c r="M196" s="77">
        <f>VLOOKUP(B196,[1]ბიუჯეტი!$B:$K,3,FALSE)</f>
        <v>39.6</v>
      </c>
      <c r="N196" s="77">
        <f>VLOOKUP($B196,[1]ბიუჯეტი!$B:$K,4,FALSE)</f>
        <v>0</v>
      </c>
      <c r="O196" s="77">
        <f>VLOOKUP($B196,[1]ბიუჯეტი!$B:$K,5,FALSE)</f>
        <v>0</v>
      </c>
      <c r="P196" s="77">
        <f>VLOOKUP($B196,[1]ბიუჯეტი!$B:$K,6,FALSE)</f>
        <v>0</v>
      </c>
      <c r="Q196" s="77">
        <f>VLOOKUP($B196,[1]ბიუჯეტი!$B:$K,7,FALSE)</f>
        <v>0</v>
      </c>
      <c r="R196" s="77">
        <f>VLOOKUP($B196,[1]ბიუჯეტი!$B:$K,8,FALSE)</f>
        <v>15.254237288135593</v>
      </c>
      <c r="S196" s="77">
        <f>VLOOKUP($B196,[1]ბიუჯეტი!$B:$K,9,FALSE)</f>
        <v>604.06779661016947</v>
      </c>
      <c r="T196" s="77">
        <f>VLOOKUP($B196,[1]ბიუჯეტი!$B:$K,10,FALSE)</f>
        <v>604.06779661016947</v>
      </c>
      <c r="V196" s="78">
        <f t="shared" si="30"/>
        <v>0</v>
      </c>
      <c r="W196" s="78">
        <f t="shared" si="31"/>
        <v>0</v>
      </c>
      <c r="X196" s="78">
        <f t="shared" si="32"/>
        <v>0</v>
      </c>
      <c r="Y196" s="78">
        <f t="shared" si="33"/>
        <v>-6.6000000000000014</v>
      </c>
    </row>
    <row r="197" spans="1:25" hidden="1" outlineLevel="1" x14ac:dyDescent="0.35">
      <c r="A197" s="51">
        <v>2</v>
      </c>
      <c r="B197" s="23" t="s">
        <v>68</v>
      </c>
      <c r="C197" s="4" t="s">
        <v>40</v>
      </c>
      <c r="D197" s="1">
        <f>2.3*30+1.6*6</f>
        <v>78.599999999999994</v>
      </c>
      <c r="E197" s="1"/>
      <c r="F197" s="1">
        <f t="shared" si="28"/>
        <v>0</v>
      </c>
      <c r="G197" s="1"/>
      <c r="H197" s="1"/>
      <c r="I197" s="1">
        <f>მომსახურება!D6</f>
        <v>15.254237288135593</v>
      </c>
      <c r="J197" s="1">
        <f>I197*D197</f>
        <v>1198.9830508474577</v>
      </c>
      <c r="K197" s="1">
        <f t="shared" si="27"/>
        <v>1198.9830508474577</v>
      </c>
      <c r="M197" s="77">
        <f>VLOOKUP(B197,[1]ბიუჯეტი!$B:$K,3,FALSE)</f>
        <v>81.599999999999994</v>
      </c>
      <c r="N197" s="77">
        <f>VLOOKUP($B197,[1]ბიუჯეტი!$B:$K,4,FALSE)</f>
        <v>0</v>
      </c>
      <c r="O197" s="77">
        <f>VLOOKUP($B197,[1]ბიუჯეტი!$B:$K,5,FALSE)</f>
        <v>0</v>
      </c>
      <c r="P197" s="77">
        <f>VLOOKUP($B197,[1]ბიუჯეტი!$B:$K,6,FALSE)</f>
        <v>0</v>
      </c>
      <c r="Q197" s="77">
        <f>VLOOKUP($B197,[1]ბიუჯეტი!$B:$K,7,FALSE)</f>
        <v>0</v>
      </c>
      <c r="R197" s="77">
        <f>VLOOKUP($B197,[1]ბიუჯეტი!$B:$K,8,FALSE)</f>
        <v>15.254237288135593</v>
      </c>
      <c r="S197" s="77">
        <f>VLOOKUP($B197,[1]ბიუჯეტი!$B:$K,9,FALSE)</f>
        <v>1244.7457627118642</v>
      </c>
      <c r="T197" s="77">
        <f>VLOOKUP($B197,[1]ბიუჯეტი!$B:$K,10,FALSE)</f>
        <v>1244.7457627118642</v>
      </c>
      <c r="V197" s="78">
        <f t="shared" si="30"/>
        <v>0</v>
      </c>
      <c r="W197" s="78">
        <f t="shared" si="31"/>
        <v>0</v>
      </c>
      <c r="X197" s="78">
        <f t="shared" si="32"/>
        <v>0</v>
      </c>
      <c r="Y197" s="78">
        <f t="shared" si="33"/>
        <v>-3</v>
      </c>
    </row>
    <row r="198" spans="1:25" hidden="1" outlineLevel="1" x14ac:dyDescent="0.35">
      <c r="A198" s="51">
        <v>3</v>
      </c>
      <c r="B198" s="23" t="s">
        <v>318</v>
      </c>
      <c r="C198" s="4" t="s">
        <v>40</v>
      </c>
      <c r="D198" s="1">
        <f>(2.3*32+1.6*6+5.7*2)*3</f>
        <v>283.79999999999995</v>
      </c>
      <c r="E198" s="1"/>
      <c r="F198" s="1">
        <f t="shared" si="28"/>
        <v>0</v>
      </c>
      <c r="G198" s="1"/>
      <c r="H198" s="1"/>
      <c r="I198" s="1">
        <f>მომსახურება!D6</f>
        <v>15.254237288135593</v>
      </c>
      <c r="J198" s="1">
        <f>I198*D198</f>
        <v>4329.1525423728808</v>
      </c>
      <c r="K198" s="1">
        <f t="shared" si="27"/>
        <v>4329.1525423728808</v>
      </c>
      <c r="M198" s="77">
        <f>VLOOKUP(B198,[1]ბიუჯეტი!$B:$K,3,FALSE)</f>
        <v>272.99999999999994</v>
      </c>
      <c r="N198" s="77">
        <f>VLOOKUP($B198,[1]ბიუჯეტი!$B:$K,4,FALSE)</f>
        <v>0</v>
      </c>
      <c r="O198" s="77">
        <f>VLOOKUP($B198,[1]ბიუჯეტი!$B:$K,5,FALSE)</f>
        <v>0</v>
      </c>
      <c r="P198" s="77">
        <f>VLOOKUP($B198,[1]ბიუჯეტი!$B:$K,6,FALSE)</f>
        <v>0</v>
      </c>
      <c r="Q198" s="77">
        <f>VLOOKUP($B198,[1]ბიუჯეტი!$B:$K,7,FALSE)</f>
        <v>0</v>
      </c>
      <c r="R198" s="77">
        <f>VLOOKUP($B198,[1]ბიუჯეტი!$B:$K,8,FALSE)</f>
        <v>15.254237288135593</v>
      </c>
      <c r="S198" s="77">
        <f>VLOOKUP($B198,[1]ბიუჯეტი!$B:$K,9,FALSE)</f>
        <v>4164.4067796610161</v>
      </c>
      <c r="T198" s="77">
        <f>VLOOKUP($B198,[1]ბიუჯეტი!$B:$K,10,FALSE)</f>
        <v>4164.4067796610161</v>
      </c>
      <c r="V198" s="78">
        <f t="shared" si="30"/>
        <v>0</v>
      </c>
      <c r="W198" s="78">
        <f t="shared" si="31"/>
        <v>0</v>
      </c>
      <c r="X198" s="78">
        <f t="shared" si="32"/>
        <v>0</v>
      </c>
      <c r="Y198" s="78">
        <f t="shared" si="33"/>
        <v>10.800000000000011</v>
      </c>
    </row>
    <row r="199" spans="1:25" collapsed="1" x14ac:dyDescent="0.35">
      <c r="A199" s="51">
        <v>13</v>
      </c>
      <c r="B199" s="23" t="s">
        <v>424</v>
      </c>
      <c r="C199" s="4" t="s">
        <v>10</v>
      </c>
      <c r="D199" s="1">
        <f>SUM(D200,D202,D204)</f>
        <v>2005.107</v>
      </c>
      <c r="E199" s="1">
        <f>SUM(K205:K205,K203:K203,K201:K201,)/D199</f>
        <v>0.46650733327025712</v>
      </c>
      <c r="F199" s="1">
        <f>E199*D199</f>
        <v>935.39711949152547</v>
      </c>
      <c r="G199" s="1">
        <f>ხელფასი!D35</f>
        <v>22.95</v>
      </c>
      <c r="H199" s="1">
        <f>G199*D199</f>
        <v>46017.205649999996</v>
      </c>
      <c r="I199" s="1">
        <v>0</v>
      </c>
      <c r="J199" s="1">
        <f>I199*D199</f>
        <v>0</v>
      </c>
      <c r="K199" s="1">
        <f t="shared" si="27"/>
        <v>46952.602769491525</v>
      </c>
      <c r="M199" s="77">
        <f>VLOOKUP(B199,[1]ბიუჯეტი!$B:$K,3,FALSE)</f>
        <v>1641.8559999999998</v>
      </c>
      <c r="N199" s="77">
        <f>VLOOKUP($B199,[1]ბიუჯეტი!$B:$K,4,FALSE)</f>
        <v>0.37775521747277663</v>
      </c>
      <c r="O199" s="77">
        <f>VLOOKUP($B199,[1]ბიუჯეტი!$B:$K,5,FALSE)</f>
        <v>620.21967033898306</v>
      </c>
      <c r="P199" s="77">
        <f>VLOOKUP($B199,[1]ბიუჯეტი!$B:$K,6,FALSE)</f>
        <v>22.95</v>
      </c>
      <c r="Q199" s="77">
        <f>VLOOKUP($B199,[1]ბიუჯეტი!$B:$K,7,FALSE)</f>
        <v>37680.595199999996</v>
      </c>
      <c r="R199" s="77">
        <f>VLOOKUP($B199,[1]ბიუჯეტი!$B:$K,8,FALSE)</f>
        <v>0</v>
      </c>
      <c r="S199" s="77">
        <f>VLOOKUP($B199,[1]ბიუჯეტი!$B:$K,9,FALSE)</f>
        <v>0</v>
      </c>
      <c r="T199" s="77">
        <f>VLOOKUP($B199,[1]ბიუჯეტი!$B:$K,10,FALSE)</f>
        <v>38300.814870338982</v>
      </c>
      <c r="V199" s="78">
        <f t="shared" si="30"/>
        <v>8.8752115797480491E-2</v>
      </c>
      <c r="W199" s="78">
        <f t="shared" si="31"/>
        <v>0</v>
      </c>
      <c r="X199" s="78">
        <f t="shared" si="32"/>
        <v>0</v>
      </c>
      <c r="Y199" s="97">
        <f t="shared" si="33"/>
        <v>363.2510000000002</v>
      </c>
    </row>
    <row r="200" spans="1:25" hidden="1" outlineLevel="1" x14ac:dyDescent="0.35">
      <c r="A200" s="51">
        <v>2</v>
      </c>
      <c r="B200" s="23" t="s">
        <v>165</v>
      </c>
      <c r="C200" s="4" t="s">
        <v>10</v>
      </c>
      <c r="D200" s="1">
        <f>სამუშაო!D45</f>
        <v>602.27200000000005</v>
      </c>
      <c r="E200" s="1"/>
      <c r="F200" s="1">
        <f t="shared" ref="F200:F228" si="34">D200*E200</f>
        <v>0</v>
      </c>
      <c r="G200" s="1">
        <v>0</v>
      </c>
      <c r="H200" s="1">
        <f>G200*D200</f>
        <v>0</v>
      </c>
      <c r="I200" s="1"/>
      <c r="J200" s="1"/>
      <c r="K200" s="1">
        <f t="shared" si="27"/>
        <v>0</v>
      </c>
      <c r="M200" s="77">
        <f>VLOOKUP(B200,[1]ბიუჯეტი!$B:$K,3,FALSE)</f>
        <v>21.599999999999998</v>
      </c>
      <c r="N200" s="77">
        <f>VLOOKUP($B200,[1]ბიუჯეტი!$B:$K,4,FALSE)</f>
        <v>0</v>
      </c>
      <c r="O200" s="77">
        <f>VLOOKUP($B200,[1]ბიუჯეტი!$B:$K,5,FALSE)</f>
        <v>0</v>
      </c>
      <c r="P200" s="77">
        <f>VLOOKUP($B200,[1]ბიუჯეტი!$B:$K,6,FALSE)</f>
        <v>6.375</v>
      </c>
      <c r="Q200" s="77">
        <f>VLOOKUP($B200,[1]ბიუჯეტი!$B:$K,7,FALSE)</f>
        <v>137.69999999999999</v>
      </c>
      <c r="R200" s="77">
        <f>VLOOKUP($B200,[1]ბიუჯეტი!$B:$K,8,FALSE)</f>
        <v>0</v>
      </c>
      <c r="S200" s="77">
        <f>VLOOKUP($B200,[1]ბიუჯეტი!$B:$K,9,FALSE)</f>
        <v>0</v>
      </c>
      <c r="T200" s="77">
        <f>VLOOKUP($B200,[1]ბიუჯეტი!$B:$K,10,FALSE)</f>
        <v>137.69999999999999</v>
      </c>
      <c r="V200" s="78">
        <f t="shared" si="30"/>
        <v>0</v>
      </c>
      <c r="W200" s="78">
        <f t="shared" si="31"/>
        <v>-6.375</v>
      </c>
      <c r="X200" s="78">
        <f t="shared" si="32"/>
        <v>0</v>
      </c>
      <c r="Y200" s="97">
        <f t="shared" si="33"/>
        <v>580.67200000000003</v>
      </c>
    </row>
    <row r="201" spans="1:25" hidden="1" outlineLevel="1" x14ac:dyDescent="0.35">
      <c r="A201" s="51"/>
      <c r="B201" s="3" t="s">
        <v>380</v>
      </c>
      <c r="C201" s="4" t="s">
        <v>9</v>
      </c>
      <c r="D201" s="1">
        <f>D200</f>
        <v>602.27200000000005</v>
      </c>
      <c r="E201" s="1">
        <f>SUMIFS(მასალა!D28:D184,მასალა!B28:B184,ბიუჯეტი!B201)</f>
        <v>0.84745762711864414</v>
      </c>
      <c r="F201" s="1">
        <f t="shared" si="34"/>
        <v>510.40000000000009</v>
      </c>
      <c r="G201" s="1"/>
      <c r="H201" s="1">
        <f>D201*G201</f>
        <v>0</v>
      </c>
      <c r="I201" s="1"/>
      <c r="J201" s="1"/>
      <c r="K201" s="1">
        <f t="shared" si="27"/>
        <v>510.40000000000009</v>
      </c>
      <c r="M201" s="77">
        <f>VLOOKUP(B201,[1]ბიუჯეტი!$B:$K,3,FALSE)</f>
        <v>389.06399999999996</v>
      </c>
      <c r="N201" s="77">
        <f>VLOOKUP($B201,[1]ბიუჯეტი!$B:$K,4,FALSE)</f>
        <v>0.84745762711864414</v>
      </c>
      <c r="O201" s="77">
        <f>VLOOKUP($B201,[1]ბიუჯეტი!$B:$K,5,FALSE)</f>
        <v>329.71525423728815</v>
      </c>
      <c r="P201" s="77">
        <f>VLOOKUP($B201,[1]ბიუჯეტი!$B:$K,6,FALSE)</f>
        <v>0</v>
      </c>
      <c r="Q201" s="77">
        <f>VLOOKUP($B201,[1]ბიუჯეტი!$B:$K,7,FALSE)</f>
        <v>0</v>
      </c>
      <c r="R201" s="77">
        <f>VLOOKUP($B201,[1]ბიუჯეტი!$B:$K,8,FALSE)</f>
        <v>0</v>
      </c>
      <c r="S201" s="77">
        <f>VLOOKUP($B201,[1]ბიუჯეტი!$B:$K,9,FALSE)</f>
        <v>0</v>
      </c>
      <c r="T201" s="77">
        <f>VLOOKUP($B201,[1]ბიუჯეტი!$B:$K,10,FALSE)</f>
        <v>329.71525423728815</v>
      </c>
      <c r="V201" s="78">
        <f t="shared" si="30"/>
        <v>0</v>
      </c>
      <c r="W201" s="78">
        <f t="shared" si="31"/>
        <v>0</v>
      </c>
      <c r="X201" s="78">
        <f t="shared" si="32"/>
        <v>0</v>
      </c>
      <c r="Y201" s="97">
        <f t="shared" si="33"/>
        <v>213.20800000000008</v>
      </c>
    </row>
    <row r="202" spans="1:25" hidden="1" outlineLevel="1" x14ac:dyDescent="0.35">
      <c r="A202" s="51">
        <v>3</v>
      </c>
      <c r="B202" s="23" t="s">
        <v>66</v>
      </c>
      <c r="C202" s="4" t="s">
        <v>10</v>
      </c>
      <c r="D202" s="1">
        <f>სამუშაო!D46</f>
        <v>472.18099999999998</v>
      </c>
      <c r="E202" s="1"/>
      <c r="F202" s="1">
        <f t="shared" si="34"/>
        <v>0</v>
      </c>
      <c r="G202" s="1">
        <v>0</v>
      </c>
      <c r="H202" s="1">
        <f>G202*D202</f>
        <v>0</v>
      </c>
      <c r="I202" s="1"/>
      <c r="J202" s="1"/>
      <c r="K202" s="1">
        <f t="shared" si="27"/>
        <v>0</v>
      </c>
      <c r="M202" s="77">
        <f>VLOOKUP(B202,[1]ბიუჯეტი!$B:$K,3,FALSE)</f>
        <v>218.00000000000003</v>
      </c>
      <c r="N202" s="77">
        <f>VLOOKUP($B202,[1]ბიუჯეტი!$B:$K,4,FALSE)</f>
        <v>0</v>
      </c>
      <c r="O202" s="77">
        <f>VLOOKUP($B202,[1]ბიუჯეტი!$B:$K,5,FALSE)</f>
        <v>0</v>
      </c>
      <c r="P202" s="77">
        <f>VLOOKUP($B202,[1]ბიუჯეტი!$B:$K,6,FALSE)</f>
        <v>6.375</v>
      </c>
      <c r="Q202" s="77">
        <f>VLOOKUP($B202,[1]ბიუჯეტი!$B:$K,7,FALSE)</f>
        <v>1389.7500000000002</v>
      </c>
      <c r="R202" s="77">
        <f>VLOOKUP($B202,[1]ბიუჯეტი!$B:$K,8,FALSE)</f>
        <v>0</v>
      </c>
      <c r="S202" s="77">
        <f>VLOOKUP($B202,[1]ბიუჯეტი!$B:$K,9,FALSE)</f>
        <v>0</v>
      </c>
      <c r="T202" s="77">
        <f>VLOOKUP($B202,[1]ბიუჯეტი!$B:$K,10,FALSE)</f>
        <v>1389.7500000000002</v>
      </c>
      <c r="V202" s="78">
        <f t="shared" si="30"/>
        <v>0</v>
      </c>
      <c r="W202" s="78">
        <f t="shared" si="31"/>
        <v>-6.375</v>
      </c>
      <c r="X202" s="78">
        <f t="shared" si="32"/>
        <v>0</v>
      </c>
      <c r="Y202" s="97">
        <f t="shared" si="33"/>
        <v>254.18099999999995</v>
      </c>
    </row>
    <row r="203" spans="1:25" hidden="1" outlineLevel="1" x14ac:dyDescent="0.35">
      <c r="A203" s="51"/>
      <c r="B203" s="3" t="s">
        <v>380</v>
      </c>
      <c r="C203" s="4" t="s">
        <v>9</v>
      </c>
      <c r="D203" s="1">
        <f>D202</f>
        <v>472.18099999999998</v>
      </c>
      <c r="E203" s="1">
        <f>SUMIFS(მასალა!D31:D186,მასალა!B31:B186,ბიუჯეტი!B203)</f>
        <v>0.84745762711864414</v>
      </c>
      <c r="F203" s="1">
        <f t="shared" si="34"/>
        <v>400.1533898305085</v>
      </c>
      <c r="G203" s="1"/>
      <c r="H203" s="1">
        <f>D203*G203</f>
        <v>0</v>
      </c>
      <c r="I203" s="1"/>
      <c r="J203" s="1"/>
      <c r="K203" s="1">
        <f t="shared" si="27"/>
        <v>400.1533898305085</v>
      </c>
      <c r="M203" s="77">
        <f>VLOOKUP(B203,[1]ბიუჯეტი!$B:$K,3,FALSE)</f>
        <v>389.06399999999996</v>
      </c>
      <c r="N203" s="77">
        <f>VLOOKUP($B203,[1]ბიუჯეტი!$B:$K,4,FALSE)</f>
        <v>0.84745762711864414</v>
      </c>
      <c r="O203" s="77">
        <f>VLOOKUP($B203,[1]ბიუჯეტი!$B:$K,5,FALSE)</f>
        <v>329.71525423728815</v>
      </c>
      <c r="P203" s="77">
        <f>VLOOKUP($B203,[1]ბიუჯეტი!$B:$K,6,FALSE)</f>
        <v>0</v>
      </c>
      <c r="Q203" s="77">
        <f>VLOOKUP($B203,[1]ბიუჯეტი!$B:$K,7,FALSE)</f>
        <v>0</v>
      </c>
      <c r="R203" s="77">
        <f>VLOOKUP($B203,[1]ბიუჯეტი!$B:$K,8,FALSE)</f>
        <v>0</v>
      </c>
      <c r="S203" s="77">
        <f>VLOOKUP($B203,[1]ბიუჯეტი!$B:$K,9,FALSE)</f>
        <v>0</v>
      </c>
      <c r="T203" s="77">
        <f>VLOOKUP($B203,[1]ბიუჯეტი!$B:$K,10,FALSE)</f>
        <v>329.71525423728815</v>
      </c>
      <c r="V203" s="78">
        <f t="shared" si="30"/>
        <v>0</v>
      </c>
      <c r="W203" s="78">
        <f t="shared" si="31"/>
        <v>0</v>
      </c>
      <c r="X203" s="78">
        <f t="shared" si="32"/>
        <v>0</v>
      </c>
      <c r="Y203" s="97">
        <f t="shared" si="33"/>
        <v>83.117000000000019</v>
      </c>
    </row>
    <row r="204" spans="1:25" hidden="1" outlineLevel="1" x14ac:dyDescent="0.35">
      <c r="A204" s="51">
        <v>4</v>
      </c>
      <c r="B204" s="23" t="s">
        <v>167</v>
      </c>
      <c r="C204" s="4" t="s">
        <v>10</v>
      </c>
      <c r="D204" s="1">
        <f>სამუშაო!D47+სამუშაო!D48+სამუშაო!D49</f>
        <v>930.65399999999988</v>
      </c>
      <c r="E204" s="1"/>
      <c r="F204" s="1">
        <f t="shared" si="34"/>
        <v>0</v>
      </c>
      <c r="G204" s="1">
        <v>0</v>
      </c>
      <c r="H204" s="1">
        <f>G204*D204</f>
        <v>0</v>
      </c>
      <c r="I204" s="1"/>
      <c r="J204" s="1"/>
      <c r="K204" s="1">
        <f t="shared" si="27"/>
        <v>0</v>
      </c>
      <c r="M204" s="77">
        <f>VLOOKUP(B204,[1]ბიუჯეტი!$B:$K,3,FALSE)</f>
        <v>939.59399999999994</v>
      </c>
      <c r="N204" s="77">
        <f>VLOOKUP($B204,[1]ბიუჯეტი!$B:$K,4,FALSE)</f>
        <v>0</v>
      </c>
      <c r="O204" s="77">
        <f>VLOOKUP($B204,[1]ბიუჯეტი!$B:$K,5,FALSE)</f>
        <v>0</v>
      </c>
      <c r="P204" s="77">
        <f>VLOOKUP($B204,[1]ბიუჯეტი!$B:$K,6,FALSE)</f>
        <v>0</v>
      </c>
      <c r="Q204" s="77">
        <f>VLOOKUP($B204,[1]ბიუჯეტი!$B:$K,7,FALSE)</f>
        <v>0</v>
      </c>
      <c r="R204" s="77">
        <f>VLOOKUP($B204,[1]ბიუჯეტი!$B:$K,8,FALSE)</f>
        <v>0</v>
      </c>
      <c r="S204" s="77">
        <f>VLOOKUP($B204,[1]ბიუჯეტი!$B:$K,9,FALSE)</f>
        <v>0</v>
      </c>
      <c r="T204" s="77">
        <f>VLOOKUP($B204,[1]ბიუჯეტი!$B:$K,10,FALSE)</f>
        <v>0</v>
      </c>
      <c r="V204" s="78">
        <f t="shared" si="30"/>
        <v>0</v>
      </c>
      <c r="W204" s="78">
        <f t="shared" si="31"/>
        <v>0</v>
      </c>
      <c r="X204" s="78">
        <f t="shared" si="32"/>
        <v>0</v>
      </c>
      <c r="Y204" s="97">
        <f t="shared" si="33"/>
        <v>-8.9400000000000546</v>
      </c>
    </row>
    <row r="205" spans="1:25" hidden="1" outlineLevel="1" x14ac:dyDescent="0.35">
      <c r="A205" s="51"/>
      <c r="B205" s="3" t="s">
        <v>380</v>
      </c>
      <c r="C205" s="4" t="s">
        <v>9</v>
      </c>
      <c r="D205" s="1">
        <f>0.03*D204*1.05</f>
        <v>29.315600999999997</v>
      </c>
      <c r="E205" s="1">
        <f>SUMIFS(მასალა!D33:D188,მასალა!B33:B188,ბიუჯეტი!B205)</f>
        <v>0.84745762711864414</v>
      </c>
      <c r="F205" s="1">
        <f t="shared" si="34"/>
        <v>24.843729661016948</v>
      </c>
      <c r="G205" s="1"/>
      <c r="H205" s="1">
        <f>D205*G205</f>
        <v>0</v>
      </c>
      <c r="I205" s="1"/>
      <c r="J205" s="1"/>
      <c r="K205" s="1">
        <f t="shared" si="27"/>
        <v>24.843729661016948</v>
      </c>
      <c r="M205" s="77">
        <f>VLOOKUP(B205,[1]ბიუჯეტი!$B:$K,3,FALSE)</f>
        <v>389.06399999999996</v>
      </c>
      <c r="N205" s="77">
        <f>VLOOKUP($B205,[1]ბიუჯეტი!$B:$K,4,FALSE)</f>
        <v>0.84745762711864414</v>
      </c>
      <c r="O205" s="77">
        <f>VLOOKUP($B205,[1]ბიუჯეტი!$B:$K,5,FALSE)</f>
        <v>329.71525423728815</v>
      </c>
      <c r="P205" s="77">
        <f>VLOOKUP($B205,[1]ბიუჯეტი!$B:$K,6,FALSE)</f>
        <v>0</v>
      </c>
      <c r="Q205" s="77">
        <f>VLOOKUP($B205,[1]ბიუჯეტი!$B:$K,7,FALSE)</f>
        <v>0</v>
      </c>
      <c r="R205" s="77">
        <f>VLOOKUP($B205,[1]ბიუჯეტი!$B:$K,8,FALSE)</f>
        <v>0</v>
      </c>
      <c r="S205" s="77">
        <f>VLOOKUP($B205,[1]ბიუჯეტი!$B:$K,9,FALSE)</f>
        <v>0</v>
      </c>
      <c r="T205" s="77">
        <f>VLOOKUP($B205,[1]ბიუჯეტი!$B:$K,10,FALSE)</f>
        <v>329.71525423728815</v>
      </c>
      <c r="V205" s="78">
        <f t="shared" si="30"/>
        <v>0</v>
      </c>
      <c r="W205" s="78">
        <f t="shared" si="31"/>
        <v>0</v>
      </c>
      <c r="X205" s="78">
        <f t="shared" si="32"/>
        <v>0</v>
      </c>
      <c r="Y205" s="97">
        <f t="shared" si="33"/>
        <v>-359.74839899999995</v>
      </c>
    </row>
    <row r="206" spans="1:25" collapsed="1" x14ac:dyDescent="0.35">
      <c r="A206" s="51">
        <v>14</v>
      </c>
      <c r="B206" s="23" t="s">
        <v>69</v>
      </c>
      <c r="C206" s="4" t="s">
        <v>10</v>
      </c>
      <c r="D206" s="1">
        <f>SUM(D207,D210,D213)</f>
        <v>2005.107</v>
      </c>
      <c r="E206" s="1">
        <f>SUM(K214:K215,K211:K212,K208:K209,)/D206</f>
        <v>2.5568211432277175</v>
      </c>
      <c r="F206" s="1">
        <f t="shared" si="34"/>
        <v>5126.699972033899</v>
      </c>
      <c r="G206" s="1">
        <f>SUM(H207:H215)/D206</f>
        <v>19.125</v>
      </c>
      <c r="H206" s="1">
        <f>G206*D206</f>
        <v>38347.671374999998</v>
      </c>
      <c r="I206" s="1">
        <v>0</v>
      </c>
      <c r="J206" s="1">
        <v>0</v>
      </c>
      <c r="K206" s="1">
        <f t="shared" si="27"/>
        <v>43474.371347033899</v>
      </c>
      <c r="M206" s="77">
        <f>VLOOKUP(B206,[1]ბიუჯეტი!$B:$K,3,FALSE)</f>
        <v>1641.8559999999998</v>
      </c>
      <c r="N206" s="77">
        <f>VLOOKUP($B206,[1]ბიუჯეტი!$B:$K,4,FALSE)</f>
        <v>2.6229231967575681</v>
      </c>
      <c r="O206" s="77">
        <f>VLOOKUP($B206,[1]ბიუჯეტი!$B:$K,5,FALSE)</f>
        <v>4306.4621881355934</v>
      </c>
      <c r="P206" s="77">
        <f>VLOOKUP($B206,[1]ბიუჯეტი!$B:$K,6,FALSE)</f>
        <v>19.125</v>
      </c>
      <c r="Q206" s="77">
        <f>VLOOKUP($B206,[1]ბიუჯეტი!$B:$K,7,FALSE)</f>
        <v>31400.495999999996</v>
      </c>
      <c r="R206" s="77">
        <f>VLOOKUP($B206,[1]ბიუჯეტი!$B:$K,8,FALSE)</f>
        <v>0</v>
      </c>
      <c r="S206" s="77">
        <f>VLOOKUP($B206,[1]ბიუჯეტი!$B:$K,9,FALSE)</f>
        <v>0</v>
      </c>
      <c r="T206" s="77">
        <f>VLOOKUP($B206,[1]ბიუჯეტი!$B:$K,10,FALSE)</f>
        <v>35706.958188135592</v>
      </c>
      <c r="V206" s="78">
        <f t="shared" si="30"/>
        <v>-6.6102053529850657E-2</v>
      </c>
      <c r="W206" s="78">
        <f t="shared" si="31"/>
        <v>0</v>
      </c>
      <c r="X206" s="78">
        <f t="shared" si="32"/>
        <v>0</v>
      </c>
      <c r="Y206" s="97">
        <f t="shared" si="33"/>
        <v>363.2510000000002</v>
      </c>
    </row>
    <row r="207" spans="1:25" hidden="1" outlineLevel="1" x14ac:dyDescent="0.35">
      <c r="A207" s="51">
        <v>2</v>
      </c>
      <c r="B207" s="23" t="s">
        <v>168</v>
      </c>
      <c r="C207" s="4" t="s">
        <v>10</v>
      </c>
      <c r="D207" s="1">
        <f>სამუშაო!E45</f>
        <v>602.27200000000005</v>
      </c>
      <c r="E207" s="1"/>
      <c r="F207" s="1">
        <f t="shared" si="34"/>
        <v>0</v>
      </c>
      <c r="G207" s="1">
        <f>ხელფასი!D36</f>
        <v>19.125</v>
      </c>
      <c r="H207" s="1">
        <f>G207*D207</f>
        <v>11518.452000000001</v>
      </c>
      <c r="I207" s="1"/>
      <c r="J207" s="1"/>
      <c r="K207" s="1">
        <f t="shared" si="27"/>
        <v>11518.452000000001</v>
      </c>
      <c r="M207" s="77">
        <f>VLOOKUP(B207,[1]ბიუჯეტი!$B:$K,3,FALSE)</f>
        <v>389.06399999999996</v>
      </c>
      <c r="N207" s="77">
        <f>VLOOKUP($B207,[1]ბიუჯეტი!$B:$K,4,FALSE)</f>
        <v>0</v>
      </c>
      <c r="O207" s="77">
        <f>VLOOKUP($B207,[1]ბიუჯეტი!$B:$K,5,FALSE)</f>
        <v>0</v>
      </c>
      <c r="P207" s="77">
        <f>VLOOKUP($B207,[1]ბიუჯეტი!$B:$K,6,FALSE)</f>
        <v>19.125</v>
      </c>
      <c r="Q207" s="77">
        <f>VLOOKUP($B207,[1]ბიუჯეტი!$B:$K,7,FALSE)</f>
        <v>7440.8489999999993</v>
      </c>
      <c r="R207" s="77">
        <f>VLOOKUP($B207,[1]ბიუჯეტი!$B:$K,8,FALSE)</f>
        <v>0</v>
      </c>
      <c r="S207" s="77">
        <f>VLOOKUP($B207,[1]ბიუჯეტი!$B:$K,9,FALSE)</f>
        <v>0</v>
      </c>
      <c r="T207" s="77">
        <f>VLOOKUP($B207,[1]ბიუჯეტი!$B:$K,10,FALSE)</f>
        <v>7440.8489999999993</v>
      </c>
      <c r="V207" s="78">
        <f t="shared" si="30"/>
        <v>0</v>
      </c>
      <c r="W207" s="78">
        <f t="shared" si="31"/>
        <v>0</v>
      </c>
      <c r="X207" s="78">
        <f t="shared" si="32"/>
        <v>0</v>
      </c>
      <c r="Y207" s="97">
        <f t="shared" si="33"/>
        <v>213.20800000000008</v>
      </c>
    </row>
    <row r="208" spans="1:25" hidden="1" outlineLevel="1" x14ac:dyDescent="0.35">
      <c r="A208" s="51"/>
      <c r="B208" s="3" t="s">
        <v>70</v>
      </c>
      <c r="C208" s="4" t="s">
        <v>49</v>
      </c>
      <c r="D208" s="1">
        <f>D207*2*1.05/25</f>
        <v>50.590848000000008</v>
      </c>
      <c r="E208" s="1">
        <f>მასალა!D22</f>
        <v>13.983050847457628</v>
      </c>
      <c r="F208" s="1">
        <f t="shared" si="34"/>
        <v>707.41440000000011</v>
      </c>
      <c r="G208" s="1"/>
      <c r="H208" s="1">
        <f>D208*G208</f>
        <v>0</v>
      </c>
      <c r="I208" s="1"/>
      <c r="J208" s="1"/>
      <c r="K208" s="1">
        <f t="shared" si="27"/>
        <v>707.41440000000011</v>
      </c>
      <c r="M208" s="77">
        <f>VLOOKUP(B208,[1]ბიუჯეტი!$B:$K,3,FALSE)</f>
        <v>32.681376</v>
      </c>
      <c r="N208" s="77">
        <f>VLOOKUP($B208,[1]ბიუჯეტი!$B:$K,4,FALSE)</f>
        <v>13.983050847457628</v>
      </c>
      <c r="O208" s="77">
        <f>VLOOKUP($B208,[1]ბიუჯეტი!$B:$K,5,FALSE)</f>
        <v>456.98534237288141</v>
      </c>
      <c r="P208" s="77">
        <f>VLOOKUP($B208,[1]ბიუჯეტი!$B:$K,6,FALSE)</f>
        <v>0</v>
      </c>
      <c r="Q208" s="77">
        <f>VLOOKUP($B208,[1]ბიუჯეტი!$B:$K,7,FALSE)</f>
        <v>0</v>
      </c>
      <c r="R208" s="77">
        <f>VLOOKUP($B208,[1]ბიუჯეტი!$B:$K,8,FALSE)</f>
        <v>0</v>
      </c>
      <c r="S208" s="77">
        <f>VLOOKUP($B208,[1]ბიუჯეტი!$B:$K,9,FALSE)</f>
        <v>0</v>
      </c>
      <c r="T208" s="77">
        <f>VLOOKUP($B208,[1]ბიუჯეტი!$B:$K,10,FALSE)</f>
        <v>456.98534237288141</v>
      </c>
      <c r="V208" s="78">
        <f t="shared" si="30"/>
        <v>0</v>
      </c>
      <c r="W208" s="78">
        <f t="shared" si="31"/>
        <v>0</v>
      </c>
      <c r="X208" s="78">
        <f t="shared" si="32"/>
        <v>0</v>
      </c>
      <c r="Y208" s="97">
        <f t="shared" si="33"/>
        <v>17.909472000000008</v>
      </c>
    </row>
    <row r="209" spans="1:25" hidden="1" outlineLevel="1" x14ac:dyDescent="0.35">
      <c r="A209" s="51"/>
      <c r="B209" s="3" t="s">
        <v>381</v>
      </c>
      <c r="C209" s="4" t="s">
        <v>10</v>
      </c>
      <c r="D209" s="1">
        <f>D207</f>
        <v>602.27200000000005</v>
      </c>
      <c r="E209" s="1">
        <f>SUMIFS(მასალა!D37:D192,მასალა!B37:B192,ბიუჯეტი!B209)</f>
        <v>0.84745762711864414</v>
      </c>
      <c r="F209" s="1">
        <f t="shared" si="34"/>
        <v>510.40000000000009</v>
      </c>
      <c r="G209" s="1"/>
      <c r="H209" s="1">
        <f>D209*G209</f>
        <v>0</v>
      </c>
      <c r="I209" s="1"/>
      <c r="J209" s="1"/>
      <c r="K209" s="1">
        <f t="shared" si="27"/>
        <v>510.40000000000009</v>
      </c>
      <c r="M209" s="77">
        <f>VLOOKUP(B209,[1]ბიუჯეტი!$B:$K,3,FALSE)</f>
        <v>389.06399999999996</v>
      </c>
      <c r="N209" s="77">
        <f>VLOOKUP($B209,[1]ბიუჯეტი!$B:$K,4,FALSE)</f>
        <v>0.84745762711864414</v>
      </c>
      <c r="O209" s="77">
        <f>VLOOKUP($B209,[1]ბიუჯეტი!$B:$K,5,FALSE)</f>
        <v>329.71525423728815</v>
      </c>
      <c r="P209" s="77">
        <f>VLOOKUP($B209,[1]ბიუჯეტი!$B:$K,6,FALSE)</f>
        <v>0</v>
      </c>
      <c r="Q209" s="77">
        <f>VLOOKUP($B209,[1]ბიუჯეტი!$B:$K,7,FALSE)</f>
        <v>0</v>
      </c>
      <c r="R209" s="77">
        <f>VLOOKUP($B209,[1]ბიუჯეტი!$B:$K,8,FALSE)</f>
        <v>0</v>
      </c>
      <c r="S209" s="77">
        <f>VLOOKUP($B209,[1]ბიუჯეტი!$B:$K,9,FALSE)</f>
        <v>0</v>
      </c>
      <c r="T209" s="77">
        <f>VLOOKUP($B209,[1]ბიუჯეტი!$B:$K,10,FALSE)</f>
        <v>329.71525423728815</v>
      </c>
      <c r="V209" s="78">
        <f t="shared" si="30"/>
        <v>0</v>
      </c>
      <c r="W209" s="78">
        <f t="shared" si="31"/>
        <v>0</v>
      </c>
      <c r="X209" s="78">
        <f t="shared" si="32"/>
        <v>0</v>
      </c>
      <c r="Y209" s="97">
        <f t="shared" si="33"/>
        <v>213.20800000000008</v>
      </c>
    </row>
    <row r="210" spans="1:25" hidden="1" outlineLevel="1" x14ac:dyDescent="0.35">
      <c r="A210" s="51">
        <v>3</v>
      </c>
      <c r="B210" s="23" t="s">
        <v>71</v>
      </c>
      <c r="C210" s="4" t="s">
        <v>10</v>
      </c>
      <c r="D210" s="1">
        <f>სამუშაო!E46</f>
        <v>472.18099999999998</v>
      </c>
      <c r="E210" s="1"/>
      <c r="F210" s="1">
        <f t="shared" si="34"/>
        <v>0</v>
      </c>
      <c r="G210" s="1">
        <f>ხელფასი!D36</f>
        <v>19.125</v>
      </c>
      <c r="H210" s="1">
        <f>G210*D210</f>
        <v>9030.4616249999999</v>
      </c>
      <c r="I210" s="1"/>
      <c r="J210" s="1"/>
      <c r="K210" s="1">
        <f t="shared" si="27"/>
        <v>9030.4616249999999</v>
      </c>
      <c r="M210" s="77">
        <f>VLOOKUP(B210,[1]ბიუჯეტი!$B:$K,3,FALSE)</f>
        <v>313.19799999999998</v>
      </c>
      <c r="N210" s="77">
        <f>VLOOKUP($B210,[1]ბიუჯეტი!$B:$K,4,FALSE)</f>
        <v>0</v>
      </c>
      <c r="O210" s="77">
        <f>VLOOKUP($B210,[1]ბიუჯეტი!$B:$K,5,FALSE)</f>
        <v>0</v>
      </c>
      <c r="P210" s="77">
        <f>VLOOKUP($B210,[1]ბიუჯეტი!$B:$K,6,FALSE)</f>
        <v>19.125</v>
      </c>
      <c r="Q210" s="77">
        <f>VLOOKUP($B210,[1]ბიუჯეტი!$B:$K,7,FALSE)</f>
        <v>5989.9117499999993</v>
      </c>
      <c r="R210" s="77">
        <f>VLOOKUP($B210,[1]ბიუჯეტი!$B:$K,8,FALSE)</f>
        <v>0</v>
      </c>
      <c r="S210" s="77">
        <f>VLOOKUP($B210,[1]ბიუჯეტი!$B:$K,9,FALSE)</f>
        <v>0</v>
      </c>
      <c r="T210" s="77">
        <f>VLOOKUP($B210,[1]ბიუჯეტი!$B:$K,10,FALSE)</f>
        <v>5989.9117499999993</v>
      </c>
      <c r="V210" s="78">
        <f t="shared" si="30"/>
        <v>0</v>
      </c>
      <c r="W210" s="78">
        <f t="shared" si="31"/>
        <v>0</v>
      </c>
      <c r="X210" s="78">
        <f t="shared" si="32"/>
        <v>0</v>
      </c>
      <c r="Y210" s="97">
        <f t="shared" si="33"/>
        <v>158.983</v>
      </c>
    </row>
    <row r="211" spans="1:25" hidden="1" outlineLevel="1" x14ac:dyDescent="0.35">
      <c r="A211" s="51"/>
      <c r="B211" s="3" t="s">
        <v>70</v>
      </c>
      <c r="C211" s="4" t="s">
        <v>49</v>
      </c>
      <c r="D211" s="1">
        <f>D210*3*1.05/25</f>
        <v>59.494805999999997</v>
      </c>
      <c r="E211" s="1">
        <f>მასალა!D22</f>
        <v>13.983050847457628</v>
      </c>
      <c r="F211" s="1">
        <f t="shared" si="34"/>
        <v>831.91889745762717</v>
      </c>
      <c r="G211" s="1"/>
      <c r="H211" s="1">
        <f>D211*G211</f>
        <v>0</v>
      </c>
      <c r="I211" s="1"/>
      <c r="J211" s="1"/>
      <c r="K211" s="1">
        <f t="shared" si="27"/>
        <v>831.91889745762717</v>
      </c>
      <c r="M211" s="77">
        <f>VLOOKUP(B211,[1]ბიუჯეტი!$B:$K,3,FALSE)</f>
        <v>32.681376</v>
      </c>
      <c r="N211" s="77">
        <f>VLOOKUP($B211,[1]ბიუჯეტი!$B:$K,4,FALSE)</f>
        <v>13.983050847457628</v>
      </c>
      <c r="O211" s="77">
        <f>VLOOKUP($B211,[1]ბიუჯეტი!$B:$K,5,FALSE)</f>
        <v>456.98534237288141</v>
      </c>
      <c r="P211" s="77">
        <f>VLOOKUP($B211,[1]ბიუჯეტი!$B:$K,6,FALSE)</f>
        <v>0</v>
      </c>
      <c r="Q211" s="77">
        <f>VLOOKUP($B211,[1]ბიუჯეტი!$B:$K,7,FALSE)</f>
        <v>0</v>
      </c>
      <c r="R211" s="77">
        <f>VLOOKUP($B211,[1]ბიუჯეტი!$B:$K,8,FALSE)</f>
        <v>0</v>
      </c>
      <c r="S211" s="77">
        <f>VLOOKUP($B211,[1]ბიუჯეტი!$B:$K,9,FALSE)</f>
        <v>0</v>
      </c>
      <c r="T211" s="77">
        <f>VLOOKUP($B211,[1]ბიუჯეტი!$B:$K,10,FALSE)</f>
        <v>456.98534237288141</v>
      </c>
      <c r="V211" s="78">
        <f t="shared" si="30"/>
        <v>0</v>
      </c>
      <c r="W211" s="78">
        <f t="shared" si="31"/>
        <v>0</v>
      </c>
      <c r="X211" s="78">
        <f t="shared" si="32"/>
        <v>0</v>
      </c>
      <c r="Y211" s="97">
        <f t="shared" si="33"/>
        <v>26.813429999999997</v>
      </c>
    </row>
    <row r="212" spans="1:25" hidden="1" outlineLevel="1" x14ac:dyDescent="0.35">
      <c r="A212" s="51"/>
      <c r="B212" s="3" t="s">
        <v>381</v>
      </c>
      <c r="C212" s="4" t="s">
        <v>10</v>
      </c>
      <c r="D212" s="1">
        <f>D210</f>
        <v>472.18099999999998</v>
      </c>
      <c r="E212" s="1">
        <f>SUMIFS(მასალა!D40:D195,მასალა!B40:B195,ბიუჯეტი!B212)</f>
        <v>0.84745762711864414</v>
      </c>
      <c r="F212" s="1">
        <f t="shared" si="34"/>
        <v>400.1533898305085</v>
      </c>
      <c r="G212" s="1"/>
      <c r="H212" s="1">
        <f>D212*G212</f>
        <v>0</v>
      </c>
      <c r="I212" s="1"/>
      <c r="J212" s="1"/>
      <c r="K212" s="1">
        <f t="shared" si="27"/>
        <v>400.1533898305085</v>
      </c>
      <c r="M212" s="77">
        <f>VLOOKUP(B212,[1]ბიუჯეტი!$B:$K,3,FALSE)</f>
        <v>389.06399999999996</v>
      </c>
      <c r="N212" s="77">
        <f>VLOOKUP($B212,[1]ბიუჯეტი!$B:$K,4,FALSE)</f>
        <v>0.84745762711864414</v>
      </c>
      <c r="O212" s="77">
        <f>VLOOKUP($B212,[1]ბიუჯეტი!$B:$K,5,FALSE)</f>
        <v>329.71525423728815</v>
      </c>
      <c r="P212" s="77">
        <f>VLOOKUP($B212,[1]ბიუჯეტი!$B:$K,6,FALSE)</f>
        <v>0</v>
      </c>
      <c r="Q212" s="77">
        <f>VLOOKUP($B212,[1]ბიუჯეტი!$B:$K,7,FALSE)</f>
        <v>0</v>
      </c>
      <c r="R212" s="77">
        <f>VLOOKUP($B212,[1]ბიუჯეტი!$B:$K,8,FALSE)</f>
        <v>0</v>
      </c>
      <c r="S212" s="77">
        <f>VLOOKUP($B212,[1]ბიუჯეტი!$B:$K,9,FALSE)</f>
        <v>0</v>
      </c>
      <c r="T212" s="77">
        <f>VLOOKUP($B212,[1]ბიუჯეტი!$B:$K,10,FALSE)</f>
        <v>329.71525423728815</v>
      </c>
      <c r="V212" s="78">
        <f t="shared" si="30"/>
        <v>0</v>
      </c>
      <c r="W212" s="78">
        <f t="shared" si="31"/>
        <v>0</v>
      </c>
      <c r="X212" s="78">
        <f t="shared" si="32"/>
        <v>0</v>
      </c>
      <c r="Y212" s="97">
        <f t="shared" si="33"/>
        <v>83.117000000000019</v>
      </c>
    </row>
    <row r="213" spans="1:25" hidden="1" outlineLevel="1" x14ac:dyDescent="0.35">
      <c r="A213" s="51">
        <v>4</v>
      </c>
      <c r="B213" s="23" t="s">
        <v>169</v>
      </c>
      <c r="C213" s="4" t="s">
        <v>10</v>
      </c>
      <c r="D213" s="1">
        <f>სამუშაო!E47+სამუშაო!E48+სამუშაო!E49</f>
        <v>930.65399999999988</v>
      </c>
      <c r="E213" s="1"/>
      <c r="F213" s="1">
        <f t="shared" si="34"/>
        <v>0</v>
      </c>
      <c r="G213" s="1">
        <f>ხელფასი!D36</f>
        <v>19.125</v>
      </c>
      <c r="H213" s="1">
        <f>G213*D213</f>
        <v>17798.757749999997</v>
      </c>
      <c r="I213" s="1"/>
      <c r="J213" s="1"/>
      <c r="K213" s="1">
        <f t="shared" si="27"/>
        <v>17798.757749999997</v>
      </c>
      <c r="M213" s="77">
        <f>VLOOKUP(B213,[1]ბიუჯეტი!$B:$K,3,FALSE)</f>
        <v>939.59399999999994</v>
      </c>
      <c r="N213" s="77">
        <f>VLOOKUP($B213,[1]ბიუჯეტი!$B:$K,4,FALSE)</f>
        <v>0</v>
      </c>
      <c r="O213" s="77">
        <f>VLOOKUP($B213,[1]ბიუჯეტი!$B:$K,5,FALSE)</f>
        <v>0</v>
      </c>
      <c r="P213" s="77">
        <f>VLOOKUP($B213,[1]ბიუჯეტი!$B:$K,6,FALSE)</f>
        <v>19.125</v>
      </c>
      <c r="Q213" s="77">
        <f>VLOOKUP($B213,[1]ბიუჯეტი!$B:$K,7,FALSE)</f>
        <v>17969.735249999998</v>
      </c>
      <c r="R213" s="77">
        <f>VLOOKUP($B213,[1]ბიუჯეტი!$B:$K,8,FALSE)</f>
        <v>0</v>
      </c>
      <c r="S213" s="77">
        <f>VLOOKUP($B213,[1]ბიუჯეტი!$B:$K,9,FALSE)</f>
        <v>0</v>
      </c>
      <c r="T213" s="77">
        <f>VLOOKUP($B213,[1]ბიუჯეტი!$B:$K,10,FALSE)</f>
        <v>17969.735249999998</v>
      </c>
      <c r="V213" s="78">
        <f t="shared" si="30"/>
        <v>0</v>
      </c>
      <c r="W213" s="78">
        <f t="shared" si="31"/>
        <v>0</v>
      </c>
      <c r="X213" s="78">
        <f t="shared" si="32"/>
        <v>0</v>
      </c>
      <c r="Y213" s="97">
        <f t="shared" si="33"/>
        <v>-8.9400000000000546</v>
      </c>
    </row>
    <row r="214" spans="1:25" hidden="1" outlineLevel="1" x14ac:dyDescent="0.35">
      <c r="A214" s="51"/>
      <c r="B214" s="3" t="s">
        <v>70</v>
      </c>
      <c r="C214" s="4" t="s">
        <v>49</v>
      </c>
      <c r="D214" s="1">
        <f>D213*3*1.05/25</f>
        <v>117.26240399999999</v>
      </c>
      <c r="E214" s="1">
        <f>19/1.18</f>
        <v>16.101694915254239</v>
      </c>
      <c r="F214" s="1">
        <f t="shared" si="34"/>
        <v>1888.1234542372881</v>
      </c>
      <c r="G214" s="1"/>
      <c r="H214" s="1">
        <f>D214*G214</f>
        <v>0</v>
      </c>
      <c r="I214" s="1"/>
      <c r="J214" s="1"/>
      <c r="K214" s="1">
        <f t="shared" si="27"/>
        <v>1888.1234542372881</v>
      </c>
      <c r="M214" s="77">
        <f>VLOOKUP(B214,[1]ბიუჯეტი!$B:$K,3,FALSE)</f>
        <v>32.681376</v>
      </c>
      <c r="N214" s="77">
        <f>VLOOKUP($B214,[1]ბიუჯეტი!$B:$K,4,FALSE)</f>
        <v>13.983050847457628</v>
      </c>
      <c r="O214" s="77">
        <f>VLOOKUP($B214,[1]ბიუჯეტი!$B:$K,5,FALSE)</f>
        <v>456.98534237288141</v>
      </c>
      <c r="P214" s="77">
        <f>VLOOKUP($B214,[1]ბიუჯეტი!$B:$K,6,FALSE)</f>
        <v>0</v>
      </c>
      <c r="Q214" s="77">
        <f>VLOOKUP($B214,[1]ბიუჯეტი!$B:$K,7,FALSE)</f>
        <v>0</v>
      </c>
      <c r="R214" s="77">
        <f>VLOOKUP($B214,[1]ბიუჯეტი!$B:$K,8,FALSE)</f>
        <v>0</v>
      </c>
      <c r="S214" s="77">
        <f>VLOOKUP($B214,[1]ბიუჯეტი!$B:$K,9,FALSE)</f>
        <v>0</v>
      </c>
      <c r="T214" s="77">
        <f>VLOOKUP($B214,[1]ბიუჯეტი!$B:$K,10,FALSE)</f>
        <v>456.98534237288141</v>
      </c>
      <c r="V214" s="78">
        <f t="shared" si="30"/>
        <v>2.1186440677966107</v>
      </c>
      <c r="W214" s="78">
        <f t="shared" si="31"/>
        <v>0</v>
      </c>
      <c r="X214" s="78">
        <f t="shared" si="32"/>
        <v>0</v>
      </c>
      <c r="Y214" s="97">
        <f t="shared" si="33"/>
        <v>84.581027999999989</v>
      </c>
    </row>
    <row r="215" spans="1:25" hidden="1" outlineLevel="1" x14ac:dyDescent="0.35">
      <c r="A215" s="51"/>
      <c r="B215" s="3" t="s">
        <v>381</v>
      </c>
      <c r="C215" s="4" t="s">
        <v>10</v>
      </c>
      <c r="D215" s="1">
        <f>D213</f>
        <v>930.65399999999988</v>
      </c>
      <c r="E215" s="1">
        <f>SUMIFS(მასალა!D43:D198,მასალა!B43:B198,ბიუჯეტი!B215)</f>
        <v>0.84745762711864414</v>
      </c>
      <c r="F215" s="1">
        <f t="shared" si="34"/>
        <v>788.68983050847453</v>
      </c>
      <c r="G215" s="1"/>
      <c r="H215" s="1">
        <f>D215*G215</f>
        <v>0</v>
      </c>
      <c r="I215" s="1"/>
      <c r="J215" s="1"/>
      <c r="K215" s="1">
        <f t="shared" si="27"/>
        <v>788.68983050847453</v>
      </c>
      <c r="M215" s="77">
        <f>VLOOKUP(B215,[1]ბიუჯეტი!$B:$K,3,FALSE)</f>
        <v>389.06399999999996</v>
      </c>
      <c r="N215" s="77">
        <f>VLOOKUP($B215,[1]ბიუჯეტი!$B:$K,4,FALSE)</f>
        <v>0.84745762711864414</v>
      </c>
      <c r="O215" s="77">
        <f>VLOOKUP($B215,[1]ბიუჯეტი!$B:$K,5,FALSE)</f>
        <v>329.71525423728815</v>
      </c>
      <c r="P215" s="77">
        <f>VLOOKUP($B215,[1]ბიუჯეტი!$B:$K,6,FALSE)</f>
        <v>0</v>
      </c>
      <c r="Q215" s="77">
        <f>VLOOKUP($B215,[1]ბიუჯეტი!$B:$K,7,FALSE)</f>
        <v>0</v>
      </c>
      <c r="R215" s="77">
        <f>VLOOKUP($B215,[1]ბიუჯეტი!$B:$K,8,FALSE)</f>
        <v>0</v>
      </c>
      <c r="S215" s="77">
        <f>VLOOKUP($B215,[1]ბიუჯეტი!$B:$K,9,FALSE)</f>
        <v>0</v>
      </c>
      <c r="T215" s="77">
        <f>VLOOKUP($B215,[1]ბიუჯეტი!$B:$K,10,FALSE)</f>
        <v>329.71525423728815</v>
      </c>
      <c r="V215" s="78">
        <f t="shared" si="30"/>
        <v>0</v>
      </c>
      <c r="W215" s="78">
        <f t="shared" si="31"/>
        <v>0</v>
      </c>
      <c r="X215" s="78">
        <f t="shared" si="32"/>
        <v>0</v>
      </c>
      <c r="Y215" s="97">
        <f t="shared" si="33"/>
        <v>541.58999999999992</v>
      </c>
    </row>
    <row r="216" spans="1:25" collapsed="1" x14ac:dyDescent="0.35">
      <c r="A216" s="51">
        <v>15</v>
      </c>
      <c r="B216" s="23" t="s">
        <v>72</v>
      </c>
      <c r="C216" s="4" t="s">
        <v>10</v>
      </c>
      <c r="D216" s="1">
        <f>SUM(D217,D221,D225)</f>
        <v>2005.107</v>
      </c>
      <c r="E216" s="1">
        <f>SUM(K218:K220,K222:K224,K226:K228)/D216</f>
        <v>9.1970054195425561</v>
      </c>
      <c r="F216" s="1">
        <f t="shared" si="34"/>
        <v>18440.979945762716</v>
      </c>
      <c r="G216" s="1">
        <f>SUM(H217,H221,H225)/D216</f>
        <v>8.9249999999999989</v>
      </c>
      <c r="H216" s="1">
        <f>G216*D216</f>
        <v>17895.579974999997</v>
      </c>
      <c r="I216" s="1">
        <v>0</v>
      </c>
      <c r="J216" s="1">
        <v>0</v>
      </c>
      <c r="K216" s="1">
        <f t="shared" si="27"/>
        <v>36336.559920762709</v>
      </c>
      <c r="M216" s="77">
        <f>VLOOKUP(B216,[1]ბიუჯეტი!$B:$K,3,FALSE)</f>
        <v>1641.8559999999998</v>
      </c>
      <c r="N216" s="77">
        <f>VLOOKUP($B216,[1]ბიუჯეტი!$B:$K,4,FALSE)</f>
        <v>9.5368027155378048</v>
      </c>
      <c r="O216" s="77">
        <f>VLOOKUP($B216,[1]ბიუჯეტი!$B:$K,5,FALSE)</f>
        <v>15658.056759322037</v>
      </c>
      <c r="P216" s="77">
        <f>VLOOKUP($B216,[1]ბიუჯეტი!$B:$K,6,FALSE)</f>
        <v>8.9249999999999989</v>
      </c>
      <c r="Q216" s="77">
        <f>VLOOKUP($B216,[1]ბიუჯეტი!$B:$K,7,FALSE)</f>
        <v>14653.564799999996</v>
      </c>
      <c r="R216" s="77">
        <f>VLOOKUP($B216,[1]ბიუჯეტი!$B:$K,8,FALSE)</f>
        <v>0</v>
      </c>
      <c r="S216" s="77">
        <f>VLOOKUP($B216,[1]ბიუჯეტი!$B:$K,9,FALSE)</f>
        <v>0</v>
      </c>
      <c r="T216" s="77">
        <f>VLOOKUP($B216,[1]ბიუჯეტი!$B:$K,10,FALSE)</f>
        <v>30311.621559322033</v>
      </c>
      <c r="V216" s="78">
        <f t="shared" si="30"/>
        <v>-0.33979729599524866</v>
      </c>
      <c r="W216" s="78">
        <f t="shared" si="31"/>
        <v>0</v>
      </c>
      <c r="X216" s="78">
        <f t="shared" si="32"/>
        <v>0</v>
      </c>
      <c r="Y216" s="97">
        <f t="shared" si="33"/>
        <v>363.2510000000002</v>
      </c>
    </row>
    <row r="217" spans="1:25" hidden="1" outlineLevel="1" x14ac:dyDescent="0.35">
      <c r="A217" s="51">
        <v>2</v>
      </c>
      <c r="B217" s="23" t="s">
        <v>73</v>
      </c>
      <c r="C217" s="4" t="s">
        <v>10</v>
      </c>
      <c r="D217" s="1">
        <f>D207</f>
        <v>602.27200000000005</v>
      </c>
      <c r="E217" s="1"/>
      <c r="F217" s="1">
        <f t="shared" si="34"/>
        <v>0</v>
      </c>
      <c r="G217" s="1">
        <f>ხელფასი!D37</f>
        <v>8.9249999999999989</v>
      </c>
      <c r="H217" s="1">
        <f t="shared" ref="H217:H228" si="35">D217*G217</f>
        <v>5375.2775999999994</v>
      </c>
      <c r="I217" s="1"/>
      <c r="J217" s="1"/>
      <c r="K217" s="1">
        <f t="shared" si="27"/>
        <v>5375.2775999999994</v>
      </c>
      <c r="M217" s="77">
        <f>VLOOKUP(B217,[1]ბიუჯეტი!$B:$K,3,FALSE)</f>
        <v>389.06399999999996</v>
      </c>
      <c r="N217" s="77">
        <f>VLOOKUP($B217,[1]ბიუჯეტი!$B:$K,4,FALSE)</f>
        <v>0</v>
      </c>
      <c r="O217" s="77">
        <f>VLOOKUP($B217,[1]ბიუჯეტი!$B:$K,5,FALSE)</f>
        <v>0</v>
      </c>
      <c r="P217" s="77">
        <f>VLOOKUP($B217,[1]ბიუჯეტი!$B:$K,6,FALSE)</f>
        <v>8.9249999999999989</v>
      </c>
      <c r="Q217" s="77">
        <f>VLOOKUP($B217,[1]ბიუჯეტი!$B:$K,7,FALSE)</f>
        <v>3472.3961999999992</v>
      </c>
      <c r="R217" s="77">
        <f>VLOOKUP($B217,[1]ბიუჯეტი!$B:$K,8,FALSE)</f>
        <v>0</v>
      </c>
      <c r="S217" s="77">
        <f>VLOOKUP($B217,[1]ბიუჯეტი!$B:$K,9,FALSE)</f>
        <v>0</v>
      </c>
      <c r="T217" s="77">
        <f>VLOOKUP($B217,[1]ბიუჯეტი!$B:$K,10,FALSE)</f>
        <v>3472.3961999999992</v>
      </c>
      <c r="V217" s="78">
        <f t="shared" si="30"/>
        <v>0</v>
      </c>
      <c r="W217" s="78">
        <f t="shared" si="31"/>
        <v>0</v>
      </c>
      <c r="X217" s="78">
        <f t="shared" si="32"/>
        <v>0</v>
      </c>
      <c r="Y217" s="78">
        <f t="shared" si="33"/>
        <v>213.20800000000008</v>
      </c>
    </row>
    <row r="218" spans="1:25" hidden="1" outlineLevel="1" x14ac:dyDescent="0.35">
      <c r="A218" s="51"/>
      <c r="B218" s="3" t="s">
        <v>74</v>
      </c>
      <c r="C218" s="4" t="s">
        <v>75</v>
      </c>
      <c r="D218" s="1">
        <f>D217*0.1*2</f>
        <v>120.45440000000002</v>
      </c>
      <c r="E218" s="1">
        <f>მასალა!D79</f>
        <v>21.101694915254239</v>
      </c>
      <c r="F218" s="1">
        <f t="shared" si="34"/>
        <v>2541.7920000000008</v>
      </c>
      <c r="G218" s="1"/>
      <c r="H218" s="1">
        <f t="shared" si="35"/>
        <v>0</v>
      </c>
      <c r="I218" s="1"/>
      <c r="J218" s="1"/>
      <c r="K218" s="1">
        <f t="shared" ref="K218:K281" si="36">F218+H218+J218</f>
        <v>2541.7920000000008</v>
      </c>
      <c r="M218" s="77">
        <f>VLOOKUP(B218,[1]ბიუჯეტი!$B:$K,3,FALSE)</f>
        <v>77.812799999999996</v>
      </c>
      <c r="N218" s="77">
        <f>VLOOKUP($B218,[1]ბიუჯეტი!$B:$K,4,FALSE)</f>
        <v>21.101694915254239</v>
      </c>
      <c r="O218" s="77">
        <f>VLOOKUP($B218,[1]ბიუჯეტი!$B:$K,5,FALSE)</f>
        <v>1641.981966101695</v>
      </c>
      <c r="P218" s="77">
        <f>VLOOKUP($B218,[1]ბიუჯეტი!$B:$K,6,FALSE)</f>
        <v>0</v>
      </c>
      <c r="Q218" s="77">
        <f>VLOOKUP($B218,[1]ბიუჯეტი!$B:$K,7,FALSE)</f>
        <v>0</v>
      </c>
      <c r="R218" s="77">
        <f>VLOOKUP($B218,[1]ბიუჯეტი!$B:$K,8,FALSE)</f>
        <v>0</v>
      </c>
      <c r="S218" s="77">
        <f>VLOOKUP($B218,[1]ბიუჯეტი!$B:$K,9,FALSE)</f>
        <v>0</v>
      </c>
      <c r="T218" s="77">
        <f>VLOOKUP($B218,[1]ბიუჯეტი!$B:$K,10,FALSE)</f>
        <v>1641.981966101695</v>
      </c>
      <c r="V218" s="78">
        <f t="shared" si="30"/>
        <v>0</v>
      </c>
      <c r="W218" s="78">
        <f t="shared" si="31"/>
        <v>0</v>
      </c>
      <c r="X218" s="78">
        <f t="shared" si="32"/>
        <v>0</v>
      </c>
      <c r="Y218" s="78">
        <f t="shared" si="33"/>
        <v>42.641600000000025</v>
      </c>
    </row>
    <row r="219" spans="1:25" hidden="1" outlineLevel="1" x14ac:dyDescent="0.35">
      <c r="A219" s="51"/>
      <c r="B219" s="3" t="s">
        <v>374</v>
      </c>
      <c r="C219" s="4" t="s">
        <v>75</v>
      </c>
      <c r="D219" s="1">
        <f>D218*0.1*2</f>
        <v>24.090880000000006</v>
      </c>
      <c r="E219" s="1">
        <f>მასალა!D77</f>
        <v>9.4915254237288131</v>
      </c>
      <c r="F219" s="1">
        <f>D219*E219</f>
        <v>228.65920000000006</v>
      </c>
      <c r="G219" s="1"/>
      <c r="H219" s="1">
        <f>D219*G219</f>
        <v>0</v>
      </c>
      <c r="I219" s="1"/>
      <c r="J219" s="1"/>
      <c r="K219" s="1">
        <f t="shared" si="36"/>
        <v>228.65920000000006</v>
      </c>
      <c r="M219" s="77">
        <f>VLOOKUP(B219,[1]ბიუჯეტი!$B:$K,3,FALSE)</f>
        <v>28</v>
      </c>
      <c r="N219" s="77">
        <f>VLOOKUP($B219,[1]ბიუჯეტი!$B:$K,4,FALSE)</f>
        <v>9.4915254237288131</v>
      </c>
      <c r="O219" s="77">
        <f>VLOOKUP($B219,[1]ბიუჯეტი!$B:$K,5,FALSE)</f>
        <v>265.76271186440675</v>
      </c>
      <c r="P219" s="77">
        <f>VLOOKUP($B219,[1]ბიუჯეტი!$B:$K,6,FALSE)</f>
        <v>0</v>
      </c>
      <c r="Q219" s="77">
        <f>VLOOKUP($B219,[1]ბიუჯეტი!$B:$K,7,FALSE)</f>
        <v>0</v>
      </c>
      <c r="R219" s="77">
        <f>VLOOKUP($B219,[1]ბიუჯეტი!$B:$K,8,FALSE)</f>
        <v>0</v>
      </c>
      <c r="S219" s="77">
        <f>VLOOKUP($B219,[1]ბიუჯეტი!$B:$K,9,FALSE)</f>
        <v>0</v>
      </c>
      <c r="T219" s="77">
        <f>VLOOKUP($B219,[1]ბიუჯეტი!$B:$K,10,FALSE)</f>
        <v>265.76271186440675</v>
      </c>
      <c r="V219" s="78">
        <f t="shared" si="30"/>
        <v>0</v>
      </c>
      <c r="W219" s="78">
        <f t="shared" si="31"/>
        <v>0</v>
      </c>
      <c r="X219" s="78">
        <f t="shared" si="32"/>
        <v>0</v>
      </c>
      <c r="Y219" s="78">
        <f t="shared" si="33"/>
        <v>-3.9091199999999944</v>
      </c>
    </row>
    <row r="220" spans="1:25" hidden="1" outlineLevel="1" x14ac:dyDescent="0.35">
      <c r="A220" s="51"/>
      <c r="B220" s="3" t="s">
        <v>382</v>
      </c>
      <c r="C220" s="4" t="s">
        <v>10</v>
      </c>
      <c r="D220" s="1">
        <f>D217</f>
        <v>602.27200000000005</v>
      </c>
      <c r="E220" s="1">
        <f>SUMIFS(მასალა!D48:D203,მასალა!B48:B203,ბიუჯეტი!B220)</f>
        <v>0.84745762711864414</v>
      </c>
      <c r="F220" s="1">
        <f t="shared" si="34"/>
        <v>510.40000000000009</v>
      </c>
      <c r="G220" s="1"/>
      <c r="H220" s="1">
        <f t="shared" si="35"/>
        <v>0</v>
      </c>
      <c r="I220" s="1"/>
      <c r="J220" s="1"/>
      <c r="K220" s="1">
        <f t="shared" si="36"/>
        <v>510.40000000000009</v>
      </c>
      <c r="M220" s="77">
        <f>VLOOKUP(B220,[1]ბიუჯეტი!$B:$K,3,FALSE)</f>
        <v>389.06399999999996</v>
      </c>
      <c r="N220" s="77">
        <f>VLOOKUP($B220,[1]ბიუჯეტი!$B:$K,4,FALSE)</f>
        <v>0.84745762711864414</v>
      </c>
      <c r="O220" s="77">
        <f>VLOOKUP($B220,[1]ბიუჯეტი!$B:$K,5,FALSE)</f>
        <v>329.71525423728815</v>
      </c>
      <c r="P220" s="77">
        <f>VLOOKUP($B220,[1]ბიუჯეტი!$B:$K,6,FALSE)</f>
        <v>0</v>
      </c>
      <c r="Q220" s="77">
        <f>VLOOKUP($B220,[1]ბიუჯეტი!$B:$K,7,FALSE)</f>
        <v>0</v>
      </c>
      <c r="R220" s="77">
        <f>VLOOKUP($B220,[1]ბიუჯეტი!$B:$K,8,FALSE)</f>
        <v>0</v>
      </c>
      <c r="S220" s="77">
        <f>VLOOKUP($B220,[1]ბიუჯეტი!$B:$K,9,FALSE)</f>
        <v>0</v>
      </c>
      <c r="T220" s="77">
        <f>VLOOKUP($B220,[1]ბიუჯეტი!$B:$K,10,FALSE)</f>
        <v>329.71525423728815</v>
      </c>
      <c r="V220" s="78">
        <f t="shared" si="30"/>
        <v>0</v>
      </c>
      <c r="W220" s="78">
        <f t="shared" si="31"/>
        <v>0</v>
      </c>
      <c r="X220" s="78">
        <f t="shared" si="32"/>
        <v>0</v>
      </c>
      <c r="Y220" s="78">
        <f t="shared" si="33"/>
        <v>213.20800000000008</v>
      </c>
    </row>
    <row r="221" spans="1:25" hidden="1" outlineLevel="1" x14ac:dyDescent="0.35">
      <c r="A221" s="51">
        <v>3</v>
      </c>
      <c r="B221" s="23" t="s">
        <v>76</v>
      </c>
      <c r="C221" s="4" t="s">
        <v>10</v>
      </c>
      <c r="D221" s="1">
        <f>D210</f>
        <v>472.18099999999998</v>
      </c>
      <c r="E221" s="1"/>
      <c r="F221" s="1">
        <f t="shared" si="34"/>
        <v>0</v>
      </c>
      <c r="G221" s="1">
        <f>ხელფასი!D37</f>
        <v>8.9249999999999989</v>
      </c>
      <c r="H221" s="1">
        <f t="shared" si="35"/>
        <v>4214.2154249999994</v>
      </c>
      <c r="I221" s="1"/>
      <c r="J221" s="1"/>
      <c r="K221" s="1">
        <f t="shared" si="36"/>
        <v>4214.2154249999994</v>
      </c>
      <c r="M221" s="77">
        <f>VLOOKUP(B221,[1]ბიუჯეტი!$B:$K,3,FALSE)</f>
        <v>313.19799999999998</v>
      </c>
      <c r="N221" s="77">
        <f>VLOOKUP($B221,[1]ბიუჯეტი!$B:$K,4,FALSE)</f>
        <v>0</v>
      </c>
      <c r="O221" s="77">
        <f>VLOOKUP($B221,[1]ბიუჯეტი!$B:$K,5,FALSE)</f>
        <v>0</v>
      </c>
      <c r="P221" s="77">
        <f>VLOOKUP($B221,[1]ბიუჯეტი!$B:$K,6,FALSE)</f>
        <v>8.9249999999999989</v>
      </c>
      <c r="Q221" s="77">
        <f>VLOOKUP($B221,[1]ბიუჯეტი!$B:$K,7,FALSE)</f>
        <v>2795.2921499999993</v>
      </c>
      <c r="R221" s="77">
        <f>VLOOKUP($B221,[1]ბიუჯეტი!$B:$K,8,FALSE)</f>
        <v>0</v>
      </c>
      <c r="S221" s="77">
        <f>VLOOKUP($B221,[1]ბიუჯეტი!$B:$K,9,FALSE)</f>
        <v>0</v>
      </c>
      <c r="T221" s="77">
        <f>VLOOKUP($B221,[1]ბიუჯეტი!$B:$K,10,FALSE)</f>
        <v>2795.2921499999993</v>
      </c>
      <c r="V221" s="78">
        <f t="shared" si="30"/>
        <v>0</v>
      </c>
      <c r="W221" s="78">
        <f t="shared" si="31"/>
        <v>0</v>
      </c>
      <c r="X221" s="78">
        <f t="shared" si="32"/>
        <v>0</v>
      </c>
      <c r="Y221" s="78">
        <f t="shared" si="33"/>
        <v>158.983</v>
      </c>
    </row>
    <row r="222" spans="1:25" hidden="1" outlineLevel="1" x14ac:dyDescent="0.35">
      <c r="A222" s="51"/>
      <c r="B222" s="3" t="s">
        <v>74</v>
      </c>
      <c r="C222" s="4" t="s">
        <v>75</v>
      </c>
      <c r="D222" s="1">
        <f>D221*0.2*2</f>
        <v>188.8724</v>
      </c>
      <c r="E222" s="1">
        <f>მასალა!D79</f>
        <v>21.101694915254239</v>
      </c>
      <c r="F222" s="1">
        <f t="shared" si="34"/>
        <v>3985.5277627118649</v>
      </c>
      <c r="G222" s="1"/>
      <c r="H222" s="1">
        <f t="shared" si="35"/>
        <v>0</v>
      </c>
      <c r="I222" s="1"/>
      <c r="J222" s="1"/>
      <c r="K222" s="1">
        <f t="shared" si="36"/>
        <v>3985.5277627118649</v>
      </c>
      <c r="M222" s="77">
        <f>VLOOKUP(B222,[1]ბიუჯეტი!$B:$K,3,FALSE)</f>
        <v>77.812799999999996</v>
      </c>
      <c r="N222" s="77">
        <f>VLOOKUP($B222,[1]ბიუჯეტი!$B:$K,4,FALSE)</f>
        <v>21.101694915254239</v>
      </c>
      <c r="O222" s="77">
        <f>VLOOKUP($B222,[1]ბიუჯეტი!$B:$K,5,FALSE)</f>
        <v>1641.981966101695</v>
      </c>
      <c r="P222" s="77">
        <f>VLOOKUP($B222,[1]ბიუჯეტი!$B:$K,6,FALSE)</f>
        <v>0</v>
      </c>
      <c r="Q222" s="77">
        <f>VLOOKUP($B222,[1]ბიუჯეტი!$B:$K,7,FALSE)</f>
        <v>0</v>
      </c>
      <c r="R222" s="77">
        <f>VLOOKUP($B222,[1]ბიუჯეტი!$B:$K,8,FALSE)</f>
        <v>0</v>
      </c>
      <c r="S222" s="77">
        <f>VLOOKUP($B222,[1]ბიუჯეტი!$B:$K,9,FALSE)</f>
        <v>0</v>
      </c>
      <c r="T222" s="77">
        <f>VLOOKUP($B222,[1]ბიუჯეტი!$B:$K,10,FALSE)</f>
        <v>1641.981966101695</v>
      </c>
      <c r="V222" s="78">
        <f t="shared" si="30"/>
        <v>0</v>
      </c>
      <c r="W222" s="78">
        <f t="shared" si="31"/>
        <v>0</v>
      </c>
      <c r="X222" s="78">
        <f t="shared" si="32"/>
        <v>0</v>
      </c>
      <c r="Y222" s="78">
        <f t="shared" si="33"/>
        <v>111.0596</v>
      </c>
    </row>
    <row r="223" spans="1:25" hidden="1" outlineLevel="1" x14ac:dyDescent="0.35">
      <c r="A223" s="51"/>
      <c r="B223" s="3" t="s">
        <v>374</v>
      </c>
      <c r="C223" s="4" t="s">
        <v>75</v>
      </c>
      <c r="D223" s="1">
        <f>D222*0.2*2</f>
        <v>75.548960000000008</v>
      </c>
      <c r="E223" s="1">
        <f>მასალა!D77</f>
        <v>9.4915254237288131</v>
      </c>
      <c r="F223" s="1">
        <f>D223*E223</f>
        <v>717.07487457627121</v>
      </c>
      <c r="G223" s="1"/>
      <c r="H223" s="1">
        <f>D223*G223</f>
        <v>0</v>
      </c>
      <c r="I223" s="1"/>
      <c r="J223" s="1"/>
      <c r="K223" s="1">
        <f t="shared" si="36"/>
        <v>717.07487457627121</v>
      </c>
      <c r="M223" s="77">
        <f>VLOOKUP(B223,[1]ბიუჯეტი!$B:$K,3,FALSE)</f>
        <v>28</v>
      </c>
      <c r="N223" s="77">
        <f>VLOOKUP($B223,[1]ბიუჯეტი!$B:$K,4,FALSE)</f>
        <v>9.4915254237288131</v>
      </c>
      <c r="O223" s="77">
        <f>VLOOKUP($B223,[1]ბიუჯეტი!$B:$K,5,FALSE)</f>
        <v>265.76271186440675</v>
      </c>
      <c r="P223" s="77">
        <f>VLOOKUP($B223,[1]ბიუჯეტი!$B:$K,6,FALSE)</f>
        <v>0</v>
      </c>
      <c r="Q223" s="77">
        <f>VLOOKUP($B223,[1]ბიუჯეტი!$B:$K,7,FALSE)</f>
        <v>0</v>
      </c>
      <c r="R223" s="77">
        <f>VLOOKUP($B223,[1]ბიუჯეტი!$B:$K,8,FALSE)</f>
        <v>0</v>
      </c>
      <c r="S223" s="77">
        <f>VLOOKUP($B223,[1]ბიუჯეტი!$B:$K,9,FALSE)</f>
        <v>0</v>
      </c>
      <c r="T223" s="77">
        <f>VLOOKUP($B223,[1]ბიუჯეტი!$B:$K,10,FALSE)</f>
        <v>265.76271186440675</v>
      </c>
      <c r="V223" s="78">
        <f t="shared" si="30"/>
        <v>0</v>
      </c>
      <c r="W223" s="78">
        <f t="shared" si="31"/>
        <v>0</v>
      </c>
      <c r="X223" s="78">
        <f t="shared" si="32"/>
        <v>0</v>
      </c>
      <c r="Y223" s="78">
        <f t="shared" si="33"/>
        <v>47.548960000000008</v>
      </c>
    </row>
    <row r="224" spans="1:25" hidden="1" outlineLevel="1" x14ac:dyDescent="0.35">
      <c r="A224" s="51"/>
      <c r="B224" s="3" t="s">
        <v>382</v>
      </c>
      <c r="C224" s="4" t="s">
        <v>10</v>
      </c>
      <c r="D224" s="1">
        <f>D221</f>
        <v>472.18099999999998</v>
      </c>
      <c r="E224" s="1">
        <f>SUMIFS(მასალა!D52:D207,მასალა!B52:B207,ბიუჯეტი!B224)</f>
        <v>0.84745762711864414</v>
      </c>
      <c r="F224" s="1">
        <f t="shared" si="34"/>
        <v>400.1533898305085</v>
      </c>
      <c r="G224" s="1"/>
      <c r="H224" s="1">
        <f t="shared" si="35"/>
        <v>0</v>
      </c>
      <c r="I224" s="1"/>
      <c r="J224" s="1"/>
      <c r="K224" s="1">
        <f t="shared" si="36"/>
        <v>400.1533898305085</v>
      </c>
      <c r="M224" s="77">
        <f>VLOOKUP(B224,[1]ბიუჯეტი!$B:$K,3,FALSE)</f>
        <v>389.06399999999996</v>
      </c>
      <c r="N224" s="77">
        <f>VLOOKUP($B224,[1]ბიუჯეტი!$B:$K,4,FALSE)</f>
        <v>0.84745762711864414</v>
      </c>
      <c r="O224" s="77">
        <f>VLOOKUP($B224,[1]ბიუჯეტი!$B:$K,5,FALSE)</f>
        <v>329.71525423728815</v>
      </c>
      <c r="P224" s="77">
        <f>VLOOKUP($B224,[1]ბიუჯეტი!$B:$K,6,FALSE)</f>
        <v>0</v>
      </c>
      <c r="Q224" s="77">
        <f>VLOOKUP($B224,[1]ბიუჯეტი!$B:$K,7,FALSE)</f>
        <v>0</v>
      </c>
      <c r="R224" s="77">
        <f>VLOOKUP($B224,[1]ბიუჯეტი!$B:$K,8,FALSE)</f>
        <v>0</v>
      </c>
      <c r="S224" s="77">
        <f>VLOOKUP($B224,[1]ბიუჯეტი!$B:$K,9,FALSE)</f>
        <v>0</v>
      </c>
      <c r="T224" s="77">
        <f>VLOOKUP($B224,[1]ბიუჯეტი!$B:$K,10,FALSE)</f>
        <v>329.71525423728815</v>
      </c>
      <c r="V224" s="78">
        <f t="shared" si="30"/>
        <v>0</v>
      </c>
      <c r="W224" s="78">
        <f t="shared" si="31"/>
        <v>0</v>
      </c>
      <c r="X224" s="78">
        <f t="shared" si="32"/>
        <v>0</v>
      </c>
      <c r="Y224" s="78">
        <f t="shared" si="33"/>
        <v>83.117000000000019</v>
      </c>
    </row>
    <row r="225" spans="1:25" hidden="1" outlineLevel="1" x14ac:dyDescent="0.35">
      <c r="A225" s="51">
        <v>4</v>
      </c>
      <c r="B225" s="23" t="s">
        <v>77</v>
      </c>
      <c r="C225" s="4" t="s">
        <v>10</v>
      </c>
      <c r="D225" s="1">
        <f>D213</f>
        <v>930.65399999999988</v>
      </c>
      <c r="E225" s="1"/>
      <c r="F225" s="1">
        <f t="shared" si="34"/>
        <v>0</v>
      </c>
      <c r="G225" s="1">
        <f>ხელფასი!D37</f>
        <v>8.9249999999999989</v>
      </c>
      <c r="H225" s="1">
        <f t="shared" si="35"/>
        <v>8306.0869499999972</v>
      </c>
      <c r="I225" s="1"/>
      <c r="J225" s="1"/>
      <c r="K225" s="1">
        <f t="shared" si="36"/>
        <v>8306.0869499999972</v>
      </c>
      <c r="M225" s="77">
        <f>VLOOKUP(B225,[1]ბიუჯეტი!$B:$K,3,FALSE)</f>
        <v>939.59399999999994</v>
      </c>
      <c r="N225" s="77">
        <f>VLOOKUP($B225,[1]ბიუჯეტი!$B:$K,4,FALSE)</f>
        <v>0</v>
      </c>
      <c r="O225" s="77">
        <f>VLOOKUP($B225,[1]ბიუჯეტი!$B:$K,5,FALSE)</f>
        <v>0</v>
      </c>
      <c r="P225" s="77">
        <f>VLOOKUP($B225,[1]ბიუჯეტი!$B:$K,6,FALSE)</f>
        <v>8.9249999999999989</v>
      </c>
      <c r="Q225" s="77">
        <f>VLOOKUP($B225,[1]ბიუჯეტი!$B:$K,7,FALSE)</f>
        <v>8385.8764499999979</v>
      </c>
      <c r="R225" s="77">
        <f>VLOOKUP($B225,[1]ბიუჯეტი!$B:$K,8,FALSE)</f>
        <v>0</v>
      </c>
      <c r="S225" s="77">
        <f>VLOOKUP($B225,[1]ბიუჯეტი!$B:$K,9,FALSE)</f>
        <v>0</v>
      </c>
      <c r="T225" s="77">
        <f>VLOOKUP($B225,[1]ბიუჯეტი!$B:$K,10,FALSE)</f>
        <v>8385.8764499999979</v>
      </c>
      <c r="V225" s="78">
        <f t="shared" si="30"/>
        <v>0</v>
      </c>
      <c r="W225" s="78">
        <f t="shared" si="31"/>
        <v>0</v>
      </c>
      <c r="X225" s="78">
        <f t="shared" si="32"/>
        <v>0</v>
      </c>
      <c r="Y225" s="78">
        <f t="shared" si="33"/>
        <v>-8.9400000000000546</v>
      </c>
    </row>
    <row r="226" spans="1:25" hidden="1" outlineLevel="1" x14ac:dyDescent="0.35">
      <c r="A226" s="51"/>
      <c r="B226" s="3" t="s">
        <v>74</v>
      </c>
      <c r="C226" s="4" t="s">
        <v>75</v>
      </c>
      <c r="D226" s="1">
        <f>D225*0.2*2</f>
        <v>372.26159999999999</v>
      </c>
      <c r="E226" s="1">
        <f>მასალა!D79</f>
        <v>21.101694915254239</v>
      </c>
      <c r="F226" s="1">
        <f t="shared" si="34"/>
        <v>7855.3507118644075</v>
      </c>
      <c r="G226" s="1"/>
      <c r="H226" s="1">
        <f t="shared" si="35"/>
        <v>0</v>
      </c>
      <c r="I226" s="1"/>
      <c r="J226" s="1"/>
      <c r="K226" s="1">
        <f t="shared" si="36"/>
        <v>7855.3507118644075</v>
      </c>
      <c r="M226" s="77">
        <f>VLOOKUP(B226,[1]ბიუჯეტი!$B:$K,3,FALSE)</f>
        <v>77.812799999999996</v>
      </c>
      <c r="N226" s="77">
        <f>VLOOKUP($B226,[1]ბიუჯეტი!$B:$K,4,FALSE)</f>
        <v>21.101694915254239</v>
      </c>
      <c r="O226" s="77">
        <f>VLOOKUP($B226,[1]ბიუჯეტი!$B:$K,5,FALSE)</f>
        <v>1641.981966101695</v>
      </c>
      <c r="P226" s="77">
        <f>VLOOKUP($B226,[1]ბიუჯეტი!$B:$K,6,FALSE)</f>
        <v>0</v>
      </c>
      <c r="Q226" s="77">
        <f>VLOOKUP($B226,[1]ბიუჯეტი!$B:$K,7,FALSE)</f>
        <v>0</v>
      </c>
      <c r="R226" s="77">
        <f>VLOOKUP($B226,[1]ბიუჯეტი!$B:$K,8,FALSE)</f>
        <v>0</v>
      </c>
      <c r="S226" s="77">
        <f>VLOOKUP($B226,[1]ბიუჯეტი!$B:$K,9,FALSE)</f>
        <v>0</v>
      </c>
      <c r="T226" s="77">
        <f>VLOOKUP($B226,[1]ბიუჯეტი!$B:$K,10,FALSE)</f>
        <v>1641.981966101695</v>
      </c>
      <c r="V226" s="78">
        <f t="shared" si="30"/>
        <v>0</v>
      </c>
      <c r="W226" s="78">
        <f t="shared" si="31"/>
        <v>0</v>
      </c>
      <c r="X226" s="78">
        <f t="shared" si="32"/>
        <v>0</v>
      </c>
      <c r="Y226" s="78">
        <f t="shared" si="33"/>
        <v>294.44880000000001</v>
      </c>
    </row>
    <row r="227" spans="1:25" hidden="1" outlineLevel="1" x14ac:dyDescent="0.35">
      <c r="A227" s="51"/>
      <c r="B227" s="3" t="s">
        <v>374</v>
      </c>
      <c r="C227" s="4" t="s">
        <v>75</v>
      </c>
      <c r="D227" s="1">
        <f>D226*0.2*2</f>
        <v>148.90464</v>
      </c>
      <c r="E227" s="1">
        <f>მასალა!D77</f>
        <v>9.4915254237288131</v>
      </c>
      <c r="F227" s="1">
        <f>D227*E227</f>
        <v>1413.3321762711864</v>
      </c>
      <c r="G227" s="1"/>
      <c r="H227" s="1">
        <f>D227*G227</f>
        <v>0</v>
      </c>
      <c r="I227" s="1"/>
      <c r="J227" s="1"/>
      <c r="K227" s="1">
        <f t="shared" si="36"/>
        <v>1413.3321762711864</v>
      </c>
      <c r="M227" s="77">
        <f>VLOOKUP(B227,[1]ბიუჯეტი!$B:$K,3,FALSE)</f>
        <v>28</v>
      </c>
      <c r="N227" s="77">
        <f>VLOOKUP($B227,[1]ბიუჯეტი!$B:$K,4,FALSE)</f>
        <v>9.4915254237288131</v>
      </c>
      <c r="O227" s="77">
        <f>VLOOKUP($B227,[1]ბიუჯეტი!$B:$K,5,FALSE)</f>
        <v>265.76271186440675</v>
      </c>
      <c r="P227" s="77">
        <f>VLOOKUP($B227,[1]ბიუჯეტი!$B:$K,6,FALSE)</f>
        <v>0</v>
      </c>
      <c r="Q227" s="77">
        <f>VLOOKUP($B227,[1]ბიუჯეტი!$B:$K,7,FALSE)</f>
        <v>0</v>
      </c>
      <c r="R227" s="77">
        <f>VLOOKUP($B227,[1]ბიუჯეტი!$B:$K,8,FALSE)</f>
        <v>0</v>
      </c>
      <c r="S227" s="77">
        <f>VLOOKUP($B227,[1]ბიუჯეტი!$B:$K,9,FALSE)</f>
        <v>0</v>
      </c>
      <c r="T227" s="77">
        <f>VLOOKUP($B227,[1]ბიუჯეტი!$B:$K,10,FALSE)</f>
        <v>265.76271186440675</v>
      </c>
      <c r="V227" s="78">
        <f t="shared" si="30"/>
        <v>0</v>
      </c>
      <c r="W227" s="78">
        <f t="shared" si="31"/>
        <v>0</v>
      </c>
      <c r="X227" s="78">
        <f t="shared" si="32"/>
        <v>0</v>
      </c>
      <c r="Y227" s="78">
        <f t="shared" si="33"/>
        <v>120.90464</v>
      </c>
    </row>
    <row r="228" spans="1:25" hidden="1" outlineLevel="1" x14ac:dyDescent="0.35">
      <c r="A228" s="51"/>
      <c r="B228" s="3" t="s">
        <v>382</v>
      </c>
      <c r="C228" s="4" t="s">
        <v>10</v>
      </c>
      <c r="D228" s="1">
        <f>D225</f>
        <v>930.65399999999988</v>
      </c>
      <c r="E228" s="1">
        <f>SUMIFS(მასალა!D56:D211,მასალა!B56:B211,ბიუჯეტი!B228)</f>
        <v>0.84745762711864414</v>
      </c>
      <c r="F228" s="1">
        <f t="shared" si="34"/>
        <v>788.68983050847453</v>
      </c>
      <c r="G228" s="1"/>
      <c r="H228" s="1">
        <f t="shared" si="35"/>
        <v>0</v>
      </c>
      <c r="I228" s="1"/>
      <c r="J228" s="1"/>
      <c r="K228" s="1">
        <f t="shared" si="36"/>
        <v>788.68983050847453</v>
      </c>
      <c r="M228" s="77">
        <f>VLOOKUP(B228,[1]ბიუჯეტი!$B:$K,3,FALSE)</f>
        <v>389.06399999999996</v>
      </c>
      <c r="N228" s="77">
        <f>VLOOKUP($B228,[1]ბიუჯეტი!$B:$K,4,FALSE)</f>
        <v>0.84745762711864414</v>
      </c>
      <c r="O228" s="77">
        <f>VLOOKUP($B228,[1]ბიუჯეტი!$B:$K,5,FALSE)</f>
        <v>329.71525423728815</v>
      </c>
      <c r="P228" s="77">
        <f>VLOOKUP($B228,[1]ბიუჯეტი!$B:$K,6,FALSE)</f>
        <v>0</v>
      </c>
      <c r="Q228" s="77">
        <f>VLOOKUP($B228,[1]ბიუჯეტი!$B:$K,7,FALSE)</f>
        <v>0</v>
      </c>
      <c r="R228" s="77">
        <f>VLOOKUP($B228,[1]ბიუჯეტი!$B:$K,8,FALSE)</f>
        <v>0</v>
      </c>
      <c r="S228" s="77">
        <f>VLOOKUP($B228,[1]ბიუჯეტი!$B:$K,9,FALSE)</f>
        <v>0</v>
      </c>
      <c r="T228" s="77">
        <f>VLOOKUP($B228,[1]ბიუჯეტი!$B:$K,10,FALSE)</f>
        <v>329.71525423728815</v>
      </c>
      <c r="V228" s="78">
        <f t="shared" si="30"/>
        <v>0</v>
      </c>
      <c r="W228" s="78">
        <f t="shared" si="31"/>
        <v>0</v>
      </c>
      <c r="X228" s="78">
        <f t="shared" si="32"/>
        <v>0</v>
      </c>
      <c r="Y228" s="78">
        <f t="shared" si="33"/>
        <v>541.58999999999992</v>
      </c>
    </row>
    <row r="229" spans="1:25" collapsed="1" x14ac:dyDescent="0.35">
      <c r="A229" s="51">
        <v>16</v>
      </c>
      <c r="B229" s="23" t="s">
        <v>78</v>
      </c>
      <c r="C229" s="4" t="s">
        <v>10</v>
      </c>
      <c r="D229" s="1">
        <f>SUM(D230,D236)</f>
        <v>273</v>
      </c>
      <c r="E229" s="1">
        <f>SUM(F230:F241)/D229</f>
        <v>18.682641260593218</v>
      </c>
      <c r="F229" s="1">
        <f>D229*E229</f>
        <v>5100.3610641419482</v>
      </c>
      <c r="G229" s="1">
        <f>SUM(H230:H241)/D229</f>
        <v>27.605151098901096</v>
      </c>
      <c r="H229" s="1">
        <f>G229*D229</f>
        <v>7536.2062499999993</v>
      </c>
      <c r="I229" s="1">
        <v>0</v>
      </c>
      <c r="J229" s="1">
        <v>0</v>
      </c>
      <c r="K229" s="1">
        <f t="shared" si="36"/>
        <v>12636.567314141947</v>
      </c>
      <c r="M229" s="77">
        <f>VLOOKUP(B229,[1]ბიუჯეტი!$B:$K,3,FALSE)</f>
        <v>255.6</v>
      </c>
      <c r="N229" s="77">
        <f>VLOOKUP($B229,[1]ბიუჯეტი!$B:$K,4,FALSE)</f>
        <v>18.682431038135594</v>
      </c>
      <c r="O229" s="77">
        <f>VLOOKUP($B229,[1]ბიუჯეტი!$B:$K,5,FALSE)</f>
        <v>4775.229373347458</v>
      </c>
      <c r="P229" s="77">
        <f>VLOOKUP($B229,[1]ბიუჯეტი!$B:$K,6,FALSE)</f>
        <v>27.856954225352112</v>
      </c>
      <c r="Q229" s="77">
        <f>VLOOKUP($B229,[1]ბიუჯეტი!$B:$K,7,FALSE)</f>
        <v>7120.2374999999993</v>
      </c>
      <c r="R229" s="77">
        <f>VLOOKUP($B229,[1]ბიუჯეტი!$B:$K,8,FALSE)</f>
        <v>0</v>
      </c>
      <c r="S229" s="77">
        <f>VLOOKUP($B229,[1]ბიუჯეტი!$B:$K,9,FALSE)</f>
        <v>0</v>
      </c>
      <c r="T229" s="77">
        <f>VLOOKUP($B229,[1]ბიუჯეტი!$B:$K,10,FALSE)</f>
        <v>11895.466873347457</v>
      </c>
      <c r="V229" s="78">
        <f t="shared" si="30"/>
        <v>2.1022245762480907E-4</v>
      </c>
      <c r="W229" s="78">
        <f t="shared" si="31"/>
        <v>-0.25180312645101566</v>
      </c>
      <c r="X229" s="78">
        <f t="shared" si="32"/>
        <v>0</v>
      </c>
      <c r="Y229" s="78">
        <f t="shared" si="33"/>
        <v>17.400000000000006</v>
      </c>
    </row>
    <row r="230" spans="1:25" hidden="1" outlineLevel="1" x14ac:dyDescent="0.35">
      <c r="A230" s="51">
        <v>1</v>
      </c>
      <c r="B230" s="23" t="s">
        <v>79</v>
      </c>
      <c r="C230" s="4" t="s">
        <v>10</v>
      </c>
      <c r="D230" s="1">
        <f>სამუშაო!H36</f>
        <v>68.25</v>
      </c>
      <c r="E230" s="1"/>
      <c r="F230" s="1">
        <f t="shared" ref="F230:F258" si="37">D230*E230</f>
        <v>0</v>
      </c>
      <c r="G230" s="1">
        <f>ხელფასი!D4</f>
        <v>23.90625</v>
      </c>
      <c r="H230" s="1">
        <f>G230*D230</f>
        <v>1631.6015625</v>
      </c>
      <c r="I230" s="1"/>
      <c r="J230" s="1"/>
      <c r="K230" s="1">
        <f t="shared" si="36"/>
        <v>1631.6015625</v>
      </c>
      <c r="M230" s="77">
        <f>VLOOKUP(B230,[1]ბიუჯეტი!$B:$K,3,FALSE)</f>
        <v>63.9</v>
      </c>
      <c r="N230" s="77">
        <f>VLOOKUP($B230,[1]ბიუჯეტი!$B:$K,4,FALSE)</f>
        <v>0</v>
      </c>
      <c r="O230" s="77">
        <f>VLOOKUP($B230,[1]ბიუჯეტი!$B:$K,5,FALSE)</f>
        <v>0</v>
      </c>
      <c r="P230" s="77">
        <f>VLOOKUP($B230,[1]ბიუჯეტი!$B:$K,6,FALSE)</f>
        <v>23.90625</v>
      </c>
      <c r="Q230" s="77">
        <f>VLOOKUP($B230,[1]ბიუჯეტი!$B:$K,7,FALSE)</f>
        <v>1527.609375</v>
      </c>
      <c r="R230" s="77">
        <f>VLOOKUP($B230,[1]ბიუჯეტი!$B:$K,8,FALSE)</f>
        <v>0</v>
      </c>
      <c r="S230" s="77">
        <f>VLOOKUP($B230,[1]ბიუჯეტი!$B:$K,9,FALSE)</f>
        <v>0</v>
      </c>
      <c r="T230" s="77">
        <f>VLOOKUP($B230,[1]ბიუჯეტი!$B:$K,10,FALSE)</f>
        <v>1527.609375</v>
      </c>
      <c r="V230" s="78">
        <f t="shared" si="30"/>
        <v>0</v>
      </c>
      <c r="W230" s="78">
        <f t="shared" si="31"/>
        <v>0</v>
      </c>
      <c r="X230" s="78">
        <f t="shared" si="32"/>
        <v>0</v>
      </c>
      <c r="Y230" s="78">
        <f t="shared" si="33"/>
        <v>4.3500000000000014</v>
      </c>
    </row>
    <row r="231" spans="1:25" hidden="1" outlineLevel="1" x14ac:dyDescent="0.35">
      <c r="A231" s="51"/>
      <c r="B231" s="3" t="s">
        <v>80</v>
      </c>
      <c r="C231" s="4" t="s">
        <v>49</v>
      </c>
      <c r="D231" s="1">
        <f>D230*13</f>
        <v>887.25</v>
      </c>
      <c r="E231" s="1">
        <f>SUMIFS(მასალა!D1:D214,მასალა!B1:B214,ბიუჯეტი!B231)</f>
        <v>1.0593220338983051</v>
      </c>
      <c r="F231" s="1">
        <f t="shared" si="37"/>
        <v>939.88347457627128</v>
      </c>
      <c r="G231" s="1"/>
      <c r="H231" s="1"/>
      <c r="I231" s="1"/>
      <c r="J231" s="1"/>
      <c r="K231" s="1">
        <f t="shared" si="36"/>
        <v>939.88347457627128</v>
      </c>
      <c r="M231" s="77">
        <f>VLOOKUP(B231,[1]ბიუჯეტი!$B:$K,3,FALSE)</f>
        <v>830.69999999999993</v>
      </c>
      <c r="N231" s="77">
        <f>VLOOKUP($B231,[1]ბიუჯეტი!$B:$K,4,FALSE)</f>
        <v>1.0593220338983051</v>
      </c>
      <c r="O231" s="77">
        <f>VLOOKUP($B231,[1]ბიუჯეტი!$B:$K,5,FALSE)</f>
        <v>879.97881355932202</v>
      </c>
      <c r="P231" s="77">
        <f>VLOOKUP($B231,[1]ბიუჯეტი!$B:$K,6,FALSE)</f>
        <v>0</v>
      </c>
      <c r="Q231" s="77">
        <f>VLOOKUP($B231,[1]ბიუჯეტი!$B:$K,7,FALSE)</f>
        <v>0</v>
      </c>
      <c r="R231" s="77">
        <f>VLOOKUP($B231,[1]ბიუჯეტი!$B:$K,8,FALSE)</f>
        <v>0</v>
      </c>
      <c r="S231" s="77">
        <f>VLOOKUP($B231,[1]ბიუჯეტი!$B:$K,9,FALSE)</f>
        <v>0</v>
      </c>
      <c r="T231" s="77">
        <f>VLOOKUP($B231,[1]ბიუჯეტი!$B:$K,10,FALSE)</f>
        <v>879.97881355932202</v>
      </c>
      <c r="V231" s="78">
        <f t="shared" si="30"/>
        <v>0</v>
      </c>
      <c r="W231" s="78">
        <f t="shared" si="31"/>
        <v>0</v>
      </c>
      <c r="X231" s="78">
        <f t="shared" si="32"/>
        <v>0</v>
      </c>
      <c r="Y231" s="78">
        <f t="shared" si="33"/>
        <v>56.550000000000068</v>
      </c>
    </row>
    <row r="232" spans="1:25" hidden="1" outlineLevel="1" x14ac:dyDescent="0.35">
      <c r="A232" s="51"/>
      <c r="B232" s="3" t="s">
        <v>191</v>
      </c>
      <c r="C232" s="4" t="s">
        <v>40</v>
      </c>
      <c r="D232" s="1">
        <f>1.2*11</f>
        <v>13.2</v>
      </c>
      <c r="E232" s="1">
        <f>SUMIFS(მასალა!D2:D215,მასალა!B2:B215,ბიუჯეტი!B232)</f>
        <v>0</v>
      </c>
      <c r="F232" s="1">
        <f t="shared" si="37"/>
        <v>0</v>
      </c>
      <c r="G232" s="1">
        <f>ხელფასი!D5</f>
        <v>19.125</v>
      </c>
      <c r="H232" s="1">
        <f>D232*G232</f>
        <v>252.45</v>
      </c>
      <c r="I232" s="1"/>
      <c r="J232" s="1"/>
      <c r="K232" s="1">
        <f t="shared" si="36"/>
        <v>252.45</v>
      </c>
      <c r="M232" s="77">
        <f>VLOOKUP(B232,[1]ბიუჯეტი!$B:$K,3,FALSE)</f>
        <v>4</v>
      </c>
      <c r="N232" s="77">
        <f>VLOOKUP($B232,[1]ბიუჯეტი!$B:$K,4,FALSE)</f>
        <v>0</v>
      </c>
      <c r="O232" s="77">
        <f>VLOOKUP($B232,[1]ბიუჯეტი!$B:$K,5,FALSE)</f>
        <v>0</v>
      </c>
      <c r="P232" s="77">
        <f>VLOOKUP($B232,[1]ბიუჯეტი!$B:$K,6,FALSE)</f>
        <v>0</v>
      </c>
      <c r="Q232" s="77">
        <f>VLOOKUP($B232,[1]ბიუჯეტი!$B:$K,7,FALSE)</f>
        <v>0</v>
      </c>
      <c r="R232" s="77">
        <f>VLOOKUP($B232,[1]ბიუჯეტი!$B:$K,8,FALSE)</f>
        <v>0</v>
      </c>
      <c r="S232" s="77">
        <f>VLOOKUP($B232,[1]ბიუჯეტი!$B:$K,9,FALSE)</f>
        <v>0</v>
      </c>
      <c r="T232" s="77">
        <f>VLOOKUP($B232,[1]ბიუჯეტი!$B:$K,10,FALSE)</f>
        <v>0</v>
      </c>
      <c r="V232" s="78">
        <f t="shared" si="30"/>
        <v>0</v>
      </c>
      <c r="W232" s="78">
        <f t="shared" si="31"/>
        <v>19.125</v>
      </c>
      <c r="X232" s="78">
        <f t="shared" si="32"/>
        <v>0</v>
      </c>
      <c r="Y232" s="78">
        <f t="shared" si="33"/>
        <v>9.1999999999999993</v>
      </c>
    </row>
    <row r="233" spans="1:25" hidden="1" outlineLevel="1" x14ac:dyDescent="0.35">
      <c r="A233" s="51"/>
      <c r="B233" s="3" t="s">
        <v>50</v>
      </c>
      <c r="C233" s="4" t="s">
        <v>9</v>
      </c>
      <c r="D233" s="1">
        <f>0.03*D230*1.05</f>
        <v>2.1498749999999998</v>
      </c>
      <c r="E233" s="1">
        <f>SUMIFS(მასალა!D3:D216,მასალა!B3:B216,ბიუჯეტი!B233)</f>
        <v>59.322033898305087</v>
      </c>
      <c r="F233" s="1">
        <f t="shared" si="37"/>
        <v>127.53495762711863</v>
      </c>
      <c r="G233" s="1"/>
      <c r="H233" s="1"/>
      <c r="I233" s="1"/>
      <c r="J233" s="1"/>
      <c r="K233" s="1">
        <f t="shared" si="36"/>
        <v>127.53495762711863</v>
      </c>
      <c r="M233" s="77">
        <f>VLOOKUP(B233,[1]ბიუჯეტი!$B:$K,3,FALSE)</f>
        <v>20.730401999999998</v>
      </c>
      <c r="N233" s="77">
        <f>VLOOKUP($B233,[1]ბიუჯეტი!$B:$K,4,FALSE)</f>
        <v>59.322033898305087</v>
      </c>
      <c r="O233" s="77">
        <f>VLOOKUP($B233,[1]ბიუჯეტი!$B:$K,5,FALSE)</f>
        <v>1229.7696101694914</v>
      </c>
      <c r="P233" s="77">
        <f>VLOOKUP($B233,[1]ბიუჯეტი!$B:$K,6,FALSE)</f>
        <v>0</v>
      </c>
      <c r="Q233" s="77">
        <f>VLOOKUP($B233,[1]ბიუჯეტი!$B:$K,7,FALSE)</f>
        <v>0</v>
      </c>
      <c r="R233" s="77">
        <f>VLOOKUP($B233,[1]ბიუჯეტი!$B:$K,8,FALSE)</f>
        <v>0</v>
      </c>
      <c r="S233" s="77">
        <f>VLOOKUP($B233,[1]ბიუჯეტი!$B:$K,9,FALSE)</f>
        <v>0</v>
      </c>
      <c r="T233" s="77">
        <f>VLOOKUP($B233,[1]ბიუჯეტი!$B:$K,10,FALSE)</f>
        <v>1229.7696101694914</v>
      </c>
      <c r="V233" s="78">
        <f t="shared" si="30"/>
        <v>0</v>
      </c>
      <c r="W233" s="78">
        <f t="shared" si="31"/>
        <v>0</v>
      </c>
      <c r="X233" s="78">
        <f t="shared" si="32"/>
        <v>0</v>
      </c>
      <c r="Y233" s="78">
        <f t="shared" si="33"/>
        <v>-18.580526999999996</v>
      </c>
    </row>
    <row r="234" spans="1:25" hidden="1" outlineLevel="1" x14ac:dyDescent="0.35">
      <c r="A234" s="51"/>
      <c r="B234" s="3" t="s">
        <v>51</v>
      </c>
      <c r="C234" s="4" t="s">
        <v>12</v>
      </c>
      <c r="D234" s="1">
        <f>D233/4*1.05</f>
        <v>0.56434218749999998</v>
      </c>
      <c r="E234" s="1">
        <f>SUMIFS(მასალა!D4:D217,მასალა!B4:B217,ბიუჯეტი!B234)</f>
        <v>265.50000000000006</v>
      </c>
      <c r="F234" s="1">
        <f t="shared" si="37"/>
        <v>149.83285078125002</v>
      </c>
      <c r="G234" s="1"/>
      <c r="H234" s="1">
        <f>D234*G234</f>
        <v>0</v>
      </c>
      <c r="I234" s="1"/>
      <c r="J234" s="1"/>
      <c r="K234" s="1">
        <f t="shared" si="36"/>
        <v>149.83285078125002</v>
      </c>
      <c r="M234" s="77">
        <f>VLOOKUP(B234,[1]ბიუჯეტი!$B:$K,3,FALSE)</f>
        <v>5.4417305249999997</v>
      </c>
      <c r="N234" s="77">
        <f>VLOOKUP($B234,[1]ბიუჯეტი!$B:$K,4,FALSE)</f>
        <v>265.47457627118644</v>
      </c>
      <c r="O234" s="77">
        <f>VLOOKUP($B234,[1]ბიუჯეტი!$B:$K,5,FALSE)</f>
        <v>1444.6411053063557</v>
      </c>
      <c r="P234" s="77">
        <f>VLOOKUP($B234,[1]ბიუჯეტი!$B:$K,6,FALSE)</f>
        <v>0</v>
      </c>
      <c r="Q234" s="77">
        <f>VLOOKUP($B234,[1]ბიუჯეტი!$B:$K,7,FALSE)</f>
        <v>0</v>
      </c>
      <c r="R234" s="77">
        <f>VLOOKUP($B234,[1]ბიუჯეტი!$B:$K,8,FALSE)</f>
        <v>0</v>
      </c>
      <c r="S234" s="77">
        <f>VLOOKUP($B234,[1]ბიუჯეტი!$B:$K,9,FALSE)</f>
        <v>0</v>
      </c>
      <c r="T234" s="77">
        <f>VLOOKUP($B234,[1]ბიუჯეტი!$B:$K,10,FALSE)</f>
        <v>1444.6411053063557</v>
      </c>
      <c r="V234" s="78">
        <f t="shared" si="30"/>
        <v>2.5423728813620983E-2</v>
      </c>
      <c r="W234" s="78">
        <f t="shared" si="31"/>
        <v>0</v>
      </c>
      <c r="X234" s="78">
        <f t="shared" si="32"/>
        <v>0</v>
      </c>
      <c r="Y234" s="78">
        <f t="shared" si="33"/>
        <v>-4.8773883374999993</v>
      </c>
    </row>
    <row r="235" spans="1:25" hidden="1" outlineLevel="1" x14ac:dyDescent="0.35">
      <c r="A235" s="51"/>
      <c r="B235" s="3" t="s">
        <v>369</v>
      </c>
      <c r="C235" s="4" t="s">
        <v>10</v>
      </c>
      <c r="D235" s="1">
        <f>D230</f>
        <v>68.25</v>
      </c>
      <c r="E235" s="1">
        <f>SUMIFS(მასალა!D5:D218,მასალა!B5:B218,ბიუჯეტი!B235)</f>
        <v>0.84745762711864414</v>
      </c>
      <c r="F235" s="1">
        <f t="shared" si="37"/>
        <v>57.83898305084746</v>
      </c>
      <c r="G235" s="1"/>
      <c r="H235" s="1">
        <f>D235*G235</f>
        <v>0</v>
      </c>
      <c r="I235" s="1"/>
      <c r="J235" s="1"/>
      <c r="K235" s="1">
        <f t="shared" si="36"/>
        <v>57.83898305084746</v>
      </c>
      <c r="M235" s="77">
        <f>VLOOKUP(B235,[1]ბიუჯეტი!$B:$K,3,FALSE)</f>
        <v>658.10799999999995</v>
      </c>
      <c r="N235" s="77">
        <f>VLOOKUP($B235,[1]ბიუჯეტი!$B:$K,4,FALSE)</f>
        <v>0.84745762711864414</v>
      </c>
      <c r="O235" s="77">
        <f>VLOOKUP($B235,[1]ბიუჯეტი!$B:$K,5,FALSE)</f>
        <v>557.71864406779662</v>
      </c>
      <c r="P235" s="77">
        <f>VLOOKUP($B235,[1]ბიუჯეტი!$B:$K,6,FALSE)</f>
        <v>0</v>
      </c>
      <c r="Q235" s="77">
        <f>VLOOKUP($B235,[1]ბიუჯეტი!$B:$K,7,FALSE)</f>
        <v>0</v>
      </c>
      <c r="R235" s="77">
        <f>VLOOKUP($B235,[1]ბიუჯეტი!$B:$K,8,FALSE)</f>
        <v>0</v>
      </c>
      <c r="S235" s="77">
        <f>VLOOKUP($B235,[1]ბიუჯეტი!$B:$K,9,FALSE)</f>
        <v>0</v>
      </c>
      <c r="T235" s="77">
        <f>VLOOKUP($B235,[1]ბიუჯეტი!$B:$K,10,FALSE)</f>
        <v>557.71864406779662</v>
      </c>
      <c r="V235" s="78">
        <f t="shared" si="30"/>
        <v>0</v>
      </c>
      <c r="W235" s="78">
        <f t="shared" si="31"/>
        <v>0</v>
      </c>
      <c r="X235" s="78">
        <f t="shared" si="32"/>
        <v>0</v>
      </c>
      <c r="Y235" s="78">
        <f t="shared" si="33"/>
        <v>-589.85799999999995</v>
      </c>
    </row>
    <row r="236" spans="1:25" hidden="1" outlineLevel="1" x14ac:dyDescent="0.35">
      <c r="A236" s="51">
        <v>2</v>
      </c>
      <c r="B236" s="23" t="s">
        <v>170</v>
      </c>
      <c r="C236" s="4" t="s">
        <v>10</v>
      </c>
      <c r="D236" s="1">
        <f>სამუშაო!H36+სამუშაო!H38+სამუშაო!H39</f>
        <v>204.75</v>
      </c>
      <c r="E236" s="1"/>
      <c r="F236" s="1">
        <f t="shared" si="37"/>
        <v>0</v>
      </c>
      <c r="G236" s="1">
        <f>ხელფასი!D4</f>
        <v>23.90625</v>
      </c>
      <c r="H236" s="1">
        <f>G236*D236</f>
        <v>4894.8046875</v>
      </c>
      <c r="I236" s="1"/>
      <c r="J236" s="1"/>
      <c r="K236" s="1">
        <f t="shared" si="36"/>
        <v>4894.8046875</v>
      </c>
      <c r="M236" s="77">
        <f>VLOOKUP(B236,[1]ბიუჯეტი!$B:$K,3,FALSE)</f>
        <v>191.7</v>
      </c>
      <c r="N236" s="77">
        <f>VLOOKUP($B236,[1]ბიუჯეტი!$B:$K,4,FALSE)</f>
        <v>0</v>
      </c>
      <c r="O236" s="77">
        <f>VLOOKUP($B236,[1]ბიუჯეტი!$B:$K,5,FALSE)</f>
        <v>0</v>
      </c>
      <c r="P236" s="77">
        <f>VLOOKUP($B236,[1]ბიუჯეტი!$B:$K,6,FALSE)</f>
        <v>23.90625</v>
      </c>
      <c r="Q236" s="77">
        <f>VLOOKUP($B236,[1]ბიუჯეტი!$B:$K,7,FALSE)</f>
        <v>4582.828125</v>
      </c>
      <c r="R236" s="77">
        <f>VLOOKUP($B236,[1]ბიუჯეტი!$B:$K,8,FALSE)</f>
        <v>0</v>
      </c>
      <c r="S236" s="77">
        <f>VLOOKUP($B236,[1]ბიუჯეტი!$B:$K,9,FALSE)</f>
        <v>0</v>
      </c>
      <c r="T236" s="77">
        <f>VLOOKUP($B236,[1]ბიუჯეტი!$B:$K,10,FALSE)</f>
        <v>4582.828125</v>
      </c>
      <c r="V236" s="78">
        <f t="shared" si="30"/>
        <v>0</v>
      </c>
      <c r="W236" s="78">
        <f t="shared" si="31"/>
        <v>0</v>
      </c>
      <c r="X236" s="78">
        <f t="shared" si="32"/>
        <v>0</v>
      </c>
      <c r="Y236" s="78">
        <f t="shared" si="33"/>
        <v>13.050000000000011</v>
      </c>
    </row>
    <row r="237" spans="1:25" hidden="1" outlineLevel="1" x14ac:dyDescent="0.35">
      <c r="A237" s="51"/>
      <c r="B237" s="3" t="s">
        <v>80</v>
      </c>
      <c r="C237" s="4" t="s">
        <v>49</v>
      </c>
      <c r="D237" s="1">
        <f>D236*13</f>
        <v>2661.75</v>
      </c>
      <c r="E237" s="1">
        <f>SUMIFS(მასალა!D1:D220,მასალა!B1:B220,ბიუჯეტი!B237)</f>
        <v>1.0593220338983051</v>
      </c>
      <c r="F237" s="1">
        <f t="shared" si="37"/>
        <v>2819.6504237288136</v>
      </c>
      <c r="G237" s="1"/>
      <c r="H237" s="1"/>
      <c r="I237" s="1"/>
      <c r="J237" s="1"/>
      <c r="K237" s="1">
        <f t="shared" si="36"/>
        <v>2819.6504237288136</v>
      </c>
      <c r="M237" s="77">
        <f>VLOOKUP(B237,[1]ბიუჯეტი!$B:$K,3,FALSE)</f>
        <v>830.69999999999993</v>
      </c>
      <c r="N237" s="77">
        <f>VLOOKUP($B237,[1]ბიუჯეტი!$B:$K,4,FALSE)</f>
        <v>1.0593220338983051</v>
      </c>
      <c r="O237" s="77">
        <f>VLOOKUP($B237,[1]ბიუჯეტი!$B:$K,5,FALSE)</f>
        <v>879.97881355932202</v>
      </c>
      <c r="P237" s="77">
        <f>VLOOKUP($B237,[1]ბიუჯეტი!$B:$K,6,FALSE)</f>
        <v>0</v>
      </c>
      <c r="Q237" s="77">
        <f>VLOOKUP($B237,[1]ბიუჯეტი!$B:$K,7,FALSE)</f>
        <v>0</v>
      </c>
      <c r="R237" s="77">
        <f>VLOOKUP($B237,[1]ბიუჯეტი!$B:$K,8,FALSE)</f>
        <v>0</v>
      </c>
      <c r="S237" s="77">
        <f>VLOOKUP($B237,[1]ბიუჯეტი!$B:$K,9,FALSE)</f>
        <v>0</v>
      </c>
      <c r="T237" s="77">
        <f>VLOOKUP($B237,[1]ბიუჯეტი!$B:$K,10,FALSE)</f>
        <v>879.97881355932202</v>
      </c>
      <c r="V237" s="78">
        <f t="shared" si="30"/>
        <v>0</v>
      </c>
      <c r="W237" s="78">
        <f t="shared" si="31"/>
        <v>0</v>
      </c>
      <c r="X237" s="78">
        <f t="shared" si="32"/>
        <v>0</v>
      </c>
      <c r="Y237" s="78">
        <f t="shared" si="33"/>
        <v>1831.0500000000002</v>
      </c>
    </row>
    <row r="238" spans="1:25" hidden="1" outlineLevel="1" x14ac:dyDescent="0.35">
      <c r="A238" s="51"/>
      <c r="B238" s="3" t="s">
        <v>191</v>
      </c>
      <c r="C238" s="4" t="s">
        <v>40</v>
      </c>
      <c r="D238" s="1">
        <f>1.2*11*3</f>
        <v>39.599999999999994</v>
      </c>
      <c r="E238" s="1">
        <f>SUMIFS(მასალა!D2:D221,მასალა!B2:B221,ბიუჯეტი!B238)</f>
        <v>0</v>
      </c>
      <c r="F238" s="1">
        <f t="shared" si="37"/>
        <v>0</v>
      </c>
      <c r="G238" s="1">
        <f>ხელფასი!D5</f>
        <v>19.125</v>
      </c>
      <c r="H238" s="1">
        <f>D238*G238</f>
        <v>757.34999999999991</v>
      </c>
      <c r="I238" s="1"/>
      <c r="J238" s="1"/>
      <c r="K238" s="1">
        <f t="shared" si="36"/>
        <v>757.34999999999991</v>
      </c>
      <c r="M238" s="77">
        <f>VLOOKUP(B238,[1]ბიუჯეტი!$B:$K,3,FALSE)</f>
        <v>4</v>
      </c>
      <c r="N238" s="77">
        <f>VLOOKUP($B238,[1]ბიუჯეტი!$B:$K,4,FALSE)</f>
        <v>0</v>
      </c>
      <c r="O238" s="77">
        <f>VLOOKUP($B238,[1]ბიუჯეტი!$B:$K,5,FALSE)</f>
        <v>0</v>
      </c>
      <c r="P238" s="77">
        <f>VLOOKUP($B238,[1]ბიუჯეტი!$B:$K,6,FALSE)</f>
        <v>0</v>
      </c>
      <c r="Q238" s="77">
        <f>VLOOKUP($B238,[1]ბიუჯეტი!$B:$K,7,FALSE)</f>
        <v>0</v>
      </c>
      <c r="R238" s="77">
        <f>VLOOKUP($B238,[1]ბიუჯეტი!$B:$K,8,FALSE)</f>
        <v>0</v>
      </c>
      <c r="S238" s="77">
        <f>VLOOKUP($B238,[1]ბიუჯეტი!$B:$K,9,FALSE)</f>
        <v>0</v>
      </c>
      <c r="T238" s="77">
        <f>VLOOKUP($B238,[1]ბიუჯეტი!$B:$K,10,FALSE)</f>
        <v>0</v>
      </c>
      <c r="V238" s="78">
        <f t="shared" si="30"/>
        <v>0</v>
      </c>
      <c r="W238" s="78">
        <f t="shared" si="31"/>
        <v>19.125</v>
      </c>
      <c r="X238" s="78">
        <f t="shared" si="32"/>
        <v>0</v>
      </c>
      <c r="Y238" s="78">
        <f t="shared" si="33"/>
        <v>35.599999999999994</v>
      </c>
    </row>
    <row r="239" spans="1:25" hidden="1" outlineLevel="1" x14ac:dyDescent="0.35">
      <c r="A239" s="51"/>
      <c r="B239" s="3" t="s">
        <v>50</v>
      </c>
      <c r="C239" s="4" t="s">
        <v>9</v>
      </c>
      <c r="D239" s="1">
        <f>0.03*D236*1.05</f>
        <v>6.4496250000000002</v>
      </c>
      <c r="E239" s="1">
        <f>SUMIFS(მასალა!D3:D222,მასალა!B3:B222,ბიუჯეტი!B239)</f>
        <v>59.322033898305087</v>
      </c>
      <c r="F239" s="1">
        <f t="shared" si="37"/>
        <v>382.60487288135596</v>
      </c>
      <c r="G239" s="1"/>
      <c r="H239" s="1"/>
      <c r="I239" s="1"/>
      <c r="J239" s="1"/>
      <c r="K239" s="1">
        <f t="shared" si="36"/>
        <v>382.60487288135596</v>
      </c>
      <c r="M239" s="77">
        <f>VLOOKUP(B239,[1]ბიუჯეტი!$B:$K,3,FALSE)</f>
        <v>20.730401999999998</v>
      </c>
      <c r="N239" s="77">
        <f>VLOOKUP($B239,[1]ბიუჯეტი!$B:$K,4,FALSE)</f>
        <v>59.322033898305087</v>
      </c>
      <c r="O239" s="77">
        <f>VLOOKUP($B239,[1]ბიუჯეტი!$B:$K,5,FALSE)</f>
        <v>1229.7696101694914</v>
      </c>
      <c r="P239" s="77">
        <f>VLOOKUP($B239,[1]ბიუჯეტი!$B:$K,6,FALSE)</f>
        <v>0</v>
      </c>
      <c r="Q239" s="77">
        <f>VLOOKUP($B239,[1]ბიუჯეტი!$B:$K,7,FALSE)</f>
        <v>0</v>
      </c>
      <c r="R239" s="77">
        <f>VLOOKUP($B239,[1]ბიუჯეტი!$B:$K,8,FALSE)</f>
        <v>0</v>
      </c>
      <c r="S239" s="77">
        <f>VLOOKUP($B239,[1]ბიუჯეტი!$B:$K,9,FALSE)</f>
        <v>0</v>
      </c>
      <c r="T239" s="77">
        <f>VLOOKUP($B239,[1]ბიუჯეტი!$B:$K,10,FALSE)</f>
        <v>1229.7696101694914</v>
      </c>
      <c r="V239" s="78">
        <f t="shared" si="30"/>
        <v>0</v>
      </c>
      <c r="W239" s="78">
        <f t="shared" si="31"/>
        <v>0</v>
      </c>
      <c r="X239" s="78">
        <f t="shared" si="32"/>
        <v>0</v>
      </c>
      <c r="Y239" s="78">
        <f t="shared" si="33"/>
        <v>-14.280776999999997</v>
      </c>
    </row>
    <row r="240" spans="1:25" hidden="1" outlineLevel="1" x14ac:dyDescent="0.35">
      <c r="A240" s="51"/>
      <c r="B240" s="3" t="s">
        <v>51</v>
      </c>
      <c r="C240" s="4" t="s">
        <v>12</v>
      </c>
      <c r="D240" s="1">
        <f>D239/4*1.05</f>
        <v>1.6930265625000001</v>
      </c>
      <c r="E240" s="1">
        <f>SUMIFS(მასალა!D4:D223,მასალა!B4:B223,ბიუჯეტი!B240)</f>
        <v>265.50000000000006</v>
      </c>
      <c r="F240" s="1">
        <f t="shared" si="37"/>
        <v>449.49855234375013</v>
      </c>
      <c r="G240" s="1"/>
      <c r="H240" s="1">
        <f>D240*G240</f>
        <v>0</v>
      </c>
      <c r="I240" s="1"/>
      <c r="J240" s="1"/>
      <c r="K240" s="1">
        <f t="shared" si="36"/>
        <v>449.49855234375013</v>
      </c>
      <c r="M240" s="77">
        <f>VLOOKUP(B240,[1]ბიუჯეტი!$B:$K,3,FALSE)</f>
        <v>5.4417305249999997</v>
      </c>
      <c r="N240" s="77">
        <f>VLOOKUP($B240,[1]ბიუჯეტი!$B:$K,4,FALSE)</f>
        <v>265.47457627118644</v>
      </c>
      <c r="O240" s="77">
        <f>VLOOKUP($B240,[1]ბიუჯეტი!$B:$K,5,FALSE)</f>
        <v>1444.6411053063557</v>
      </c>
      <c r="P240" s="77">
        <f>VLOOKUP($B240,[1]ბიუჯეტი!$B:$K,6,FALSE)</f>
        <v>0</v>
      </c>
      <c r="Q240" s="77">
        <f>VLOOKUP($B240,[1]ბიუჯეტი!$B:$K,7,FALSE)</f>
        <v>0</v>
      </c>
      <c r="R240" s="77">
        <f>VLOOKUP($B240,[1]ბიუჯეტი!$B:$K,8,FALSE)</f>
        <v>0</v>
      </c>
      <c r="S240" s="77">
        <f>VLOOKUP($B240,[1]ბიუჯეტი!$B:$K,9,FALSE)</f>
        <v>0</v>
      </c>
      <c r="T240" s="77">
        <f>VLOOKUP($B240,[1]ბიუჯეტი!$B:$K,10,FALSE)</f>
        <v>1444.6411053063557</v>
      </c>
      <c r="V240" s="78">
        <f t="shared" si="30"/>
        <v>2.5423728813620983E-2</v>
      </c>
      <c r="W240" s="78">
        <f t="shared" si="31"/>
        <v>0</v>
      </c>
      <c r="X240" s="78">
        <f t="shared" si="32"/>
        <v>0</v>
      </c>
      <c r="Y240" s="78">
        <f t="shared" si="33"/>
        <v>-3.7487039624999996</v>
      </c>
    </row>
    <row r="241" spans="1:25" hidden="1" outlineLevel="1" x14ac:dyDescent="0.35">
      <c r="A241" s="51"/>
      <c r="B241" s="3" t="s">
        <v>369</v>
      </c>
      <c r="C241" s="4" t="s">
        <v>10</v>
      </c>
      <c r="D241" s="1">
        <f>D236</f>
        <v>204.75</v>
      </c>
      <c r="E241" s="1">
        <f>SUMIFS(მასალა!D5:D224,მასალა!B5:B224,ბიუჯეტი!B241)</f>
        <v>0.84745762711864414</v>
      </c>
      <c r="F241" s="1">
        <f t="shared" si="37"/>
        <v>173.5169491525424</v>
      </c>
      <c r="G241" s="1"/>
      <c r="H241" s="1">
        <f>D241*G241</f>
        <v>0</v>
      </c>
      <c r="I241" s="1"/>
      <c r="J241" s="1"/>
      <c r="K241" s="1">
        <f t="shared" si="36"/>
        <v>173.5169491525424</v>
      </c>
      <c r="M241" s="77">
        <f>VLOOKUP(B241,[1]ბიუჯეტი!$B:$K,3,FALSE)</f>
        <v>658.10799999999995</v>
      </c>
      <c r="N241" s="77">
        <f>VLOOKUP($B241,[1]ბიუჯეტი!$B:$K,4,FALSE)</f>
        <v>0.84745762711864414</v>
      </c>
      <c r="O241" s="77">
        <f>VLOOKUP($B241,[1]ბიუჯეტი!$B:$K,5,FALSE)</f>
        <v>557.71864406779662</v>
      </c>
      <c r="P241" s="77">
        <f>VLOOKUP($B241,[1]ბიუჯეტი!$B:$K,6,FALSE)</f>
        <v>0</v>
      </c>
      <c r="Q241" s="77">
        <f>VLOOKUP($B241,[1]ბიუჯეტი!$B:$K,7,FALSE)</f>
        <v>0</v>
      </c>
      <c r="R241" s="77">
        <f>VLOOKUP($B241,[1]ბიუჯეტი!$B:$K,8,FALSE)</f>
        <v>0</v>
      </c>
      <c r="S241" s="77">
        <f>VLOOKUP($B241,[1]ბიუჯეტი!$B:$K,9,FALSE)</f>
        <v>0</v>
      </c>
      <c r="T241" s="77">
        <f>VLOOKUP($B241,[1]ბიუჯეტი!$B:$K,10,FALSE)</f>
        <v>557.71864406779662</v>
      </c>
      <c r="V241" s="78">
        <f t="shared" si="30"/>
        <v>0</v>
      </c>
      <c r="W241" s="78">
        <f t="shared" si="31"/>
        <v>0</v>
      </c>
      <c r="X241" s="78">
        <f t="shared" si="32"/>
        <v>0</v>
      </c>
      <c r="Y241" s="78">
        <f t="shared" si="33"/>
        <v>-453.35799999999995</v>
      </c>
    </row>
    <row r="242" spans="1:25" collapsed="1" x14ac:dyDescent="0.35">
      <c r="A242" s="63">
        <v>17</v>
      </c>
      <c r="B242" s="64" t="s">
        <v>426</v>
      </c>
      <c r="C242" s="65" t="s">
        <v>10</v>
      </c>
      <c r="D242" s="66">
        <f>SUM(D243,D248,D254)</f>
        <v>536.14800000000002</v>
      </c>
      <c r="E242" s="66">
        <f>SUM(K244:K247,K249:K253,K255:K258)/D242</f>
        <v>21.36213792879121</v>
      </c>
      <c r="F242" s="66">
        <f t="shared" si="37"/>
        <v>11453.26752624555</v>
      </c>
      <c r="G242" s="66">
        <f>SUM(H243:H258)/D242</f>
        <v>25.256996435685672</v>
      </c>
      <c r="H242" s="66">
        <f>G242*D242</f>
        <v>13541.488125000002</v>
      </c>
      <c r="I242" s="66">
        <v>0</v>
      </c>
      <c r="J242" s="66">
        <v>0</v>
      </c>
      <c r="K242" s="1">
        <f t="shared" si="36"/>
        <v>24994.755651245552</v>
      </c>
      <c r="M242" s="77">
        <f>VLOOKUP(B242,[1]ბიუჯეტი!$B:$K,3,FALSE)</f>
        <v>601.53679999999997</v>
      </c>
      <c r="N242" s="77">
        <f>VLOOKUP($B242,[1]ბიუჯეტი!$B:$K,4,FALSE)</f>
        <v>21.070658623980744</v>
      </c>
      <c r="O242" s="77">
        <f>VLOOKUP($B242,[1]ბიუჯეტი!$B:$K,5,FALSE)</f>
        <v>12674.776562561779</v>
      </c>
      <c r="P242" s="77">
        <f>VLOOKUP($B242,[1]ბიუჯეტი!$B:$K,6,FALSE)</f>
        <v>25.110166368873855</v>
      </c>
      <c r="Q242" s="77">
        <f>VLOOKUP($B242,[1]ბიუჯეტი!$B:$K,7,FALSE)</f>
        <v>15104.689124999997</v>
      </c>
      <c r="R242" s="77">
        <f>VLOOKUP($B242,[1]ბიუჯეტი!$B:$K,8,FALSE)</f>
        <v>0</v>
      </c>
      <c r="S242" s="77">
        <f>VLOOKUP($B242,[1]ბიუჯეტი!$B:$K,9,FALSE)</f>
        <v>0</v>
      </c>
      <c r="T242" s="77">
        <f>VLOOKUP($B242,[1]ბიუჯეტი!$B:$K,10,FALSE)</f>
        <v>27779.465687561777</v>
      </c>
      <c r="V242" s="78">
        <f t="shared" si="30"/>
        <v>0.29147930481046558</v>
      </c>
      <c r="W242" s="78">
        <f t="shared" si="31"/>
        <v>0.1468300668118161</v>
      </c>
      <c r="X242" s="78">
        <f t="shared" si="32"/>
        <v>0</v>
      </c>
      <c r="Y242" s="78">
        <f t="shared" si="33"/>
        <v>-65.388799999999947</v>
      </c>
    </row>
    <row r="243" spans="1:25" hidden="1" outlineLevel="1" x14ac:dyDescent="0.35">
      <c r="A243" s="51">
        <v>2</v>
      </c>
      <c r="B243" s="23" t="s">
        <v>319</v>
      </c>
      <c r="C243" s="4" t="s">
        <v>10</v>
      </c>
      <c r="D243" s="1">
        <f>სამუშაო!F35+სამუშაო!D35</f>
        <v>0</v>
      </c>
      <c r="E243" s="1"/>
      <c r="F243" s="1">
        <f t="shared" si="37"/>
        <v>0</v>
      </c>
      <c r="G243" s="1">
        <f>ხელფასი!D4</f>
        <v>23.90625</v>
      </c>
      <c r="H243" s="1">
        <f>G243*D243</f>
        <v>0</v>
      </c>
      <c r="I243" s="1"/>
      <c r="J243" s="1"/>
      <c r="K243" s="1">
        <f t="shared" si="36"/>
        <v>0</v>
      </c>
      <c r="M243" s="77">
        <f>VLOOKUP(B243,[1]ბიუჯეტი!$B:$K,3,FALSE)</f>
        <v>25.52</v>
      </c>
      <c r="N243" s="77">
        <f>VLOOKUP($B243,[1]ბიუჯეტი!$B:$K,4,FALSE)</f>
        <v>0</v>
      </c>
      <c r="O243" s="77">
        <f>VLOOKUP($B243,[1]ბიუჯეტი!$B:$K,5,FALSE)</f>
        <v>0</v>
      </c>
      <c r="P243" s="77">
        <f>VLOOKUP($B243,[1]ბიუჯეტი!$B:$K,6,FALSE)</f>
        <v>23.90625</v>
      </c>
      <c r="Q243" s="77">
        <f>VLOOKUP($B243,[1]ბიუჯეტი!$B:$K,7,FALSE)</f>
        <v>610.08749999999998</v>
      </c>
      <c r="R243" s="77">
        <f>VLOOKUP($B243,[1]ბიუჯეტი!$B:$K,8,FALSE)</f>
        <v>0</v>
      </c>
      <c r="S243" s="77">
        <f>VLOOKUP($B243,[1]ბიუჯეტი!$B:$K,9,FALSE)</f>
        <v>0</v>
      </c>
      <c r="T243" s="77">
        <f>VLOOKUP($B243,[1]ბიუჯეტი!$B:$K,10,FALSE)</f>
        <v>610.08749999999998</v>
      </c>
      <c r="V243" s="78">
        <f t="shared" si="30"/>
        <v>0</v>
      </c>
      <c r="W243" s="78">
        <f t="shared" si="31"/>
        <v>0</v>
      </c>
      <c r="X243" s="78">
        <f t="shared" si="32"/>
        <v>0</v>
      </c>
      <c r="Y243" s="78">
        <f t="shared" si="33"/>
        <v>-25.52</v>
      </c>
    </row>
    <row r="244" spans="1:25" hidden="1" outlineLevel="1" x14ac:dyDescent="0.35">
      <c r="A244" s="51"/>
      <c r="B244" s="3" t="s">
        <v>80</v>
      </c>
      <c r="C244" s="4" t="s">
        <v>49</v>
      </c>
      <c r="D244" s="1">
        <f>D243*13</f>
        <v>0</v>
      </c>
      <c r="E244" s="1">
        <f>SUMIFS(მასალა!D1:D227,მასალა!B1:B227,ბიუჯეტი!B244)</f>
        <v>1.0593220338983051</v>
      </c>
      <c r="F244" s="1">
        <f t="shared" si="37"/>
        <v>0</v>
      </c>
      <c r="G244" s="1"/>
      <c r="H244" s="1"/>
      <c r="I244" s="1"/>
      <c r="J244" s="1"/>
      <c r="K244" s="1">
        <f t="shared" si="36"/>
        <v>0</v>
      </c>
      <c r="M244" s="77">
        <f>VLOOKUP(B244,[1]ბიუჯეტი!$B:$K,3,FALSE)</f>
        <v>830.69999999999993</v>
      </c>
      <c r="N244" s="77">
        <f>VLOOKUP($B244,[1]ბიუჯეტი!$B:$K,4,FALSE)</f>
        <v>1.0593220338983051</v>
      </c>
      <c r="O244" s="77">
        <f>VLOOKUP($B244,[1]ბიუჯეტი!$B:$K,5,FALSE)</f>
        <v>879.97881355932202</v>
      </c>
      <c r="P244" s="77">
        <f>VLOOKUP($B244,[1]ბიუჯეტი!$B:$K,6,FALSE)</f>
        <v>0</v>
      </c>
      <c r="Q244" s="77">
        <f>VLOOKUP($B244,[1]ბიუჯეტი!$B:$K,7,FALSE)</f>
        <v>0</v>
      </c>
      <c r="R244" s="77">
        <f>VLOOKUP($B244,[1]ბიუჯეტი!$B:$K,8,FALSE)</f>
        <v>0</v>
      </c>
      <c r="S244" s="77">
        <f>VLOOKUP($B244,[1]ბიუჯეტი!$B:$K,9,FALSE)</f>
        <v>0</v>
      </c>
      <c r="T244" s="77">
        <f>VLOOKUP($B244,[1]ბიუჯეტი!$B:$K,10,FALSE)</f>
        <v>879.97881355932202</v>
      </c>
      <c r="V244" s="78">
        <f t="shared" si="30"/>
        <v>0</v>
      </c>
      <c r="W244" s="78">
        <f t="shared" si="31"/>
        <v>0</v>
      </c>
      <c r="X244" s="78">
        <f t="shared" si="32"/>
        <v>0</v>
      </c>
      <c r="Y244" s="78">
        <f t="shared" si="33"/>
        <v>-830.69999999999993</v>
      </c>
    </row>
    <row r="245" spans="1:25" hidden="1" outlineLevel="1" x14ac:dyDescent="0.35">
      <c r="A245" s="51"/>
      <c r="B245" s="3" t="s">
        <v>50</v>
      </c>
      <c r="C245" s="4" t="s">
        <v>9</v>
      </c>
      <c r="D245" s="1">
        <f>0.03*D243*1.05</f>
        <v>0</v>
      </c>
      <c r="E245" s="1">
        <f>SUMIFS(მასალა!D2:D228,მასალა!B2:B228,ბიუჯეტი!B245)</f>
        <v>59.322033898305087</v>
      </c>
      <c r="F245" s="1">
        <f t="shared" si="37"/>
        <v>0</v>
      </c>
      <c r="G245" s="1"/>
      <c r="H245" s="1"/>
      <c r="I245" s="1"/>
      <c r="J245" s="1"/>
      <c r="K245" s="1">
        <f t="shared" si="36"/>
        <v>0</v>
      </c>
      <c r="M245" s="77">
        <f>VLOOKUP(B245,[1]ბიუჯეტი!$B:$K,3,FALSE)</f>
        <v>20.730401999999998</v>
      </c>
      <c r="N245" s="77">
        <f>VLOOKUP($B245,[1]ბიუჯეტი!$B:$K,4,FALSE)</f>
        <v>59.322033898305087</v>
      </c>
      <c r="O245" s="77">
        <f>VLOOKUP($B245,[1]ბიუჯეტი!$B:$K,5,FALSE)</f>
        <v>1229.7696101694914</v>
      </c>
      <c r="P245" s="77">
        <f>VLOOKUP($B245,[1]ბიუჯეტი!$B:$K,6,FALSE)</f>
        <v>0</v>
      </c>
      <c r="Q245" s="77">
        <f>VLOOKUP($B245,[1]ბიუჯეტი!$B:$K,7,FALSE)</f>
        <v>0</v>
      </c>
      <c r="R245" s="77">
        <f>VLOOKUP($B245,[1]ბიუჯეტი!$B:$K,8,FALSE)</f>
        <v>0</v>
      </c>
      <c r="S245" s="77">
        <f>VLOOKUP($B245,[1]ბიუჯეტი!$B:$K,9,FALSE)</f>
        <v>0</v>
      </c>
      <c r="T245" s="77">
        <f>VLOOKUP($B245,[1]ბიუჯეტი!$B:$K,10,FALSE)</f>
        <v>1229.7696101694914</v>
      </c>
      <c r="V245" s="78">
        <f t="shared" si="30"/>
        <v>0</v>
      </c>
      <c r="W245" s="78">
        <f t="shared" si="31"/>
        <v>0</v>
      </c>
      <c r="X245" s="78">
        <f t="shared" si="32"/>
        <v>0</v>
      </c>
      <c r="Y245" s="78">
        <f t="shared" si="33"/>
        <v>-20.730401999999998</v>
      </c>
    </row>
    <row r="246" spans="1:25" hidden="1" outlineLevel="1" x14ac:dyDescent="0.35">
      <c r="A246" s="51"/>
      <c r="B246" s="3" t="s">
        <v>51</v>
      </c>
      <c r="C246" s="4" t="s">
        <v>12</v>
      </c>
      <c r="D246" s="1">
        <f>D245/4*1.05</f>
        <v>0</v>
      </c>
      <c r="E246" s="1">
        <f>SUMIFS(მასალა!D3:D229,მასალა!B3:B229,ბიუჯეტი!B246)</f>
        <v>265.50000000000006</v>
      </c>
      <c r="F246" s="1">
        <f t="shared" si="37"/>
        <v>0</v>
      </c>
      <c r="G246" s="1"/>
      <c r="H246" s="1">
        <f>D246*G246</f>
        <v>0</v>
      </c>
      <c r="I246" s="1"/>
      <c r="J246" s="1"/>
      <c r="K246" s="1">
        <f t="shared" si="36"/>
        <v>0</v>
      </c>
      <c r="M246" s="77">
        <f>VLOOKUP(B246,[1]ბიუჯეტი!$B:$K,3,FALSE)</f>
        <v>5.4417305249999997</v>
      </c>
      <c r="N246" s="77">
        <f>VLOOKUP($B246,[1]ბიუჯეტი!$B:$K,4,FALSE)</f>
        <v>265.47457627118644</v>
      </c>
      <c r="O246" s="77">
        <f>VLOOKUP($B246,[1]ბიუჯეტი!$B:$K,5,FALSE)</f>
        <v>1444.6411053063557</v>
      </c>
      <c r="P246" s="77">
        <f>VLOOKUP($B246,[1]ბიუჯეტი!$B:$K,6,FALSE)</f>
        <v>0</v>
      </c>
      <c r="Q246" s="77">
        <f>VLOOKUP($B246,[1]ბიუჯეტი!$B:$K,7,FALSE)</f>
        <v>0</v>
      </c>
      <c r="R246" s="77">
        <f>VLOOKUP($B246,[1]ბიუჯეტი!$B:$K,8,FALSE)</f>
        <v>0</v>
      </c>
      <c r="S246" s="77">
        <f>VLOOKUP($B246,[1]ბიუჯეტი!$B:$K,9,FALSE)</f>
        <v>0</v>
      </c>
      <c r="T246" s="77">
        <f>VLOOKUP($B246,[1]ბიუჯეტი!$B:$K,10,FALSE)</f>
        <v>1444.6411053063557</v>
      </c>
      <c r="V246" s="78">
        <f t="shared" si="30"/>
        <v>2.5423728813620983E-2</v>
      </c>
      <c r="W246" s="78">
        <f t="shared" si="31"/>
        <v>0</v>
      </c>
      <c r="X246" s="78">
        <f t="shared" si="32"/>
        <v>0</v>
      </c>
      <c r="Y246" s="78">
        <f t="shared" si="33"/>
        <v>-5.4417305249999997</v>
      </c>
    </row>
    <row r="247" spans="1:25" hidden="1" outlineLevel="1" x14ac:dyDescent="0.35">
      <c r="A247" s="51"/>
      <c r="B247" s="3" t="s">
        <v>369</v>
      </c>
      <c r="C247" s="4" t="s">
        <v>10</v>
      </c>
      <c r="D247" s="1">
        <f>D243</f>
        <v>0</v>
      </c>
      <c r="E247" s="1">
        <f>SUMIFS(მასალა!D4:D230,მასალა!B4:B230,ბიუჯეტი!B247)</f>
        <v>0.84745762711864414</v>
      </c>
      <c r="F247" s="1">
        <f t="shared" si="37"/>
        <v>0</v>
      </c>
      <c r="G247" s="1"/>
      <c r="H247" s="1"/>
      <c r="I247" s="1"/>
      <c r="J247" s="1"/>
      <c r="K247" s="1">
        <f t="shared" si="36"/>
        <v>0</v>
      </c>
      <c r="M247" s="77">
        <f>VLOOKUP(B247,[1]ბიუჯეტი!$B:$K,3,FALSE)</f>
        <v>658.10799999999995</v>
      </c>
      <c r="N247" s="77">
        <f>VLOOKUP($B247,[1]ბიუჯეტი!$B:$K,4,FALSE)</f>
        <v>0.84745762711864414</v>
      </c>
      <c r="O247" s="77">
        <f>VLOOKUP($B247,[1]ბიუჯეტი!$B:$K,5,FALSE)</f>
        <v>557.71864406779662</v>
      </c>
      <c r="P247" s="77">
        <f>VLOOKUP($B247,[1]ბიუჯეტი!$B:$K,6,FALSE)</f>
        <v>0</v>
      </c>
      <c r="Q247" s="77">
        <f>VLOOKUP($B247,[1]ბიუჯეტი!$B:$K,7,FALSE)</f>
        <v>0</v>
      </c>
      <c r="R247" s="77">
        <f>VLOOKUP($B247,[1]ბიუჯეტი!$B:$K,8,FALSE)</f>
        <v>0</v>
      </c>
      <c r="S247" s="77">
        <f>VLOOKUP($B247,[1]ბიუჯეტი!$B:$K,9,FALSE)</f>
        <v>0</v>
      </c>
      <c r="T247" s="77">
        <f>VLOOKUP($B247,[1]ბიუჯეტი!$B:$K,10,FALSE)</f>
        <v>557.71864406779662</v>
      </c>
      <c r="V247" s="78">
        <f t="shared" si="30"/>
        <v>0</v>
      </c>
      <c r="W247" s="78">
        <f t="shared" si="31"/>
        <v>0</v>
      </c>
      <c r="X247" s="78">
        <f t="shared" si="32"/>
        <v>0</v>
      </c>
      <c r="Y247" s="78">
        <f t="shared" si="33"/>
        <v>-658.10799999999995</v>
      </c>
    </row>
    <row r="248" spans="1:25" hidden="1" outlineLevel="1" x14ac:dyDescent="0.35">
      <c r="A248" s="51">
        <v>3</v>
      </c>
      <c r="B248" s="23" t="s">
        <v>81</v>
      </c>
      <c r="C248" s="4" t="s">
        <v>10</v>
      </c>
      <c r="D248" s="1">
        <f>სამუშაო!G36+სამუშაო!D36+სამუშაო!F36+სამუშაო!E36</f>
        <v>115.53300000000002</v>
      </c>
      <c r="E248" s="1"/>
      <c r="F248" s="1">
        <f t="shared" si="37"/>
        <v>0</v>
      </c>
      <c r="G248" s="1">
        <f>ხელფასი!D4</f>
        <v>23.90625</v>
      </c>
      <c r="H248" s="1">
        <f>G248*D248</f>
        <v>2761.9607812500003</v>
      </c>
      <c r="I248" s="1"/>
      <c r="J248" s="1"/>
      <c r="K248" s="1">
        <f t="shared" si="36"/>
        <v>2761.9607812500003</v>
      </c>
      <c r="M248" s="77">
        <f>VLOOKUP(B248,[1]ბიუჯეტი!$B:$K,3,FALSE)</f>
        <v>117.4932</v>
      </c>
      <c r="N248" s="77">
        <f>VLOOKUP($B248,[1]ბიუჯეტი!$B:$K,4,FALSE)</f>
        <v>0</v>
      </c>
      <c r="O248" s="77">
        <f>VLOOKUP($B248,[1]ბიუჯეტი!$B:$K,5,FALSE)</f>
        <v>0</v>
      </c>
      <c r="P248" s="77">
        <f>VLOOKUP($B248,[1]ბიუჯეტი!$B:$K,6,FALSE)</f>
        <v>23.90625</v>
      </c>
      <c r="Q248" s="77">
        <f>VLOOKUP($B248,[1]ბიუჯეტი!$B:$K,7,FALSE)</f>
        <v>2808.8218124999999</v>
      </c>
      <c r="R248" s="77">
        <f>VLOOKUP($B248,[1]ბიუჯეტი!$B:$K,8,FALSE)</f>
        <v>0</v>
      </c>
      <c r="S248" s="77">
        <f>VLOOKUP($B248,[1]ბიუჯეტი!$B:$K,9,FALSE)</f>
        <v>0</v>
      </c>
      <c r="T248" s="77">
        <f>VLOOKUP($B248,[1]ბიუჯეტი!$B:$K,10,FALSE)</f>
        <v>2808.8218124999999</v>
      </c>
      <c r="V248" s="78">
        <f t="shared" si="30"/>
        <v>0</v>
      </c>
      <c r="W248" s="78">
        <f t="shared" si="31"/>
        <v>0</v>
      </c>
      <c r="X248" s="78">
        <f t="shared" si="32"/>
        <v>0</v>
      </c>
      <c r="Y248" s="78">
        <f t="shared" si="33"/>
        <v>-1.9601999999999862</v>
      </c>
    </row>
    <row r="249" spans="1:25" hidden="1" outlineLevel="1" x14ac:dyDescent="0.35">
      <c r="A249" s="51"/>
      <c r="B249" s="3" t="s">
        <v>80</v>
      </c>
      <c r="C249" s="4" t="s">
        <v>49</v>
      </c>
      <c r="D249" s="1">
        <f>D248*13</f>
        <v>1501.9290000000001</v>
      </c>
      <c r="E249" s="1">
        <f>SUMIFS(მასალა!D1:D232,მასალა!B1:B232,ბიუჯეტი!B249)</f>
        <v>1.0593220338983051</v>
      </c>
      <c r="F249" s="1">
        <f t="shared" si="37"/>
        <v>1591.0264830508477</v>
      </c>
      <c r="G249" s="1"/>
      <c r="H249" s="1"/>
      <c r="I249" s="1"/>
      <c r="J249" s="1"/>
      <c r="K249" s="1">
        <f t="shared" si="36"/>
        <v>1591.0264830508477</v>
      </c>
      <c r="M249" s="77">
        <f>VLOOKUP(B249,[1]ბიუჯეტი!$B:$K,3,FALSE)</f>
        <v>830.69999999999993</v>
      </c>
      <c r="N249" s="77">
        <f>VLOOKUP($B249,[1]ბიუჯეტი!$B:$K,4,FALSE)</f>
        <v>1.0593220338983051</v>
      </c>
      <c r="O249" s="77">
        <f>VLOOKUP($B249,[1]ბიუჯეტი!$B:$K,5,FALSE)</f>
        <v>879.97881355932202</v>
      </c>
      <c r="P249" s="77">
        <f>VLOOKUP($B249,[1]ბიუჯეტი!$B:$K,6,FALSE)</f>
        <v>0</v>
      </c>
      <c r="Q249" s="77">
        <f>VLOOKUP($B249,[1]ბიუჯეტი!$B:$K,7,FALSE)</f>
        <v>0</v>
      </c>
      <c r="R249" s="77">
        <f>VLOOKUP($B249,[1]ბიუჯეტი!$B:$K,8,FALSE)</f>
        <v>0</v>
      </c>
      <c r="S249" s="77">
        <f>VLOOKUP($B249,[1]ბიუჯეტი!$B:$K,9,FALSE)</f>
        <v>0</v>
      </c>
      <c r="T249" s="77">
        <f>VLOOKUP($B249,[1]ბიუჯეტი!$B:$K,10,FALSE)</f>
        <v>879.97881355932202</v>
      </c>
      <c r="V249" s="78">
        <f t="shared" si="30"/>
        <v>0</v>
      </c>
      <c r="W249" s="78">
        <f t="shared" si="31"/>
        <v>0</v>
      </c>
      <c r="X249" s="78">
        <f t="shared" si="32"/>
        <v>0</v>
      </c>
      <c r="Y249" s="78">
        <f t="shared" si="33"/>
        <v>671.22900000000016</v>
      </c>
    </row>
    <row r="250" spans="1:25" hidden="1" outlineLevel="1" x14ac:dyDescent="0.35">
      <c r="A250" s="51"/>
      <c r="B250" s="3" t="s">
        <v>50</v>
      </c>
      <c r="C250" s="4" t="s">
        <v>9</v>
      </c>
      <c r="D250" s="1">
        <f>0.03*D248*1.05</f>
        <v>3.6392895000000003</v>
      </c>
      <c r="E250" s="1">
        <f>SUMIFS(მასალა!D2:D233,მასალა!B2:B233,ბიუჯეტი!B250)</f>
        <v>59.322033898305087</v>
      </c>
      <c r="F250" s="1">
        <f t="shared" si="37"/>
        <v>215.8900550847458</v>
      </c>
      <c r="G250" s="1"/>
      <c r="H250" s="1"/>
      <c r="I250" s="1"/>
      <c r="J250" s="1"/>
      <c r="K250" s="1">
        <f t="shared" si="36"/>
        <v>215.8900550847458</v>
      </c>
      <c r="M250" s="77">
        <f>VLOOKUP(B250,[1]ბიუჯეტი!$B:$K,3,FALSE)</f>
        <v>20.730401999999998</v>
      </c>
      <c r="N250" s="77">
        <f>VLOOKUP($B250,[1]ბიუჯეტი!$B:$K,4,FALSE)</f>
        <v>59.322033898305087</v>
      </c>
      <c r="O250" s="77">
        <f>VLOOKUP($B250,[1]ბიუჯეტი!$B:$K,5,FALSE)</f>
        <v>1229.7696101694914</v>
      </c>
      <c r="P250" s="77">
        <f>VLOOKUP($B250,[1]ბიუჯეტი!$B:$K,6,FALSE)</f>
        <v>0</v>
      </c>
      <c r="Q250" s="77">
        <f>VLOOKUP($B250,[1]ბიუჯეტი!$B:$K,7,FALSE)</f>
        <v>0</v>
      </c>
      <c r="R250" s="77">
        <f>VLOOKUP($B250,[1]ბიუჯეტი!$B:$K,8,FALSE)</f>
        <v>0</v>
      </c>
      <c r="S250" s="77">
        <f>VLOOKUP($B250,[1]ბიუჯეტი!$B:$K,9,FALSE)</f>
        <v>0</v>
      </c>
      <c r="T250" s="77">
        <f>VLOOKUP($B250,[1]ბიუჯეტი!$B:$K,10,FALSE)</f>
        <v>1229.7696101694914</v>
      </c>
      <c r="V250" s="78">
        <f t="shared" si="30"/>
        <v>0</v>
      </c>
      <c r="W250" s="78">
        <f t="shared" si="31"/>
        <v>0</v>
      </c>
      <c r="X250" s="78">
        <f t="shared" si="32"/>
        <v>0</v>
      </c>
      <c r="Y250" s="78">
        <f t="shared" si="33"/>
        <v>-17.091112499999998</v>
      </c>
    </row>
    <row r="251" spans="1:25" hidden="1" outlineLevel="1" x14ac:dyDescent="0.35">
      <c r="A251" s="51"/>
      <c r="B251" s="3" t="s">
        <v>185</v>
      </c>
      <c r="C251" s="4" t="s">
        <v>40</v>
      </c>
      <c r="D251" s="1">
        <f>12*3+2.6*2*4</f>
        <v>56.8</v>
      </c>
      <c r="E251" s="1">
        <f>SUMIFS(მასალა!D1:D336,მასალა!B1:B336,ბიუჯეტი!B251)</f>
        <v>12.542372881355934</v>
      </c>
      <c r="F251" s="1">
        <f t="shared" si="37"/>
        <v>712.40677966101703</v>
      </c>
      <c r="G251" s="1">
        <f>ხელფასი!D31</f>
        <v>12.75</v>
      </c>
      <c r="H251" s="1">
        <f>D251*G251</f>
        <v>724.19999999999993</v>
      </c>
      <c r="I251" s="1"/>
      <c r="J251" s="1"/>
      <c r="K251" s="1">
        <f t="shared" si="36"/>
        <v>1436.6067796610168</v>
      </c>
      <c r="M251" s="77">
        <f>VLOOKUP(B251,[1]ბიუჯეტი!$B:$K,3,FALSE)</f>
        <v>0</v>
      </c>
      <c r="N251" s="77">
        <f>VLOOKUP($B251,[1]ბიუჯეტი!$B:$K,4,FALSE)</f>
        <v>12.542372881355934</v>
      </c>
      <c r="O251" s="77">
        <f>VLOOKUP($B251,[1]ბიუჯეტი!$B:$K,5,FALSE)</f>
        <v>0</v>
      </c>
      <c r="P251" s="77">
        <f>VLOOKUP($B251,[1]ბიუჯეტი!$B:$K,6,FALSE)</f>
        <v>12.75</v>
      </c>
      <c r="Q251" s="77">
        <f>VLOOKUP($B251,[1]ბიუჯეტი!$B:$K,7,FALSE)</f>
        <v>0</v>
      </c>
      <c r="R251" s="77">
        <f>VLOOKUP($B251,[1]ბიუჯეტი!$B:$K,8,FALSE)</f>
        <v>0</v>
      </c>
      <c r="S251" s="77">
        <f>VLOOKUP($B251,[1]ბიუჯეტი!$B:$K,9,FALSE)</f>
        <v>0</v>
      </c>
      <c r="T251" s="77">
        <f>VLOOKUP($B251,[1]ბიუჯეტი!$B:$K,10,FALSE)</f>
        <v>0</v>
      </c>
      <c r="V251" s="78">
        <f t="shared" si="30"/>
        <v>0</v>
      </c>
      <c r="W251" s="78">
        <f t="shared" si="31"/>
        <v>0</v>
      </c>
      <c r="X251" s="78">
        <f t="shared" si="32"/>
        <v>0</v>
      </c>
      <c r="Y251" s="78">
        <f t="shared" si="33"/>
        <v>56.8</v>
      </c>
    </row>
    <row r="252" spans="1:25" hidden="1" outlineLevel="1" x14ac:dyDescent="0.35">
      <c r="A252" s="51"/>
      <c r="B252" s="3" t="s">
        <v>51</v>
      </c>
      <c r="C252" s="4" t="s">
        <v>12</v>
      </c>
      <c r="D252" s="1">
        <f>D250/4*1.05</f>
        <v>0.95531349375000008</v>
      </c>
      <c r="E252" s="1">
        <f>SUMIFS(მასალა!D3:D234,მასალა!B3:B234,ბიუჯეტი!B252)</f>
        <v>265.50000000000006</v>
      </c>
      <c r="F252" s="1">
        <f t="shared" si="37"/>
        <v>253.63573259062508</v>
      </c>
      <c r="G252" s="1"/>
      <c r="H252" s="1">
        <f>D252*G252</f>
        <v>0</v>
      </c>
      <c r="I252" s="1"/>
      <c r="J252" s="1"/>
      <c r="K252" s="1">
        <f t="shared" si="36"/>
        <v>253.63573259062508</v>
      </c>
      <c r="M252" s="77">
        <f>VLOOKUP(B252,[1]ბიუჯეტი!$B:$K,3,FALSE)</f>
        <v>5.4417305249999997</v>
      </c>
      <c r="N252" s="77">
        <f>VLOOKUP($B252,[1]ბიუჯეტი!$B:$K,4,FALSE)</f>
        <v>265.47457627118644</v>
      </c>
      <c r="O252" s="77">
        <f>VLOOKUP($B252,[1]ბიუჯეტი!$B:$K,5,FALSE)</f>
        <v>1444.6411053063557</v>
      </c>
      <c r="P252" s="77">
        <f>VLOOKUP($B252,[1]ბიუჯეტი!$B:$K,6,FALSE)</f>
        <v>0</v>
      </c>
      <c r="Q252" s="77">
        <f>VLOOKUP($B252,[1]ბიუჯეტი!$B:$K,7,FALSE)</f>
        <v>0</v>
      </c>
      <c r="R252" s="77">
        <f>VLOOKUP($B252,[1]ბიუჯეტი!$B:$K,8,FALSE)</f>
        <v>0</v>
      </c>
      <c r="S252" s="77">
        <f>VLOOKUP($B252,[1]ბიუჯეტი!$B:$K,9,FALSE)</f>
        <v>0</v>
      </c>
      <c r="T252" s="77">
        <f>VLOOKUP($B252,[1]ბიუჯეტი!$B:$K,10,FALSE)</f>
        <v>1444.6411053063557</v>
      </c>
      <c r="V252" s="78">
        <f t="shared" si="30"/>
        <v>2.5423728813620983E-2</v>
      </c>
      <c r="W252" s="78">
        <f t="shared" si="31"/>
        <v>0</v>
      </c>
      <c r="X252" s="78">
        <f t="shared" si="32"/>
        <v>0</v>
      </c>
      <c r="Y252" s="78">
        <f t="shared" si="33"/>
        <v>-4.4864170312499994</v>
      </c>
    </row>
    <row r="253" spans="1:25" hidden="1" outlineLevel="1" x14ac:dyDescent="0.35">
      <c r="A253" s="51"/>
      <c r="B253" s="3" t="s">
        <v>369</v>
      </c>
      <c r="C253" s="4" t="s">
        <v>10</v>
      </c>
      <c r="D253" s="1">
        <f>D248</f>
        <v>115.53300000000002</v>
      </c>
      <c r="E253" s="1">
        <f>SUMIFS(მასალა!D4:D235,მასალა!B4:B235,ბიუჯეტი!B253)</f>
        <v>0.84745762711864414</v>
      </c>
      <c r="F253" s="1">
        <f t="shared" si="37"/>
        <v>97.90932203389832</v>
      </c>
      <c r="G253" s="1"/>
      <c r="H253" s="1"/>
      <c r="I253" s="1"/>
      <c r="J253" s="1"/>
      <c r="K253" s="1">
        <f t="shared" si="36"/>
        <v>97.90932203389832</v>
      </c>
      <c r="M253" s="77">
        <f>VLOOKUP(B253,[1]ბიუჯეტი!$B:$K,3,FALSE)</f>
        <v>658.10799999999995</v>
      </c>
      <c r="N253" s="77">
        <f>VLOOKUP($B253,[1]ბიუჯეტი!$B:$K,4,FALSE)</f>
        <v>0.84745762711864414</v>
      </c>
      <c r="O253" s="77">
        <f>VLOOKUP($B253,[1]ბიუჯეტი!$B:$K,5,FALSE)</f>
        <v>557.71864406779662</v>
      </c>
      <c r="P253" s="77">
        <f>VLOOKUP($B253,[1]ბიუჯეტი!$B:$K,6,FALSE)</f>
        <v>0</v>
      </c>
      <c r="Q253" s="77">
        <f>VLOOKUP($B253,[1]ბიუჯეტი!$B:$K,7,FALSE)</f>
        <v>0</v>
      </c>
      <c r="R253" s="77">
        <f>VLOOKUP($B253,[1]ბიუჯეტი!$B:$K,8,FALSE)</f>
        <v>0</v>
      </c>
      <c r="S253" s="77">
        <f>VLOOKUP($B253,[1]ბიუჯეტი!$B:$K,9,FALSE)</f>
        <v>0</v>
      </c>
      <c r="T253" s="77">
        <f>VLOOKUP($B253,[1]ბიუჯეტი!$B:$K,10,FALSE)</f>
        <v>557.71864406779662</v>
      </c>
      <c r="V253" s="78">
        <f t="shared" si="30"/>
        <v>0</v>
      </c>
      <c r="W253" s="78">
        <f t="shared" si="31"/>
        <v>0</v>
      </c>
      <c r="X253" s="78">
        <f t="shared" si="32"/>
        <v>0</v>
      </c>
      <c r="Y253" s="78">
        <f t="shared" si="33"/>
        <v>-542.57499999999993</v>
      </c>
    </row>
    <row r="254" spans="1:25" hidden="1" outlineLevel="1" x14ac:dyDescent="0.35">
      <c r="A254" s="51">
        <v>4</v>
      </c>
      <c r="B254" s="23" t="s">
        <v>171</v>
      </c>
      <c r="C254" s="4" t="s">
        <v>10</v>
      </c>
      <c r="D254" s="1">
        <f>სამუშაო!F37+სამუშაო!F38+სამუშაო!F39+სამუშაო!D38+სამუშაო!D39+სამუშაო!D37+სამუშაო!G37+სამუშაო!G38+სამუშაო!G39+სამუშაო!E37+სამუშაო!E38+სამუშაო!E39</f>
        <v>420.61500000000001</v>
      </c>
      <c r="E254" s="1"/>
      <c r="F254" s="1">
        <f t="shared" si="37"/>
        <v>0</v>
      </c>
      <c r="G254" s="1">
        <f>ხელფასი!D4</f>
        <v>23.90625</v>
      </c>
      <c r="H254" s="1">
        <f>G254*D254</f>
        <v>10055.327343750001</v>
      </c>
      <c r="I254" s="1"/>
      <c r="J254" s="1"/>
      <c r="K254" s="1">
        <f t="shared" si="36"/>
        <v>10055.327343750001</v>
      </c>
      <c r="M254" s="77">
        <f>VLOOKUP(B254,[1]ბიუჯეტი!$B:$K,3,FALSE)</f>
        <v>458.52359999999993</v>
      </c>
      <c r="N254" s="77">
        <f>VLOOKUP($B254,[1]ბიუჯეტი!$B:$K,4,FALSE)</f>
        <v>0</v>
      </c>
      <c r="O254" s="77">
        <f>VLOOKUP($B254,[1]ბიუჯეტი!$B:$K,5,FALSE)</f>
        <v>0</v>
      </c>
      <c r="P254" s="77">
        <f>VLOOKUP($B254,[1]ბიუჯეტი!$B:$K,6,FALSE)</f>
        <v>23.90625</v>
      </c>
      <c r="Q254" s="77">
        <f>VLOOKUP($B254,[1]ბიუჯეტი!$B:$K,7,FALSE)</f>
        <v>10961.579812499998</v>
      </c>
      <c r="R254" s="77">
        <f>VLOOKUP($B254,[1]ბიუჯეტი!$B:$K,8,FALSE)</f>
        <v>0</v>
      </c>
      <c r="S254" s="77">
        <f>VLOOKUP($B254,[1]ბიუჯეტი!$B:$K,9,FALSE)</f>
        <v>0</v>
      </c>
      <c r="T254" s="77">
        <f>VLOOKUP($B254,[1]ბიუჯეტი!$B:$K,10,FALSE)</f>
        <v>10961.579812499998</v>
      </c>
      <c r="V254" s="78">
        <f t="shared" si="30"/>
        <v>0</v>
      </c>
      <c r="W254" s="78">
        <f t="shared" si="31"/>
        <v>0</v>
      </c>
      <c r="X254" s="78">
        <f t="shared" si="32"/>
        <v>0</v>
      </c>
      <c r="Y254" s="78">
        <f t="shared" si="33"/>
        <v>-37.908599999999922</v>
      </c>
    </row>
    <row r="255" spans="1:25" hidden="1" outlineLevel="1" x14ac:dyDescent="0.35">
      <c r="A255" s="51"/>
      <c r="B255" s="3" t="s">
        <v>80</v>
      </c>
      <c r="C255" s="4" t="s">
        <v>49</v>
      </c>
      <c r="D255" s="1">
        <f>D254*13</f>
        <v>5467.9949999999999</v>
      </c>
      <c r="E255" s="1">
        <f>SUMIFS(მასალა!D1:D237,მასალა!B1:B237,ბიუჯეტი!B255)</f>
        <v>1.0593220338983051</v>
      </c>
      <c r="F255" s="1">
        <f t="shared" si="37"/>
        <v>5792.3675847457625</v>
      </c>
      <c r="G255" s="1"/>
      <c r="H255" s="1"/>
      <c r="I255" s="1"/>
      <c r="J255" s="1"/>
      <c r="K255" s="1">
        <f t="shared" si="36"/>
        <v>5792.3675847457625</v>
      </c>
      <c r="M255" s="77">
        <f>VLOOKUP(B255,[1]ბიუჯეტი!$B:$K,3,FALSE)</f>
        <v>830.69999999999993</v>
      </c>
      <c r="N255" s="77">
        <f>VLOOKUP($B255,[1]ბიუჯეტი!$B:$K,4,FALSE)</f>
        <v>1.0593220338983051</v>
      </c>
      <c r="O255" s="77">
        <f>VLOOKUP($B255,[1]ბიუჯეტი!$B:$K,5,FALSE)</f>
        <v>879.97881355932202</v>
      </c>
      <c r="P255" s="77">
        <f>VLOOKUP($B255,[1]ბიუჯეტი!$B:$K,6,FALSE)</f>
        <v>0</v>
      </c>
      <c r="Q255" s="77">
        <f>VLOOKUP($B255,[1]ბიუჯეტი!$B:$K,7,FALSE)</f>
        <v>0</v>
      </c>
      <c r="R255" s="77">
        <f>VLOOKUP($B255,[1]ბიუჯეტი!$B:$K,8,FALSE)</f>
        <v>0</v>
      </c>
      <c r="S255" s="77">
        <f>VLOOKUP($B255,[1]ბიუჯეტი!$B:$K,9,FALSE)</f>
        <v>0</v>
      </c>
      <c r="T255" s="77">
        <f>VLOOKUP($B255,[1]ბიუჯეტი!$B:$K,10,FALSE)</f>
        <v>879.97881355932202</v>
      </c>
      <c r="V255" s="78">
        <f t="shared" ref="V255:V318" si="38">E255-N255</f>
        <v>0</v>
      </c>
      <c r="W255" s="78">
        <f t="shared" ref="W255:W318" si="39">G255-P255</f>
        <v>0</v>
      </c>
      <c r="X255" s="78">
        <f t="shared" ref="X255:X318" si="40">I255-R255</f>
        <v>0</v>
      </c>
      <c r="Y255" s="78">
        <f t="shared" ref="Y255:Y318" si="41">D255-M255</f>
        <v>4637.2950000000001</v>
      </c>
    </row>
    <row r="256" spans="1:25" hidden="1" outlineLevel="1" x14ac:dyDescent="0.35">
      <c r="A256" s="51"/>
      <c r="B256" s="3" t="s">
        <v>50</v>
      </c>
      <c r="C256" s="4" t="s">
        <v>9</v>
      </c>
      <c r="D256" s="1">
        <f>0.03*D254*1.05</f>
        <v>13.2493725</v>
      </c>
      <c r="E256" s="1">
        <f>SUMIFS(მასალა!D2:D238,მასალა!B2:B238,ბიუჯეტი!B256)</f>
        <v>59.322033898305087</v>
      </c>
      <c r="F256" s="1">
        <f t="shared" si="37"/>
        <v>785.97972457627122</v>
      </c>
      <c r="G256" s="1"/>
      <c r="H256" s="1"/>
      <c r="I256" s="1"/>
      <c r="J256" s="1"/>
      <c r="K256" s="1">
        <f t="shared" si="36"/>
        <v>785.97972457627122</v>
      </c>
      <c r="M256" s="77">
        <f>VLOOKUP(B256,[1]ბიუჯეტი!$B:$K,3,FALSE)</f>
        <v>20.730401999999998</v>
      </c>
      <c r="N256" s="77">
        <f>VLOOKUP($B256,[1]ბიუჯეტი!$B:$K,4,FALSE)</f>
        <v>59.322033898305087</v>
      </c>
      <c r="O256" s="77">
        <f>VLOOKUP($B256,[1]ბიუჯეტი!$B:$K,5,FALSE)</f>
        <v>1229.7696101694914</v>
      </c>
      <c r="P256" s="77">
        <f>VLOOKUP($B256,[1]ბიუჯეტი!$B:$K,6,FALSE)</f>
        <v>0</v>
      </c>
      <c r="Q256" s="77">
        <f>VLOOKUP($B256,[1]ბიუჯეტი!$B:$K,7,FALSE)</f>
        <v>0</v>
      </c>
      <c r="R256" s="77">
        <f>VLOOKUP($B256,[1]ბიუჯეტი!$B:$K,8,FALSE)</f>
        <v>0</v>
      </c>
      <c r="S256" s="77">
        <f>VLOOKUP($B256,[1]ბიუჯეტი!$B:$K,9,FALSE)</f>
        <v>0</v>
      </c>
      <c r="T256" s="77">
        <f>VLOOKUP($B256,[1]ბიუჯეტი!$B:$K,10,FALSE)</f>
        <v>1229.7696101694914</v>
      </c>
      <c r="V256" s="78">
        <f t="shared" si="38"/>
        <v>0</v>
      </c>
      <c r="W256" s="78">
        <f t="shared" si="39"/>
        <v>0</v>
      </c>
      <c r="X256" s="78">
        <f t="shared" si="40"/>
        <v>0</v>
      </c>
      <c r="Y256" s="78">
        <f t="shared" si="41"/>
        <v>-7.4810294999999982</v>
      </c>
    </row>
    <row r="257" spans="1:25" hidden="1" outlineLevel="1" x14ac:dyDescent="0.35">
      <c r="A257" s="51"/>
      <c r="B257" s="3" t="s">
        <v>51</v>
      </c>
      <c r="C257" s="4" t="s">
        <v>12</v>
      </c>
      <c r="D257" s="1">
        <f>D256/4*1.05</f>
        <v>3.4779602812500001</v>
      </c>
      <c r="E257" s="1">
        <f>SUMIFS(მასალა!D3:D239,მასალა!B3:B239,ბიუჯეტი!B257)</f>
        <v>265.50000000000006</v>
      </c>
      <c r="F257" s="1">
        <f t="shared" si="37"/>
        <v>923.39845467187524</v>
      </c>
      <c r="G257" s="1"/>
      <c r="H257" s="1">
        <f>D257*G257</f>
        <v>0</v>
      </c>
      <c r="I257" s="1"/>
      <c r="J257" s="1"/>
      <c r="K257" s="1">
        <f t="shared" si="36"/>
        <v>923.39845467187524</v>
      </c>
      <c r="M257" s="77">
        <f>VLOOKUP(B257,[1]ბიუჯეტი!$B:$K,3,FALSE)</f>
        <v>5.4417305249999997</v>
      </c>
      <c r="N257" s="77">
        <f>VLOOKUP($B257,[1]ბიუჯეტი!$B:$K,4,FALSE)</f>
        <v>265.47457627118644</v>
      </c>
      <c r="O257" s="77">
        <f>VLOOKUP($B257,[1]ბიუჯეტი!$B:$K,5,FALSE)</f>
        <v>1444.6411053063557</v>
      </c>
      <c r="P257" s="77">
        <f>VLOOKUP($B257,[1]ბიუჯეტი!$B:$K,6,FALSE)</f>
        <v>0</v>
      </c>
      <c r="Q257" s="77">
        <f>VLOOKUP($B257,[1]ბიუჯეტი!$B:$K,7,FALSE)</f>
        <v>0</v>
      </c>
      <c r="R257" s="77">
        <f>VLOOKUP($B257,[1]ბიუჯეტი!$B:$K,8,FALSE)</f>
        <v>0</v>
      </c>
      <c r="S257" s="77">
        <f>VLOOKUP($B257,[1]ბიუჯეტი!$B:$K,9,FALSE)</f>
        <v>0</v>
      </c>
      <c r="T257" s="77">
        <f>VLOOKUP($B257,[1]ბიუჯეტი!$B:$K,10,FALSE)</f>
        <v>1444.6411053063557</v>
      </c>
      <c r="V257" s="78">
        <f t="shared" si="38"/>
        <v>2.5423728813620983E-2</v>
      </c>
      <c r="W257" s="78">
        <f t="shared" si="39"/>
        <v>0</v>
      </c>
      <c r="X257" s="78">
        <f t="shared" si="40"/>
        <v>0</v>
      </c>
      <c r="Y257" s="78">
        <f t="shared" si="41"/>
        <v>-1.9637702437499995</v>
      </c>
    </row>
    <row r="258" spans="1:25" hidden="1" outlineLevel="1" x14ac:dyDescent="0.35">
      <c r="A258" s="51"/>
      <c r="B258" s="3" t="s">
        <v>369</v>
      </c>
      <c r="C258" s="4" t="s">
        <v>10</v>
      </c>
      <c r="D258" s="1">
        <f>D254</f>
        <v>420.61500000000001</v>
      </c>
      <c r="E258" s="1">
        <f>SUMIFS(მასალა!D4:D240,მასალა!B4:B240,ბიუჯეტი!B258)</f>
        <v>0.84745762711864414</v>
      </c>
      <c r="F258" s="1">
        <f t="shared" si="37"/>
        <v>356.45338983050851</v>
      </c>
      <c r="G258" s="1"/>
      <c r="H258" s="1"/>
      <c r="I258" s="1"/>
      <c r="J258" s="1"/>
      <c r="K258" s="1">
        <f t="shared" si="36"/>
        <v>356.45338983050851</v>
      </c>
      <c r="M258" s="77">
        <f>VLOOKUP(B258,[1]ბიუჯეტი!$B:$K,3,FALSE)</f>
        <v>658.10799999999995</v>
      </c>
      <c r="N258" s="77">
        <f>VLOOKUP($B258,[1]ბიუჯეტი!$B:$K,4,FALSE)</f>
        <v>0.84745762711864414</v>
      </c>
      <c r="O258" s="77">
        <f>VLOOKUP($B258,[1]ბიუჯეტი!$B:$K,5,FALSE)</f>
        <v>557.71864406779662</v>
      </c>
      <c r="P258" s="77">
        <f>VLOOKUP($B258,[1]ბიუჯეტი!$B:$K,6,FALSE)</f>
        <v>0</v>
      </c>
      <c r="Q258" s="77">
        <f>VLOOKUP($B258,[1]ბიუჯეტი!$B:$K,7,FALSE)</f>
        <v>0</v>
      </c>
      <c r="R258" s="77">
        <f>VLOOKUP($B258,[1]ბიუჯეტი!$B:$K,8,FALSE)</f>
        <v>0</v>
      </c>
      <c r="S258" s="77">
        <f>VLOOKUP($B258,[1]ბიუჯეტი!$B:$K,9,FALSE)</f>
        <v>0</v>
      </c>
      <c r="T258" s="77">
        <f>VLOOKUP($B258,[1]ბიუჯეტი!$B:$K,10,FALSE)</f>
        <v>557.71864406779662</v>
      </c>
      <c r="V258" s="78">
        <f t="shared" si="38"/>
        <v>0</v>
      </c>
      <c r="W258" s="78">
        <f t="shared" si="39"/>
        <v>0</v>
      </c>
      <c r="X258" s="78">
        <f t="shared" si="40"/>
        <v>0</v>
      </c>
      <c r="Y258" s="78">
        <f t="shared" si="41"/>
        <v>-237.49299999999994</v>
      </c>
    </row>
    <row r="259" spans="1:25" collapsed="1" x14ac:dyDescent="0.35">
      <c r="A259" s="51">
        <v>18</v>
      </c>
      <c r="B259" s="23" t="s">
        <v>172</v>
      </c>
      <c r="C259" s="4" t="s">
        <v>10</v>
      </c>
      <c r="D259" s="1">
        <f>358*3</f>
        <v>1074</v>
      </c>
      <c r="E259" s="1">
        <f>SUM(F260:F274)/D259</f>
        <v>123.2921137518543</v>
      </c>
      <c r="F259" s="1">
        <f>D259*E259</f>
        <v>132415.73016949152</v>
      </c>
      <c r="G259" s="1">
        <f>SUM(H260:H274)/D259</f>
        <v>87.636662011173172</v>
      </c>
      <c r="H259" s="1">
        <f>G259*D259</f>
        <v>94121.77499999998</v>
      </c>
      <c r="I259" s="1">
        <v>5</v>
      </c>
      <c r="J259" s="1">
        <f>I259*D259</f>
        <v>5370</v>
      </c>
      <c r="K259" s="1">
        <f t="shared" si="36"/>
        <v>231907.50516949152</v>
      </c>
      <c r="M259" s="77">
        <f>VLOOKUP(B259,[1]ბიუჯეტი!$B:$K,3,FALSE)</f>
        <v>1074</v>
      </c>
      <c r="N259" s="77">
        <f>VLOOKUP($B259,[1]ბიუჯეტი!$B:$K,4,FALSE)</f>
        <v>122.15585771549409</v>
      </c>
      <c r="O259" s="77">
        <f>VLOOKUP($B259,[1]ბიუჯეტი!$B:$K,5,FALSE)</f>
        <v>131195.39118644065</v>
      </c>
      <c r="P259" s="77">
        <f>VLOOKUP($B259,[1]ბიუჯეტი!$B:$K,6,FALSE)</f>
        <v>87.636662011173172</v>
      </c>
      <c r="Q259" s="77">
        <f>VLOOKUP($B259,[1]ბიუჯეტი!$B:$K,7,FALSE)</f>
        <v>94121.77499999998</v>
      </c>
      <c r="R259" s="77">
        <f>VLOOKUP($B259,[1]ბიუჯეტი!$B:$K,8,FALSE)</f>
        <v>5</v>
      </c>
      <c r="S259" s="77">
        <f>VLOOKUP($B259,[1]ბიუჯეტი!$B:$K,9,FALSE)</f>
        <v>5370</v>
      </c>
      <c r="T259" s="77">
        <f>VLOOKUP($B259,[1]ბიუჯეტი!$B:$K,10,FALSE)</f>
        <v>230687.16618644062</v>
      </c>
      <c r="V259" s="78">
        <f t="shared" si="38"/>
        <v>1.1362560363602086</v>
      </c>
      <c r="W259" s="78">
        <f t="shared" si="39"/>
        <v>0</v>
      </c>
      <c r="X259" s="78">
        <f t="shared" si="40"/>
        <v>0</v>
      </c>
      <c r="Y259" s="78">
        <f t="shared" si="41"/>
        <v>0</v>
      </c>
    </row>
    <row r="260" spans="1:25" hidden="1" outlineLevel="1" x14ac:dyDescent="0.35">
      <c r="A260" s="51">
        <v>1</v>
      </c>
      <c r="B260" s="23" t="s">
        <v>421</v>
      </c>
      <c r="C260" s="4" t="s">
        <v>10</v>
      </c>
      <c r="D260" s="1">
        <f>900*1.05</f>
        <v>945</v>
      </c>
      <c r="E260" s="1"/>
      <c r="F260" s="1">
        <f t="shared" ref="F260:F340" si="42">D260*E260</f>
        <v>0</v>
      </c>
      <c r="G260" s="1">
        <f>ხელფასი!D13</f>
        <v>61.199999999999996</v>
      </c>
      <c r="H260" s="1">
        <f>D260*G260</f>
        <v>57833.999999999993</v>
      </c>
      <c r="I260" s="1"/>
      <c r="J260" s="1"/>
      <c r="K260" s="1">
        <f t="shared" si="36"/>
        <v>57833.999999999993</v>
      </c>
      <c r="M260" s="77">
        <f>VLOOKUP(B260,[1]ბიუჯეტი!$B:$K,3,FALSE)</f>
        <v>945</v>
      </c>
      <c r="N260" s="77">
        <f>VLOOKUP($B260,[1]ბიუჯეტი!$B:$K,4,FALSE)</f>
        <v>0</v>
      </c>
      <c r="O260" s="77">
        <f>VLOOKUP($B260,[1]ბიუჯეტი!$B:$K,5,FALSE)</f>
        <v>0</v>
      </c>
      <c r="P260" s="77">
        <f>VLOOKUP($B260,[1]ბიუჯეტი!$B:$K,6,FALSE)</f>
        <v>61.199999999999996</v>
      </c>
      <c r="Q260" s="77">
        <f>VLOOKUP($B260,[1]ბიუჯეტი!$B:$K,7,FALSE)</f>
        <v>57833.999999999993</v>
      </c>
      <c r="R260" s="77">
        <f>VLOOKUP($B260,[1]ბიუჯეტი!$B:$K,8,FALSE)</f>
        <v>0</v>
      </c>
      <c r="S260" s="77">
        <f>VLOOKUP($B260,[1]ბიუჯეტი!$B:$K,9,FALSE)</f>
        <v>0</v>
      </c>
      <c r="T260" s="77">
        <f>VLOOKUP($B260,[1]ბიუჯეტი!$B:$K,10,FALSE)</f>
        <v>57833.999999999993</v>
      </c>
      <c r="V260" s="78">
        <f t="shared" si="38"/>
        <v>0</v>
      </c>
      <c r="W260" s="78">
        <f t="shared" si="39"/>
        <v>0</v>
      </c>
      <c r="X260" s="78">
        <f t="shared" si="40"/>
        <v>0</v>
      </c>
      <c r="Y260" s="78">
        <f t="shared" si="41"/>
        <v>0</v>
      </c>
    </row>
    <row r="261" spans="1:25" hidden="1" outlineLevel="1" x14ac:dyDescent="0.35">
      <c r="A261" s="51">
        <v>2</v>
      </c>
      <c r="B261" s="23" t="s">
        <v>245</v>
      </c>
      <c r="C261" s="4" t="s">
        <v>10</v>
      </c>
      <c r="D261" s="1">
        <f>358*3</f>
        <v>1074</v>
      </c>
      <c r="E261" s="1"/>
      <c r="F261" s="1">
        <f>D261*E261</f>
        <v>0</v>
      </c>
      <c r="G261" s="1">
        <f>ხელფასი!D14</f>
        <v>33.787499999999994</v>
      </c>
      <c r="H261" s="1">
        <f>D261*G261</f>
        <v>36287.774999999994</v>
      </c>
      <c r="I261" s="1"/>
      <c r="J261" s="1"/>
      <c r="K261" s="1">
        <f t="shared" si="36"/>
        <v>36287.774999999994</v>
      </c>
      <c r="M261" s="77">
        <f>VLOOKUP(B261,[1]ბიუჯეტი!$B:$K,3,FALSE)</f>
        <v>1074</v>
      </c>
      <c r="N261" s="77">
        <f>VLOOKUP($B261,[1]ბიუჯეტი!$B:$K,4,FALSE)</f>
        <v>0</v>
      </c>
      <c r="O261" s="77">
        <f>VLOOKUP($B261,[1]ბიუჯეტი!$B:$K,5,FALSE)</f>
        <v>0</v>
      </c>
      <c r="P261" s="77">
        <f>VLOOKUP($B261,[1]ბიუჯეტი!$B:$K,6,FALSE)</f>
        <v>33.787499999999994</v>
      </c>
      <c r="Q261" s="77">
        <f>VLOOKUP($B261,[1]ბიუჯეტი!$B:$K,7,FALSE)</f>
        <v>36287.774999999994</v>
      </c>
      <c r="R261" s="77">
        <f>VLOOKUP($B261,[1]ბიუჯეტი!$B:$K,8,FALSE)</f>
        <v>0</v>
      </c>
      <c r="S261" s="77">
        <f>VLOOKUP($B261,[1]ბიუჯეტი!$B:$K,9,FALSE)</f>
        <v>0</v>
      </c>
      <c r="T261" s="77">
        <f>VLOOKUP($B261,[1]ბიუჯეტი!$B:$K,10,FALSE)</f>
        <v>36287.774999999994</v>
      </c>
      <c r="V261" s="78">
        <f t="shared" si="38"/>
        <v>0</v>
      </c>
      <c r="W261" s="78">
        <f t="shared" si="39"/>
        <v>0</v>
      </c>
      <c r="X261" s="78">
        <f t="shared" si="40"/>
        <v>0</v>
      </c>
      <c r="Y261" s="78">
        <f t="shared" si="41"/>
        <v>0</v>
      </c>
    </row>
    <row r="262" spans="1:25" hidden="1" outlineLevel="1" x14ac:dyDescent="0.35">
      <c r="A262" s="51"/>
      <c r="B262" s="3" t="s">
        <v>82</v>
      </c>
      <c r="C262" s="4" t="s">
        <v>10</v>
      </c>
      <c r="D262" s="1">
        <f>D260</f>
        <v>945</v>
      </c>
      <c r="E262" s="1">
        <f>SUMIFS(მასალა!D1:D243,მასალა!B1:B243,ბიუჯეტი!B262)</f>
        <v>19.491525423728813</v>
      </c>
      <c r="F262" s="1">
        <f t="shared" si="42"/>
        <v>18419.491525423728</v>
      </c>
      <c r="G262" s="1"/>
      <c r="H262" s="1">
        <v>0</v>
      </c>
      <c r="I262" s="1"/>
      <c r="J262" s="1"/>
      <c r="K262" s="1">
        <f t="shared" si="36"/>
        <v>18419.491525423728</v>
      </c>
      <c r="M262" s="77">
        <f>VLOOKUP(B262,[1]ბიუჯეტი!$B:$K,3,FALSE)</f>
        <v>945</v>
      </c>
      <c r="N262" s="77">
        <f>VLOOKUP($B262,[1]ბიუჯეტი!$B:$K,4,FALSE)</f>
        <v>19.491525423728813</v>
      </c>
      <c r="O262" s="77">
        <f>VLOOKUP($B262,[1]ბიუჯეტი!$B:$K,5,FALSE)</f>
        <v>18419.491525423728</v>
      </c>
      <c r="P262" s="77">
        <f>VLOOKUP($B262,[1]ბიუჯეტი!$B:$K,6,FALSE)</f>
        <v>0</v>
      </c>
      <c r="Q262" s="77">
        <f>VLOOKUP($B262,[1]ბიუჯეტი!$B:$K,7,FALSE)</f>
        <v>0</v>
      </c>
      <c r="R262" s="77">
        <f>VLOOKUP($B262,[1]ბიუჯეტი!$B:$K,8,FALSE)</f>
        <v>0</v>
      </c>
      <c r="S262" s="77">
        <f>VLOOKUP($B262,[1]ბიუჯეტი!$B:$K,9,FALSE)</f>
        <v>0</v>
      </c>
      <c r="T262" s="77">
        <f>VLOOKUP($B262,[1]ბიუჯეტი!$B:$K,10,FALSE)</f>
        <v>18419.491525423728</v>
      </c>
      <c r="V262" s="78">
        <f t="shared" si="38"/>
        <v>0</v>
      </c>
      <c r="W262" s="78">
        <f t="shared" si="39"/>
        <v>0</v>
      </c>
      <c r="X262" s="78">
        <f t="shared" si="40"/>
        <v>0</v>
      </c>
      <c r="Y262" s="78">
        <f t="shared" si="41"/>
        <v>0</v>
      </c>
    </row>
    <row r="263" spans="1:25" hidden="1" outlineLevel="1" x14ac:dyDescent="0.35">
      <c r="A263" s="51"/>
      <c r="B263" s="3" t="s">
        <v>83</v>
      </c>
      <c r="C263" s="4" t="s">
        <v>10</v>
      </c>
      <c r="D263" s="1">
        <f>D259</f>
        <v>1074</v>
      </c>
      <c r="E263" s="1">
        <f>SUMIFS(მასალა!D2:D244,მასალა!B2:B244,ბიუჯეტი!B263)</f>
        <v>3.3898305084745766</v>
      </c>
      <c r="F263" s="1">
        <f t="shared" si="42"/>
        <v>3640.6779661016953</v>
      </c>
      <c r="G263" s="1"/>
      <c r="H263" s="1">
        <f t="shared" ref="H263:H272" si="43">D263*G263</f>
        <v>0</v>
      </c>
      <c r="I263" s="1"/>
      <c r="J263" s="1"/>
      <c r="K263" s="1">
        <f t="shared" si="36"/>
        <v>3640.6779661016953</v>
      </c>
      <c r="M263" s="77">
        <f>VLOOKUP(B263,[1]ბიუჯეტი!$B:$K,3,FALSE)</f>
        <v>1074</v>
      </c>
      <c r="N263" s="77">
        <f>VLOOKUP($B263,[1]ბიუჯეტი!$B:$K,4,FALSE)</f>
        <v>3.3898305084745766</v>
      </c>
      <c r="O263" s="77">
        <f>VLOOKUP($B263,[1]ბიუჯეტი!$B:$K,5,FALSE)</f>
        <v>3640.6779661016953</v>
      </c>
      <c r="P263" s="77">
        <f>VLOOKUP($B263,[1]ბიუჯეტი!$B:$K,6,FALSE)</f>
        <v>0</v>
      </c>
      <c r="Q263" s="77">
        <f>VLOOKUP($B263,[1]ბიუჯეტი!$B:$K,7,FALSE)</f>
        <v>0</v>
      </c>
      <c r="R263" s="77">
        <f>VLOOKUP($B263,[1]ბიუჯეტი!$B:$K,8,FALSE)</f>
        <v>0</v>
      </c>
      <c r="S263" s="77">
        <f>VLOOKUP($B263,[1]ბიუჯეტი!$B:$K,9,FALSE)</f>
        <v>0</v>
      </c>
      <c r="T263" s="77">
        <f>VLOOKUP($B263,[1]ბიუჯეტი!$B:$K,10,FALSE)</f>
        <v>3640.6779661016953</v>
      </c>
      <c r="V263" s="78">
        <f t="shared" si="38"/>
        <v>0</v>
      </c>
      <c r="W263" s="78">
        <f t="shared" si="39"/>
        <v>0</v>
      </c>
      <c r="X263" s="78">
        <f t="shared" si="40"/>
        <v>0</v>
      </c>
      <c r="Y263" s="78">
        <f t="shared" si="41"/>
        <v>0</v>
      </c>
    </row>
    <row r="264" spans="1:25" hidden="1" outlineLevel="1" x14ac:dyDescent="0.35">
      <c r="A264" s="51"/>
      <c r="B264" s="3" t="s">
        <v>397</v>
      </c>
      <c r="C264" s="4" t="s">
        <v>10</v>
      </c>
      <c r="D264" s="1">
        <f>D263</f>
        <v>1074</v>
      </c>
      <c r="E264" s="1">
        <f>SUMIFS(მასალა!D3:D245,მასალა!B3:B245,ბიუჯეტი!B264)</f>
        <v>36.440677966101696</v>
      </c>
      <c r="F264" s="1">
        <f t="shared" si="42"/>
        <v>39137.288135593219</v>
      </c>
      <c r="G264" s="1"/>
      <c r="H264" s="1">
        <f t="shared" si="43"/>
        <v>0</v>
      </c>
      <c r="I264" s="1"/>
      <c r="J264" s="1"/>
      <c r="K264" s="1">
        <f t="shared" si="36"/>
        <v>39137.288135593219</v>
      </c>
      <c r="M264" s="77">
        <f>VLOOKUP(B264,[1]ბიუჯეტი!$B:$K,3,FALSE)</f>
        <v>1074</v>
      </c>
      <c r="N264" s="77">
        <f>VLOOKUP($B264,[1]ბიუჯეტი!$B:$K,4,FALSE)</f>
        <v>36.440677966101696</v>
      </c>
      <c r="O264" s="77">
        <f>VLOOKUP($B264,[1]ბიუჯეტი!$B:$K,5,FALSE)</f>
        <v>39137.288135593219</v>
      </c>
      <c r="P264" s="77">
        <f>VLOOKUP($B264,[1]ბიუჯეტი!$B:$K,6,FALSE)</f>
        <v>0</v>
      </c>
      <c r="Q264" s="77">
        <f>VLOOKUP($B264,[1]ბიუჯეტი!$B:$K,7,FALSE)</f>
        <v>0</v>
      </c>
      <c r="R264" s="77">
        <f>VLOOKUP($B264,[1]ბიუჯეტი!$B:$K,8,FALSE)</f>
        <v>0</v>
      </c>
      <c r="S264" s="77">
        <f>VLOOKUP($B264,[1]ბიუჯეტი!$B:$K,9,FALSE)</f>
        <v>0</v>
      </c>
      <c r="T264" s="77">
        <f>VLOOKUP($B264,[1]ბიუჯეტი!$B:$K,10,FALSE)</f>
        <v>39137.288135593219</v>
      </c>
      <c r="V264" s="78">
        <f t="shared" si="38"/>
        <v>0</v>
      </c>
      <c r="W264" s="78">
        <f t="shared" si="39"/>
        <v>0</v>
      </c>
      <c r="X264" s="78">
        <f t="shared" si="40"/>
        <v>0</v>
      </c>
      <c r="Y264" s="78">
        <f t="shared" si="41"/>
        <v>0</v>
      </c>
    </row>
    <row r="265" spans="1:25" hidden="1" outlineLevel="1" x14ac:dyDescent="0.35">
      <c r="A265" s="51"/>
      <c r="B265" s="3" t="s">
        <v>383</v>
      </c>
      <c r="C265" s="4" t="s">
        <v>10</v>
      </c>
      <c r="D265" s="1">
        <f>D263*2</f>
        <v>2148</v>
      </c>
      <c r="E265" s="1">
        <f>SUMIFS(მასალა!D4:D246,მასალა!B4:B246,ბიუჯეტი!B265)</f>
        <v>2.7542372881355934</v>
      </c>
      <c r="F265" s="1">
        <f t="shared" si="42"/>
        <v>5916.1016949152545</v>
      </c>
      <c r="G265" s="1"/>
      <c r="H265" s="1">
        <f t="shared" si="43"/>
        <v>0</v>
      </c>
      <c r="I265" s="1"/>
      <c r="J265" s="1"/>
      <c r="K265" s="1">
        <f t="shared" si="36"/>
        <v>5916.1016949152545</v>
      </c>
      <c r="M265" s="77">
        <f>VLOOKUP(B265,[1]ბიუჯეტი!$B:$K,3,FALSE)</f>
        <v>2148</v>
      </c>
      <c r="N265" s="77">
        <f>VLOOKUP($B265,[1]ბიუჯეტი!$B:$K,4,FALSE)</f>
        <v>2.7542372881355934</v>
      </c>
      <c r="O265" s="77">
        <f>VLOOKUP($B265,[1]ბიუჯეტი!$B:$K,5,FALSE)</f>
        <v>5916.1016949152545</v>
      </c>
      <c r="P265" s="77">
        <f>VLOOKUP($B265,[1]ბიუჯეტი!$B:$K,6,FALSE)</f>
        <v>0</v>
      </c>
      <c r="Q265" s="77">
        <f>VLOOKUP($B265,[1]ბიუჯეტი!$B:$K,7,FALSE)</f>
        <v>0</v>
      </c>
      <c r="R265" s="77">
        <f>VLOOKUP($B265,[1]ბიუჯეტი!$B:$K,8,FALSE)</f>
        <v>0</v>
      </c>
      <c r="S265" s="77">
        <f>VLOOKUP($B265,[1]ბიუჯეტი!$B:$K,9,FALSE)</f>
        <v>0</v>
      </c>
      <c r="T265" s="77">
        <f>VLOOKUP($B265,[1]ბიუჯეტი!$B:$K,10,FALSE)</f>
        <v>5916.1016949152545</v>
      </c>
      <c r="V265" s="78">
        <f t="shared" si="38"/>
        <v>0</v>
      </c>
      <c r="W265" s="78">
        <f t="shared" si="39"/>
        <v>0</v>
      </c>
      <c r="X265" s="78">
        <f t="shared" si="40"/>
        <v>0</v>
      </c>
      <c r="Y265" s="78">
        <f t="shared" si="41"/>
        <v>0</v>
      </c>
    </row>
    <row r="266" spans="1:25" hidden="1" outlineLevel="1" x14ac:dyDescent="0.35">
      <c r="A266" s="51"/>
      <c r="B266" s="3" t="s">
        <v>395</v>
      </c>
      <c r="C266" s="4" t="s">
        <v>10</v>
      </c>
      <c r="D266" s="1">
        <f>(21.1*15.2)*3</f>
        <v>962.16000000000008</v>
      </c>
      <c r="E266" s="1">
        <f>SUMIFS(მასალა!D5:D247,მასალა!B5:B247,ბიუჯეტი!B266)</f>
        <v>7.7966101694915251</v>
      </c>
      <c r="F266" s="1">
        <f t="shared" si="42"/>
        <v>7501.5864406779665</v>
      </c>
      <c r="G266" s="1"/>
      <c r="H266" s="1">
        <f t="shared" si="43"/>
        <v>0</v>
      </c>
      <c r="I266" s="1"/>
      <c r="J266" s="1"/>
      <c r="K266" s="1">
        <f t="shared" si="36"/>
        <v>7501.5864406779665</v>
      </c>
      <c r="M266" s="77">
        <f>VLOOKUP(B266,[1]ბიუჯეტი!$B:$K,3,FALSE)</f>
        <v>962.16000000000008</v>
      </c>
      <c r="N266" s="77">
        <f>VLOOKUP($B266,[1]ბიუჯეტი!$B:$K,4,FALSE)</f>
        <v>7.7966101694915251</v>
      </c>
      <c r="O266" s="77">
        <f>VLOOKUP($B266,[1]ბიუჯეტი!$B:$K,5,FALSE)</f>
        <v>7501.5864406779665</v>
      </c>
      <c r="P266" s="77">
        <f>VLOOKUP($B266,[1]ბიუჯეტი!$B:$K,6,FALSE)</f>
        <v>0</v>
      </c>
      <c r="Q266" s="77">
        <f>VLOOKUP($B266,[1]ბიუჯეტი!$B:$K,7,FALSE)</f>
        <v>0</v>
      </c>
      <c r="R266" s="77">
        <f>VLOOKUP($B266,[1]ბიუჯეტი!$B:$K,8,FALSE)</f>
        <v>0</v>
      </c>
      <c r="S266" s="77">
        <f>VLOOKUP($B266,[1]ბიუჯეტი!$B:$K,9,FALSE)</f>
        <v>0</v>
      </c>
      <c r="T266" s="77">
        <f>VLOOKUP($B266,[1]ბიუჯეტი!$B:$K,10,FALSE)</f>
        <v>7501.5864406779665</v>
      </c>
      <c r="V266" s="78">
        <f t="shared" si="38"/>
        <v>0</v>
      </c>
      <c r="W266" s="78">
        <f t="shared" si="39"/>
        <v>0</v>
      </c>
      <c r="X266" s="78">
        <f t="shared" si="40"/>
        <v>0</v>
      </c>
      <c r="Y266" s="78">
        <f t="shared" si="41"/>
        <v>0</v>
      </c>
    </row>
    <row r="267" spans="1:25" hidden="1" outlineLevel="1" x14ac:dyDescent="0.35">
      <c r="A267" s="51"/>
      <c r="B267" s="3" t="s">
        <v>396</v>
      </c>
      <c r="C267" s="4" t="s">
        <v>10</v>
      </c>
      <c r="D267" s="1">
        <f>D266</f>
        <v>962.16000000000008</v>
      </c>
      <c r="E267" s="1">
        <f>SUMIFS(მასალა!D6:D248,მასალა!B6:B248,ბიუჯეტი!B267)</f>
        <v>14.576271186440678</v>
      </c>
      <c r="F267" s="1">
        <f t="shared" si="42"/>
        <v>14024.705084745765</v>
      </c>
      <c r="G267" s="1"/>
      <c r="H267" s="1">
        <f t="shared" si="43"/>
        <v>0</v>
      </c>
      <c r="I267" s="1"/>
      <c r="J267" s="1"/>
      <c r="K267" s="1">
        <f t="shared" si="36"/>
        <v>14024.705084745765</v>
      </c>
      <c r="M267" s="77">
        <f>VLOOKUP(B267,[1]ბიუჯეტი!$B:$K,3,FALSE)</f>
        <v>962.16000000000008</v>
      </c>
      <c r="N267" s="77">
        <f>VLOOKUP($B267,[1]ბიუჯეტი!$B:$K,4,FALSE)</f>
        <v>14.576271186440678</v>
      </c>
      <c r="O267" s="77">
        <f>VLOOKUP($B267,[1]ბიუჯეტი!$B:$K,5,FALSE)</f>
        <v>14024.705084745765</v>
      </c>
      <c r="P267" s="77">
        <f>VLOOKUP($B267,[1]ბიუჯეტი!$B:$K,6,FALSE)</f>
        <v>0</v>
      </c>
      <c r="Q267" s="77">
        <f>VLOOKUP($B267,[1]ბიუჯეტი!$B:$K,7,FALSE)</f>
        <v>0</v>
      </c>
      <c r="R267" s="77">
        <f>VLOOKUP($B267,[1]ბიუჯეტი!$B:$K,8,FALSE)</f>
        <v>0</v>
      </c>
      <c r="S267" s="77">
        <f>VLOOKUP($B267,[1]ბიუჯეტი!$B:$K,9,FALSE)</f>
        <v>0</v>
      </c>
      <c r="T267" s="77">
        <f>VLOOKUP($B267,[1]ბიუჯეტი!$B:$K,10,FALSE)</f>
        <v>14024.705084745765</v>
      </c>
      <c r="V267" s="78">
        <f t="shared" si="38"/>
        <v>0</v>
      </c>
      <c r="W267" s="78">
        <f t="shared" si="39"/>
        <v>0</v>
      </c>
      <c r="X267" s="78">
        <f t="shared" si="40"/>
        <v>0</v>
      </c>
      <c r="Y267" s="78">
        <f t="shared" si="41"/>
        <v>0</v>
      </c>
    </row>
    <row r="268" spans="1:25" hidden="1" outlineLevel="1" x14ac:dyDescent="0.35">
      <c r="A268" s="51"/>
      <c r="B268" s="3" t="s">
        <v>256</v>
      </c>
      <c r="C268" s="4" t="s">
        <v>10</v>
      </c>
      <c r="D268" s="1">
        <f>D266*0.12*1.05</f>
        <v>121.23216000000002</v>
      </c>
      <c r="E268" s="1">
        <f>SUMIFS(მასალა!D1:D249,მასალა!B1:B249,ბიუჯეტი!B268)</f>
        <v>38.135593220338983</v>
      </c>
      <c r="F268" s="1">
        <f>D268*E268</f>
        <v>4623.260338983052</v>
      </c>
      <c r="G268" s="1"/>
      <c r="H268" s="1">
        <f>D268*G268</f>
        <v>0</v>
      </c>
      <c r="I268" s="1"/>
      <c r="J268" s="1"/>
      <c r="K268" s="1">
        <f t="shared" si="36"/>
        <v>4623.260338983052</v>
      </c>
      <c r="M268" s="77">
        <f>VLOOKUP(B268,[1]ბიუჯეტი!$B:$K,3,FALSE)</f>
        <v>124.73784000000001</v>
      </c>
      <c r="N268" s="77">
        <f>VLOOKUP($B268,[1]ბიუჯეტი!$B:$K,4,FALSE)</f>
        <v>38.135593220338983</v>
      </c>
      <c r="O268" s="77">
        <f>VLOOKUP($B268,[1]ბიუჯეტი!$B:$K,5,FALSE)</f>
        <v>4756.9515254237294</v>
      </c>
      <c r="P268" s="77">
        <f>VLOOKUP($B268,[1]ბიუჯეტი!$B:$K,6,FALSE)</f>
        <v>0</v>
      </c>
      <c r="Q268" s="77">
        <f>VLOOKUP($B268,[1]ბიუჯეტი!$B:$K,7,FALSE)</f>
        <v>0</v>
      </c>
      <c r="R268" s="77">
        <f>VLOOKUP($B268,[1]ბიუჯეტი!$B:$K,8,FALSE)</f>
        <v>5.9322033898305087</v>
      </c>
      <c r="S268" s="77">
        <f>VLOOKUP($B268,[1]ბიუჯეტი!$B:$K,9,FALSE)</f>
        <v>739.97023728813565</v>
      </c>
      <c r="T268" s="77">
        <f>VLOOKUP($B268,[1]ბიუჯეტი!$B:$K,10,FALSE)</f>
        <v>5496.9217627118651</v>
      </c>
      <c r="V268" s="78">
        <f t="shared" si="38"/>
        <v>0</v>
      </c>
      <c r="W268" s="78">
        <f t="shared" si="39"/>
        <v>0</v>
      </c>
      <c r="X268" s="78">
        <f t="shared" si="40"/>
        <v>-5.9322033898305087</v>
      </c>
      <c r="Y268" s="78">
        <f t="shared" si="41"/>
        <v>-3.5056799999999839</v>
      </c>
    </row>
    <row r="269" spans="1:25" hidden="1" outlineLevel="1" x14ac:dyDescent="0.35">
      <c r="A269" s="51"/>
      <c r="B269" s="3" t="s">
        <v>320</v>
      </c>
      <c r="C269" s="4" t="s">
        <v>10</v>
      </c>
      <c r="D269" s="1">
        <f>D268</f>
        <v>121.23216000000002</v>
      </c>
      <c r="E269" s="1">
        <f>SUMIFS(მასალა!D2:D250,მასალა!B2:B250,ბიუჯეტი!B269)</f>
        <v>55.084745762711869</v>
      </c>
      <c r="F269" s="1">
        <f>D269*E269</f>
        <v>6678.0427118644084</v>
      </c>
      <c r="G269" s="1"/>
      <c r="H269" s="1">
        <f>D269*G269</f>
        <v>0</v>
      </c>
      <c r="I269" s="1"/>
      <c r="J269" s="1"/>
      <c r="K269" s="1">
        <f t="shared" si="36"/>
        <v>6678.0427118644084</v>
      </c>
      <c r="M269" s="77">
        <f>VLOOKUP(B269,[1]ბიუჯეტი!$B:$K,3,FALSE)</f>
        <v>121.23216000000002</v>
      </c>
      <c r="N269" s="77">
        <f>VLOOKUP($B269,[1]ბიუჯეტი!$B:$K,4,FALSE)</f>
        <v>55.084745762711869</v>
      </c>
      <c r="O269" s="77">
        <f>VLOOKUP($B269,[1]ბიუჯეტი!$B:$K,5,FALSE)</f>
        <v>6678.0427118644084</v>
      </c>
      <c r="P269" s="77">
        <f>VLOOKUP($B269,[1]ბიუჯეტი!$B:$K,6,FALSE)</f>
        <v>0</v>
      </c>
      <c r="Q269" s="77">
        <f>VLOOKUP($B269,[1]ბიუჯეტი!$B:$K,7,FALSE)</f>
        <v>0</v>
      </c>
      <c r="R269" s="77">
        <f>VLOOKUP($B269,[1]ბიუჯეტი!$B:$K,8,FALSE)</f>
        <v>0</v>
      </c>
      <c r="S269" s="77">
        <f>VLOOKUP($B269,[1]ბიუჯეტი!$B:$K,9,FALSE)</f>
        <v>0</v>
      </c>
      <c r="T269" s="77">
        <f>VLOOKUP($B269,[1]ბიუჯეტი!$B:$K,10,FALSE)</f>
        <v>6678.0427118644084</v>
      </c>
      <c r="V269" s="78">
        <f t="shared" si="38"/>
        <v>0</v>
      </c>
      <c r="W269" s="78">
        <f t="shared" si="39"/>
        <v>0</v>
      </c>
      <c r="X269" s="78">
        <f t="shared" si="40"/>
        <v>0</v>
      </c>
      <c r="Y269" s="78">
        <f t="shared" si="41"/>
        <v>0</v>
      </c>
    </row>
    <row r="270" spans="1:25" hidden="1" outlineLevel="1" x14ac:dyDescent="0.35">
      <c r="A270" s="51"/>
      <c r="B270" s="3" t="s">
        <v>384</v>
      </c>
      <c r="C270" s="4" t="s">
        <v>244</v>
      </c>
      <c r="D270" s="1">
        <v>18</v>
      </c>
      <c r="E270" s="1">
        <f>SUMIFS(მასალა!D3:D251,მასალა!B3:B251,ბიუჯეტი!B270)</f>
        <v>720.33898305084745</v>
      </c>
      <c r="F270" s="1">
        <f t="shared" si="42"/>
        <v>12966.101694915254</v>
      </c>
      <c r="G270" s="1"/>
      <c r="H270" s="1">
        <f t="shared" si="43"/>
        <v>0</v>
      </c>
      <c r="I270" s="1"/>
      <c r="J270" s="1"/>
      <c r="K270" s="1">
        <f t="shared" si="36"/>
        <v>12966.101694915254</v>
      </c>
      <c r="M270" s="77">
        <f>VLOOKUP(B270,[1]ბიუჯეტი!$B:$K,3,FALSE)</f>
        <v>18</v>
      </c>
      <c r="N270" s="77">
        <f>VLOOKUP($B270,[1]ბიუჯეტი!$B:$K,4,FALSE)</f>
        <v>652.54237288135596</v>
      </c>
      <c r="O270" s="77">
        <f>VLOOKUP($B270,[1]ბიუჯეტი!$B:$K,5,FALSE)</f>
        <v>11745.762711864407</v>
      </c>
      <c r="P270" s="77">
        <f>VLOOKUP($B270,[1]ბიუჯეტი!$B:$K,6,FALSE)</f>
        <v>0</v>
      </c>
      <c r="Q270" s="77">
        <f>VLOOKUP($B270,[1]ბიუჯეტი!$B:$K,7,FALSE)</f>
        <v>0</v>
      </c>
      <c r="R270" s="77">
        <f>VLOOKUP($B270,[1]ბიუჯეტი!$B:$K,8,FALSE)</f>
        <v>0</v>
      </c>
      <c r="S270" s="77">
        <f>VLOOKUP($B270,[1]ბიუჯეტი!$B:$K,9,FALSE)</f>
        <v>0</v>
      </c>
      <c r="T270" s="77">
        <f>VLOOKUP($B270,[1]ბიუჯეტი!$B:$K,10,FALSE)</f>
        <v>11745.762711864407</v>
      </c>
      <c r="V270" s="78">
        <f t="shared" si="38"/>
        <v>67.796610169491487</v>
      </c>
      <c r="W270" s="78">
        <f t="shared" si="39"/>
        <v>0</v>
      </c>
      <c r="X270" s="78">
        <f t="shared" si="40"/>
        <v>0</v>
      </c>
      <c r="Y270" s="78">
        <f t="shared" si="41"/>
        <v>0</v>
      </c>
    </row>
    <row r="271" spans="1:25" hidden="1" outlineLevel="1" x14ac:dyDescent="0.35">
      <c r="A271" s="51"/>
      <c r="B271" s="3" t="s">
        <v>277</v>
      </c>
      <c r="C271" s="4" t="s">
        <v>55</v>
      </c>
      <c r="D271" s="1">
        <v>3</v>
      </c>
      <c r="E271" s="1">
        <f>SUMIFS(მასალა!D4:D252,მასალა!B4:B252,ბიუჯეტი!B271)</f>
        <v>355.93220338983053</v>
      </c>
      <c r="F271" s="1">
        <f>D271*E271</f>
        <v>1067.7966101694915</v>
      </c>
      <c r="G271" s="1"/>
      <c r="H271" s="1">
        <f>D271*G271</f>
        <v>0</v>
      </c>
      <c r="I271" s="1"/>
      <c r="J271" s="1"/>
      <c r="K271" s="1">
        <f t="shared" si="36"/>
        <v>1067.7966101694915</v>
      </c>
      <c r="M271" s="77">
        <f>VLOOKUP(B271,[1]ბიუჯეტი!$B:$K,3,FALSE)</f>
        <v>3</v>
      </c>
      <c r="N271" s="77">
        <f>VLOOKUP($B271,[1]ბიუჯეტი!$B:$K,4,FALSE)</f>
        <v>355.93220338983053</v>
      </c>
      <c r="O271" s="77">
        <f>VLOOKUP($B271,[1]ბიუჯეტი!$B:$K,5,FALSE)</f>
        <v>1067.7966101694915</v>
      </c>
      <c r="P271" s="77">
        <f>VLOOKUP($B271,[1]ბიუჯეტი!$B:$K,6,FALSE)</f>
        <v>0</v>
      </c>
      <c r="Q271" s="77">
        <f>VLOOKUP($B271,[1]ბიუჯეტი!$B:$K,7,FALSE)</f>
        <v>0</v>
      </c>
      <c r="R271" s="77">
        <f>VLOOKUP($B271,[1]ბიუჯეტი!$B:$K,8,FALSE)</f>
        <v>0</v>
      </c>
      <c r="S271" s="77">
        <f>VLOOKUP($B271,[1]ბიუჯეტი!$B:$K,9,FALSE)</f>
        <v>0</v>
      </c>
      <c r="T271" s="77">
        <f>VLOOKUP($B271,[1]ბიუჯეტი!$B:$K,10,FALSE)</f>
        <v>1067.7966101694915</v>
      </c>
      <c r="V271" s="78">
        <f t="shared" si="38"/>
        <v>0</v>
      </c>
      <c r="W271" s="78">
        <f t="shared" si="39"/>
        <v>0</v>
      </c>
      <c r="X271" s="78">
        <f t="shared" si="40"/>
        <v>0</v>
      </c>
      <c r="Y271" s="78">
        <f t="shared" si="41"/>
        <v>0</v>
      </c>
    </row>
    <row r="272" spans="1:25" hidden="1" outlineLevel="1" x14ac:dyDescent="0.35">
      <c r="A272" s="51"/>
      <c r="B272" s="3" t="s">
        <v>385</v>
      </c>
      <c r="C272" s="4" t="s">
        <v>192</v>
      </c>
      <c r="D272" s="1">
        <v>75</v>
      </c>
      <c r="E272" s="1">
        <f>SUMIFS(მასალა!D5:D253,მასალა!B5:B253,ბიუჯეტი!B272)</f>
        <v>38.135593220338983</v>
      </c>
      <c r="F272" s="1">
        <f t="shared" si="42"/>
        <v>2860.1694915254238</v>
      </c>
      <c r="G272" s="1"/>
      <c r="H272" s="1">
        <f t="shared" si="43"/>
        <v>0</v>
      </c>
      <c r="I272" s="1"/>
      <c r="J272" s="1"/>
      <c r="K272" s="1">
        <f t="shared" si="36"/>
        <v>2860.1694915254238</v>
      </c>
      <c r="M272" s="77">
        <f>VLOOKUP(B272,[1]ბიუჯეტი!$B:$K,3,FALSE)</f>
        <v>75</v>
      </c>
      <c r="N272" s="77">
        <f>VLOOKUP($B272,[1]ბიუჯეტი!$B:$K,4,FALSE)</f>
        <v>38.135593220338983</v>
      </c>
      <c r="O272" s="77">
        <f>VLOOKUP($B272,[1]ბიუჯეტი!$B:$K,5,FALSE)</f>
        <v>2860.1694915254238</v>
      </c>
      <c r="P272" s="77">
        <f>VLOOKUP($B272,[1]ბიუჯეტი!$B:$K,6,FALSE)</f>
        <v>0</v>
      </c>
      <c r="Q272" s="77">
        <f>VLOOKUP($B272,[1]ბიუჯეტი!$B:$K,7,FALSE)</f>
        <v>0</v>
      </c>
      <c r="R272" s="77">
        <f>VLOOKUP($B272,[1]ბიუჯეტი!$B:$K,8,FALSE)</f>
        <v>0</v>
      </c>
      <c r="S272" s="77">
        <f>VLOOKUP($B272,[1]ბიუჯეტი!$B:$K,9,FALSE)</f>
        <v>0</v>
      </c>
      <c r="T272" s="77">
        <f>VLOOKUP($B272,[1]ბიუჯეტი!$B:$K,10,FALSE)</f>
        <v>2860.1694915254238</v>
      </c>
      <c r="V272" s="78">
        <f t="shared" si="38"/>
        <v>0</v>
      </c>
      <c r="W272" s="78">
        <f t="shared" si="39"/>
        <v>0</v>
      </c>
      <c r="X272" s="78">
        <f t="shared" si="40"/>
        <v>0</v>
      </c>
      <c r="Y272" s="78">
        <f t="shared" si="41"/>
        <v>0</v>
      </c>
    </row>
    <row r="273" spans="1:25" hidden="1" outlineLevel="1" x14ac:dyDescent="0.35">
      <c r="A273" s="51"/>
      <c r="B273" s="3" t="s">
        <v>63</v>
      </c>
      <c r="C273" s="4" t="s">
        <v>49</v>
      </c>
      <c r="D273" s="1">
        <v>175</v>
      </c>
      <c r="E273" s="1">
        <f>SUMIFS(მასალა!D6:D254,მასალა!B6:B254,ბიუჯეტი!B273)</f>
        <v>11.016949152542374</v>
      </c>
      <c r="F273" s="1">
        <f t="shared" si="42"/>
        <v>1927.9661016949153</v>
      </c>
      <c r="G273" s="1"/>
      <c r="H273" s="1">
        <v>0</v>
      </c>
      <c r="I273" s="1"/>
      <c r="J273" s="1"/>
      <c r="K273" s="1">
        <f t="shared" si="36"/>
        <v>1927.9661016949153</v>
      </c>
      <c r="M273" s="77">
        <f>VLOOKUP(B273,[1]ბიუჯეტი!$B:$K,3,FALSE)</f>
        <v>8</v>
      </c>
      <c r="N273" s="77">
        <f>VLOOKUP($B273,[1]ბიუჯეტი!$B:$K,4,FALSE)</f>
        <v>11.016949152542374</v>
      </c>
      <c r="O273" s="77">
        <f>VLOOKUP($B273,[1]ბიუჯეტი!$B:$K,5,FALSE)</f>
        <v>88.13559322033899</v>
      </c>
      <c r="P273" s="77">
        <f>VLOOKUP($B273,[1]ბიუჯეტი!$B:$K,6,FALSE)</f>
        <v>0</v>
      </c>
      <c r="Q273" s="77">
        <f>VLOOKUP($B273,[1]ბიუჯეტი!$B:$K,7,FALSE)</f>
        <v>0</v>
      </c>
      <c r="R273" s="77">
        <f>VLOOKUP($B273,[1]ბიუჯეტი!$B:$K,8,FALSE)</f>
        <v>0</v>
      </c>
      <c r="S273" s="77">
        <f>VLOOKUP($B273,[1]ბიუჯეტი!$B:$K,9,FALSE)</f>
        <v>0</v>
      </c>
      <c r="T273" s="77">
        <f>VLOOKUP($B273,[1]ბიუჯეტი!$B:$K,10,FALSE)</f>
        <v>88.13559322033899</v>
      </c>
      <c r="V273" s="78">
        <f t="shared" si="38"/>
        <v>0</v>
      </c>
      <c r="W273" s="78">
        <f t="shared" si="39"/>
        <v>0</v>
      </c>
      <c r="X273" s="78">
        <f t="shared" si="40"/>
        <v>0</v>
      </c>
      <c r="Y273" s="78">
        <f t="shared" si="41"/>
        <v>167</v>
      </c>
    </row>
    <row r="274" spans="1:25" hidden="1" outlineLevel="1" x14ac:dyDescent="0.35">
      <c r="A274" s="51"/>
      <c r="B274" s="3" t="s">
        <v>386</v>
      </c>
      <c r="C274" s="4" t="s">
        <v>10</v>
      </c>
      <c r="D274" s="1">
        <f>D259</f>
        <v>1074</v>
      </c>
      <c r="E274" s="1">
        <f>SUMIFS(მასალა!D7:D255,მასალა!B7:B255,ბიუჯეტი!B274)</f>
        <v>12.711864406779661</v>
      </c>
      <c r="F274" s="1">
        <f t="shared" si="42"/>
        <v>13652.542372881357</v>
      </c>
      <c r="G274" s="1"/>
      <c r="H274" s="1">
        <v>0</v>
      </c>
      <c r="I274" s="1"/>
      <c r="J274" s="1"/>
      <c r="K274" s="1">
        <f t="shared" si="36"/>
        <v>13652.542372881357</v>
      </c>
      <c r="M274" s="77">
        <f>VLOOKUP(B274,[1]ბიუჯეტი!$B:$K,3,FALSE)</f>
        <v>1074</v>
      </c>
      <c r="N274" s="77">
        <f>VLOOKUP($B274,[1]ბიუჯეტი!$B:$K,4,FALSE)</f>
        <v>12.711864406779661</v>
      </c>
      <c r="O274" s="77">
        <f>VLOOKUP($B274,[1]ბიუჯეტი!$B:$K,5,FALSE)</f>
        <v>13652.542372881357</v>
      </c>
      <c r="P274" s="77">
        <f>VLOOKUP($B274,[1]ბიუჯეტი!$B:$K,6,FALSE)</f>
        <v>0</v>
      </c>
      <c r="Q274" s="77">
        <f>VLOOKUP($B274,[1]ბიუჯეტი!$B:$K,7,FALSE)</f>
        <v>0</v>
      </c>
      <c r="R274" s="77">
        <f>VLOOKUP($B274,[1]ბიუჯეტი!$B:$K,8,FALSE)</f>
        <v>0</v>
      </c>
      <c r="S274" s="77">
        <f>VLOOKUP($B274,[1]ბიუჯეტი!$B:$K,9,FALSE)</f>
        <v>0</v>
      </c>
      <c r="T274" s="77">
        <f>VLOOKUP($B274,[1]ბიუჯეტი!$B:$K,10,FALSE)</f>
        <v>13652.542372881357</v>
      </c>
      <c r="V274" s="78">
        <f t="shared" si="38"/>
        <v>0</v>
      </c>
      <c r="W274" s="78">
        <f t="shared" si="39"/>
        <v>0</v>
      </c>
      <c r="X274" s="78">
        <f t="shared" si="40"/>
        <v>0</v>
      </c>
      <c r="Y274" s="78">
        <f t="shared" si="41"/>
        <v>0</v>
      </c>
    </row>
    <row r="275" spans="1:25" collapsed="1" x14ac:dyDescent="0.35">
      <c r="A275" s="51">
        <v>19</v>
      </c>
      <c r="B275" s="23" t="s">
        <v>84</v>
      </c>
      <c r="C275" s="4" t="s">
        <v>10</v>
      </c>
      <c r="D275" s="1">
        <f>D276+D280</f>
        <v>393.6</v>
      </c>
      <c r="E275" s="1">
        <f>SUM(F276:F283)/D275</f>
        <v>53.411864406779664</v>
      </c>
      <c r="F275" s="1">
        <f t="shared" si="42"/>
        <v>21022.909830508477</v>
      </c>
      <c r="G275" s="1">
        <f>SUM(H276:H283)/D275</f>
        <v>38.25</v>
      </c>
      <c r="H275" s="1">
        <f>G275*D275</f>
        <v>15055.2</v>
      </c>
      <c r="I275" s="1">
        <v>0</v>
      </c>
      <c r="J275" s="1">
        <v>0</v>
      </c>
      <c r="K275" s="1">
        <f t="shared" si="36"/>
        <v>36078.109830508474</v>
      </c>
      <c r="M275" s="77">
        <f>VLOOKUP(B275,[1]ბიუჯეტი!$B:$K,3,FALSE)</f>
        <v>394.70000000000005</v>
      </c>
      <c r="N275" s="77">
        <f>VLOOKUP($B275,[1]ბიუჯეტი!$B:$K,4,FALSE)</f>
        <v>52.949152542372886</v>
      </c>
      <c r="O275" s="77">
        <f>VLOOKUP($B275,[1]ბიუჯეტი!$B:$K,5,FALSE)</f>
        <v>20899.030508474581</v>
      </c>
      <c r="P275" s="77">
        <f>VLOOKUP($B275,[1]ბიუჯეტი!$B:$K,6,FALSE)</f>
        <v>38.25</v>
      </c>
      <c r="Q275" s="77">
        <f>VLOOKUP($B275,[1]ბიუჯეტი!$B:$K,7,FALSE)</f>
        <v>15097.275000000001</v>
      </c>
      <c r="R275" s="77">
        <f>VLOOKUP($B275,[1]ბიუჯეტი!$B:$K,8,FALSE)</f>
        <v>0</v>
      </c>
      <c r="S275" s="77">
        <f>VLOOKUP($B275,[1]ბიუჯეტი!$B:$K,9,FALSE)</f>
        <v>0</v>
      </c>
      <c r="T275" s="77">
        <f>VLOOKUP($B275,[1]ბიუჯეტი!$B:$K,10,FALSE)</f>
        <v>35996.305508474587</v>
      </c>
      <c r="V275" s="78">
        <f t="shared" si="38"/>
        <v>0.46271186440677781</v>
      </c>
      <c r="W275" s="78">
        <f t="shared" si="39"/>
        <v>0</v>
      </c>
      <c r="X275" s="78">
        <f t="shared" si="40"/>
        <v>0</v>
      </c>
      <c r="Y275" s="78">
        <f t="shared" si="41"/>
        <v>-1.1000000000000227</v>
      </c>
    </row>
    <row r="276" spans="1:25" hidden="1" outlineLevel="1" x14ac:dyDescent="0.35">
      <c r="A276" s="51">
        <v>1</v>
      </c>
      <c r="B276" s="23" t="s">
        <v>85</v>
      </c>
      <c r="C276" s="4" t="s">
        <v>10</v>
      </c>
      <c r="D276" s="1">
        <f>სამუშაო!E76</f>
        <v>35.400000000000006</v>
      </c>
      <c r="E276" s="1"/>
      <c r="F276" s="1">
        <f t="shared" si="42"/>
        <v>0</v>
      </c>
      <c r="G276" s="1">
        <f>30*1.275</f>
        <v>38.25</v>
      </c>
      <c r="H276" s="1">
        <f>G276*D276</f>
        <v>1354.0500000000002</v>
      </c>
      <c r="I276" s="1"/>
      <c r="J276" s="1"/>
      <c r="K276" s="1">
        <f t="shared" si="36"/>
        <v>1354.0500000000002</v>
      </c>
      <c r="M276" s="77">
        <f>VLOOKUP(B276,[1]ბიუჯეტი!$B:$K,3,FALSE)</f>
        <v>74.900000000000006</v>
      </c>
      <c r="N276" s="77">
        <f>VLOOKUP($B276,[1]ბიუჯეტი!$B:$K,4,FALSE)</f>
        <v>0</v>
      </c>
      <c r="O276" s="77">
        <f>VLOOKUP($B276,[1]ბიუჯეტი!$B:$K,5,FALSE)</f>
        <v>0</v>
      </c>
      <c r="P276" s="77">
        <f>VLOOKUP($B276,[1]ბიუჯეტი!$B:$K,6,FALSE)</f>
        <v>38.25</v>
      </c>
      <c r="Q276" s="77">
        <f>VLOOKUP($B276,[1]ბიუჯეტი!$B:$K,7,FALSE)</f>
        <v>2864.9250000000002</v>
      </c>
      <c r="R276" s="77">
        <f>VLOOKUP($B276,[1]ბიუჯეტი!$B:$K,8,FALSE)</f>
        <v>0</v>
      </c>
      <c r="S276" s="77">
        <f>VLOOKUP($B276,[1]ბიუჯეტი!$B:$K,9,FALSE)</f>
        <v>0</v>
      </c>
      <c r="T276" s="77">
        <f>VLOOKUP($B276,[1]ბიუჯეტი!$B:$K,10,FALSE)</f>
        <v>2864.9250000000002</v>
      </c>
      <c r="V276" s="78">
        <f t="shared" si="38"/>
        <v>0</v>
      </c>
      <c r="W276" s="78">
        <f t="shared" si="39"/>
        <v>0</v>
      </c>
      <c r="X276" s="78">
        <f t="shared" si="40"/>
        <v>0</v>
      </c>
      <c r="Y276" s="78">
        <f t="shared" si="41"/>
        <v>-39.5</v>
      </c>
    </row>
    <row r="277" spans="1:25" hidden="1" outlineLevel="1" x14ac:dyDescent="0.35">
      <c r="A277" s="51"/>
      <c r="B277" s="3" t="s">
        <v>415</v>
      </c>
      <c r="C277" s="4" t="s">
        <v>10</v>
      </c>
      <c r="D277" s="1">
        <f>D276*1.05</f>
        <v>37.170000000000009</v>
      </c>
      <c r="E277" s="1">
        <f>SUMIFS(მასალა!D103:D258,მასალა!B103:B258,ბიუჯეტი!B277)</f>
        <v>46.610169491525426</v>
      </c>
      <c r="F277" s="1">
        <f t="shared" si="42"/>
        <v>1732.5000000000005</v>
      </c>
      <c r="G277" s="1"/>
      <c r="H277" s="1"/>
      <c r="I277" s="1"/>
      <c r="J277" s="1"/>
      <c r="K277" s="1">
        <f t="shared" si="36"/>
        <v>1732.5000000000005</v>
      </c>
      <c r="M277" s="77">
        <f>VLOOKUP(B277,[1]ბიუჯეტი!$B:$K,3,FALSE)</f>
        <v>78.64500000000001</v>
      </c>
      <c r="N277" s="77">
        <f>VLOOKUP($B277,[1]ბიუჯეტი!$B:$K,4,FALSE)</f>
        <v>46.610169491525426</v>
      </c>
      <c r="O277" s="77">
        <f>VLOOKUP($B277,[1]ბიუჯეტი!$B:$K,5,FALSE)</f>
        <v>3665.6567796610175</v>
      </c>
      <c r="P277" s="77">
        <f>VLOOKUP($B277,[1]ბიუჯეტი!$B:$K,6,FALSE)</f>
        <v>0</v>
      </c>
      <c r="Q277" s="77">
        <f>VLOOKUP($B277,[1]ბიუჯეტი!$B:$K,7,FALSE)</f>
        <v>0</v>
      </c>
      <c r="R277" s="77">
        <f>VLOOKUP($B277,[1]ბიუჯეტი!$B:$K,8,FALSE)</f>
        <v>0</v>
      </c>
      <c r="S277" s="77">
        <f>VLOOKUP($B277,[1]ბიუჯეტი!$B:$K,9,FALSE)</f>
        <v>0</v>
      </c>
      <c r="T277" s="77">
        <f>VLOOKUP($B277,[1]ბიუჯეტი!$B:$K,10,FALSE)</f>
        <v>3665.6567796610175</v>
      </c>
      <c r="V277" s="78">
        <f t="shared" si="38"/>
        <v>0</v>
      </c>
      <c r="W277" s="78">
        <f t="shared" si="39"/>
        <v>0</v>
      </c>
      <c r="X277" s="78">
        <f t="shared" si="40"/>
        <v>0</v>
      </c>
      <c r="Y277" s="78">
        <f t="shared" si="41"/>
        <v>-41.475000000000001</v>
      </c>
    </row>
    <row r="278" spans="1:25" hidden="1" outlineLevel="1" x14ac:dyDescent="0.35">
      <c r="A278" s="51"/>
      <c r="B278" s="3" t="s">
        <v>63</v>
      </c>
      <c r="C278" s="4" t="s">
        <v>49</v>
      </c>
      <c r="D278" s="1">
        <f>D276*6/25*1.05</f>
        <v>8.9208000000000034</v>
      </c>
      <c r="E278" s="1">
        <f>მასალა!D20</f>
        <v>11.016949152542374</v>
      </c>
      <c r="F278" s="1">
        <f t="shared" si="42"/>
        <v>98.280000000000044</v>
      </c>
      <c r="G278" s="1"/>
      <c r="H278" s="1"/>
      <c r="I278" s="1"/>
      <c r="J278" s="1"/>
      <c r="K278" s="1">
        <f t="shared" si="36"/>
        <v>98.280000000000044</v>
      </c>
      <c r="M278" s="77">
        <f>VLOOKUP(B278,[1]ბიუჯეტი!$B:$K,3,FALSE)</f>
        <v>8</v>
      </c>
      <c r="N278" s="77">
        <f>VLOOKUP($B278,[1]ბიუჯეტი!$B:$K,4,FALSE)</f>
        <v>11.016949152542374</v>
      </c>
      <c r="O278" s="77">
        <f>VLOOKUP($B278,[1]ბიუჯეტი!$B:$K,5,FALSE)</f>
        <v>88.13559322033899</v>
      </c>
      <c r="P278" s="77">
        <f>VLOOKUP($B278,[1]ბიუჯეტი!$B:$K,6,FALSE)</f>
        <v>0</v>
      </c>
      <c r="Q278" s="77">
        <f>VLOOKUP($B278,[1]ბიუჯეტი!$B:$K,7,FALSE)</f>
        <v>0</v>
      </c>
      <c r="R278" s="77">
        <f>VLOOKUP($B278,[1]ბიუჯეტი!$B:$K,8,FALSE)</f>
        <v>0</v>
      </c>
      <c r="S278" s="77">
        <f>VLOOKUP($B278,[1]ბიუჯეტი!$B:$K,9,FALSE)</f>
        <v>0</v>
      </c>
      <c r="T278" s="77">
        <f>VLOOKUP($B278,[1]ბიუჯეტი!$B:$K,10,FALSE)</f>
        <v>88.13559322033899</v>
      </c>
      <c r="V278" s="78">
        <f t="shared" si="38"/>
        <v>0</v>
      </c>
      <c r="W278" s="78">
        <f t="shared" si="39"/>
        <v>0</v>
      </c>
      <c r="X278" s="78">
        <f t="shared" si="40"/>
        <v>0</v>
      </c>
      <c r="Y278" s="78">
        <f t="shared" si="41"/>
        <v>0.92080000000000339</v>
      </c>
    </row>
    <row r="279" spans="1:25" hidden="1" outlineLevel="1" x14ac:dyDescent="0.35">
      <c r="A279" s="51"/>
      <c r="B279" s="3" t="s">
        <v>387</v>
      </c>
      <c r="C279" s="4" t="s">
        <v>193</v>
      </c>
      <c r="D279" s="1">
        <f>D276</f>
        <v>35.400000000000006</v>
      </c>
      <c r="E279" s="1">
        <f>SUMIFS(მასალა!D40:D260,მასალა!B40:B260,ბიუჯეტი!B279)</f>
        <v>1.6949152542372883</v>
      </c>
      <c r="F279" s="1">
        <f>D279*E279</f>
        <v>60.000000000000014</v>
      </c>
      <c r="G279" s="1"/>
      <c r="H279" s="1"/>
      <c r="I279" s="1"/>
      <c r="J279" s="1"/>
      <c r="K279" s="1">
        <f t="shared" si="36"/>
        <v>60.000000000000014</v>
      </c>
      <c r="M279" s="77">
        <f>VLOOKUP(B279,[1]ბიუჯეტი!$B:$K,3,FALSE)</f>
        <v>74.900000000000006</v>
      </c>
      <c r="N279" s="77">
        <f>VLOOKUP($B279,[1]ბიუჯეტი!$B:$K,4,FALSE)</f>
        <v>1.6949152542372883</v>
      </c>
      <c r="O279" s="77">
        <f>VLOOKUP($B279,[1]ბიუჯეტი!$B:$K,5,FALSE)</f>
        <v>126.9491525423729</v>
      </c>
      <c r="P279" s="77">
        <f>VLOOKUP($B279,[1]ბიუჯეტი!$B:$K,6,FALSE)</f>
        <v>0</v>
      </c>
      <c r="Q279" s="77">
        <f>VLOOKUP($B279,[1]ბიუჯეტი!$B:$K,7,FALSE)</f>
        <v>0</v>
      </c>
      <c r="R279" s="77">
        <f>VLOOKUP($B279,[1]ბიუჯეტი!$B:$K,8,FALSE)</f>
        <v>0</v>
      </c>
      <c r="S279" s="77">
        <f>VLOOKUP($B279,[1]ბიუჯეტი!$B:$K,9,FALSE)</f>
        <v>0</v>
      </c>
      <c r="T279" s="77">
        <f>VLOOKUP($B279,[1]ბიუჯეტი!$B:$K,10,FALSE)</f>
        <v>126.9491525423729</v>
      </c>
      <c r="V279" s="78">
        <f t="shared" si="38"/>
        <v>0</v>
      </c>
      <c r="W279" s="78">
        <f t="shared" si="39"/>
        <v>0</v>
      </c>
      <c r="X279" s="78">
        <f t="shared" si="40"/>
        <v>0</v>
      </c>
      <c r="Y279" s="78">
        <f t="shared" si="41"/>
        <v>-39.5</v>
      </c>
    </row>
    <row r="280" spans="1:25" hidden="1" outlineLevel="1" x14ac:dyDescent="0.35">
      <c r="A280" s="51">
        <v>2</v>
      </c>
      <c r="B280" s="23" t="s">
        <v>173</v>
      </c>
      <c r="C280" s="4" t="s">
        <v>10</v>
      </c>
      <c r="D280" s="1">
        <f>სამუშაო!E77+სამუშაო!E78+სამუშაო!E79</f>
        <v>358.20000000000005</v>
      </c>
      <c r="E280" s="1"/>
      <c r="F280" s="1">
        <f t="shared" si="42"/>
        <v>0</v>
      </c>
      <c r="G280" s="1">
        <f>ხელფასი!D15</f>
        <v>38.25</v>
      </c>
      <c r="H280" s="1">
        <f>G280*D280</f>
        <v>13701.150000000001</v>
      </c>
      <c r="I280" s="1"/>
      <c r="J280" s="1"/>
      <c r="K280" s="1">
        <f t="shared" si="36"/>
        <v>13701.150000000001</v>
      </c>
      <c r="M280" s="77">
        <f>VLOOKUP(B280,[1]ბიუჯეტი!$B:$K,3,FALSE)</f>
        <v>319.8</v>
      </c>
      <c r="N280" s="77">
        <f>VLOOKUP($B280,[1]ბიუჯეტი!$B:$K,4,FALSE)</f>
        <v>0</v>
      </c>
      <c r="O280" s="77">
        <f>VLOOKUP($B280,[1]ბიუჯეტი!$B:$K,5,FALSE)</f>
        <v>0</v>
      </c>
      <c r="P280" s="77">
        <f>VLOOKUP($B280,[1]ბიუჯეტი!$B:$K,6,FALSE)</f>
        <v>38.25</v>
      </c>
      <c r="Q280" s="77">
        <f>VLOOKUP($B280,[1]ბიუჯეტი!$B:$K,7,FALSE)</f>
        <v>12232.35</v>
      </c>
      <c r="R280" s="77">
        <f>VLOOKUP($B280,[1]ბიუჯეტი!$B:$K,8,FALSE)</f>
        <v>0</v>
      </c>
      <c r="S280" s="77">
        <f>VLOOKUP($B280,[1]ბიუჯეტი!$B:$K,9,FALSE)</f>
        <v>0</v>
      </c>
      <c r="T280" s="77">
        <f>VLOOKUP($B280,[1]ბიუჯეტი!$B:$K,10,FALSE)</f>
        <v>12232.35</v>
      </c>
      <c r="V280" s="78">
        <f t="shared" si="38"/>
        <v>0</v>
      </c>
      <c r="W280" s="78">
        <f t="shared" si="39"/>
        <v>0</v>
      </c>
      <c r="X280" s="78">
        <f t="shared" si="40"/>
        <v>0</v>
      </c>
      <c r="Y280" s="78">
        <f t="shared" si="41"/>
        <v>38.400000000000034</v>
      </c>
    </row>
    <row r="281" spans="1:25" hidden="1" outlineLevel="1" x14ac:dyDescent="0.35">
      <c r="A281" s="51"/>
      <c r="B281" s="3" t="s">
        <v>415</v>
      </c>
      <c r="C281" s="4" t="s">
        <v>10</v>
      </c>
      <c r="D281" s="1">
        <f>D280*1.05</f>
        <v>376.11000000000007</v>
      </c>
      <c r="E281" s="1">
        <f>SUMIFS(მასალა!D107:D262,მასალა!B107:B262,ბიუჯეტი!B281)</f>
        <v>46.610169491525426</v>
      </c>
      <c r="F281" s="1">
        <f t="shared" si="42"/>
        <v>17530.550847457631</v>
      </c>
      <c r="G281" s="1"/>
      <c r="H281" s="1"/>
      <c r="I281" s="1"/>
      <c r="J281" s="1"/>
      <c r="K281" s="1">
        <f t="shared" si="36"/>
        <v>17530.550847457631</v>
      </c>
      <c r="M281" s="77">
        <f>VLOOKUP(B281,[1]ბიუჯეტი!$B:$K,3,FALSE)</f>
        <v>78.64500000000001</v>
      </c>
      <c r="N281" s="77">
        <f>VLOOKUP($B281,[1]ბიუჯეტი!$B:$K,4,FALSE)</f>
        <v>46.610169491525426</v>
      </c>
      <c r="O281" s="77">
        <f>VLOOKUP($B281,[1]ბიუჯეტი!$B:$K,5,FALSE)</f>
        <v>3665.6567796610175</v>
      </c>
      <c r="P281" s="77">
        <f>VLOOKUP($B281,[1]ბიუჯეტი!$B:$K,6,FALSE)</f>
        <v>0</v>
      </c>
      <c r="Q281" s="77">
        <f>VLOOKUP($B281,[1]ბიუჯეტი!$B:$K,7,FALSE)</f>
        <v>0</v>
      </c>
      <c r="R281" s="77">
        <f>VLOOKUP($B281,[1]ბიუჯეტი!$B:$K,8,FALSE)</f>
        <v>0</v>
      </c>
      <c r="S281" s="77">
        <f>VLOOKUP($B281,[1]ბიუჯეტი!$B:$K,9,FALSE)</f>
        <v>0</v>
      </c>
      <c r="T281" s="77">
        <f>VLOOKUP($B281,[1]ბიუჯეტი!$B:$K,10,FALSE)</f>
        <v>3665.6567796610175</v>
      </c>
      <c r="V281" s="78">
        <f t="shared" si="38"/>
        <v>0</v>
      </c>
      <c r="W281" s="78">
        <f t="shared" si="39"/>
        <v>0</v>
      </c>
      <c r="X281" s="78">
        <f t="shared" si="40"/>
        <v>0</v>
      </c>
      <c r="Y281" s="78">
        <f t="shared" si="41"/>
        <v>297.46500000000003</v>
      </c>
    </row>
    <row r="282" spans="1:25" hidden="1" outlineLevel="1" x14ac:dyDescent="0.35">
      <c r="A282" s="51"/>
      <c r="B282" s="3" t="s">
        <v>63</v>
      </c>
      <c r="C282" s="4" t="s">
        <v>49</v>
      </c>
      <c r="D282" s="1">
        <f>D280*6/25*1.05</f>
        <v>90.266400000000019</v>
      </c>
      <c r="E282" s="1">
        <f>მასალა!D20</f>
        <v>11.016949152542374</v>
      </c>
      <c r="F282" s="1">
        <f t="shared" si="42"/>
        <v>994.46033898305109</v>
      </c>
      <c r="G282" s="1"/>
      <c r="H282" s="1"/>
      <c r="I282" s="1"/>
      <c r="J282" s="1"/>
      <c r="K282" s="1">
        <f t="shared" ref="K282:K345" si="44">F282+H282+J282</f>
        <v>994.46033898305109</v>
      </c>
      <c r="M282" s="77">
        <f>VLOOKUP(B282,[1]ბიუჯეტი!$B:$K,3,FALSE)</f>
        <v>8</v>
      </c>
      <c r="N282" s="77">
        <f>VLOOKUP($B282,[1]ბიუჯეტი!$B:$K,4,FALSE)</f>
        <v>11.016949152542374</v>
      </c>
      <c r="O282" s="77">
        <f>VLOOKUP($B282,[1]ბიუჯეტი!$B:$K,5,FALSE)</f>
        <v>88.13559322033899</v>
      </c>
      <c r="P282" s="77">
        <f>VLOOKUP($B282,[1]ბიუჯეტი!$B:$K,6,FALSE)</f>
        <v>0</v>
      </c>
      <c r="Q282" s="77">
        <f>VLOOKUP($B282,[1]ბიუჯეტი!$B:$K,7,FALSE)</f>
        <v>0</v>
      </c>
      <c r="R282" s="77">
        <f>VLOOKUP($B282,[1]ბიუჯეტი!$B:$K,8,FALSE)</f>
        <v>0</v>
      </c>
      <c r="S282" s="77">
        <f>VLOOKUP($B282,[1]ბიუჯეტი!$B:$K,9,FALSE)</f>
        <v>0</v>
      </c>
      <c r="T282" s="77">
        <f>VLOOKUP($B282,[1]ბიუჯეტი!$B:$K,10,FALSE)</f>
        <v>88.13559322033899</v>
      </c>
      <c r="V282" s="78">
        <f t="shared" si="38"/>
        <v>0</v>
      </c>
      <c r="W282" s="78">
        <f t="shared" si="39"/>
        <v>0</v>
      </c>
      <c r="X282" s="78">
        <f t="shared" si="40"/>
        <v>0</v>
      </c>
      <c r="Y282" s="78">
        <f t="shared" si="41"/>
        <v>82.266400000000019</v>
      </c>
    </row>
    <row r="283" spans="1:25" hidden="1" outlineLevel="1" x14ac:dyDescent="0.35">
      <c r="A283" s="51"/>
      <c r="B283" s="3" t="s">
        <v>387</v>
      </c>
      <c r="C283" s="4" t="s">
        <v>193</v>
      </c>
      <c r="D283" s="1">
        <f>D280</f>
        <v>358.20000000000005</v>
      </c>
      <c r="E283" s="1">
        <f>SUMIFS(მასალა!D44:D264,მასალა!B44:B264,ბიუჯეტი!B283)</f>
        <v>1.6949152542372883</v>
      </c>
      <c r="F283" s="1">
        <f t="shared" si="42"/>
        <v>607.11864406779671</v>
      </c>
      <c r="G283" s="1"/>
      <c r="H283" s="1"/>
      <c r="I283" s="1"/>
      <c r="J283" s="1"/>
      <c r="K283" s="1">
        <f t="shared" si="44"/>
        <v>607.11864406779671</v>
      </c>
      <c r="M283" s="77">
        <f>VLOOKUP(B283,[1]ბიუჯეტი!$B:$K,3,FALSE)</f>
        <v>74.900000000000006</v>
      </c>
      <c r="N283" s="77">
        <f>VLOOKUP($B283,[1]ბიუჯეტი!$B:$K,4,FALSE)</f>
        <v>1.6949152542372883</v>
      </c>
      <c r="O283" s="77">
        <f>VLOOKUP($B283,[1]ბიუჯეტი!$B:$K,5,FALSE)</f>
        <v>126.9491525423729</v>
      </c>
      <c r="P283" s="77">
        <f>VLOOKUP($B283,[1]ბიუჯეტი!$B:$K,6,FALSE)</f>
        <v>0</v>
      </c>
      <c r="Q283" s="77">
        <f>VLOOKUP($B283,[1]ბიუჯეტი!$B:$K,7,FALSE)</f>
        <v>0</v>
      </c>
      <c r="R283" s="77">
        <f>VLOOKUP($B283,[1]ბიუჯეტი!$B:$K,8,FALSE)</f>
        <v>0</v>
      </c>
      <c r="S283" s="77">
        <f>VLOOKUP($B283,[1]ბიუჯეტი!$B:$K,9,FALSE)</f>
        <v>0</v>
      </c>
      <c r="T283" s="77">
        <f>VLOOKUP($B283,[1]ბიუჯეტი!$B:$K,10,FALSE)</f>
        <v>126.9491525423729</v>
      </c>
      <c r="V283" s="78">
        <f t="shared" si="38"/>
        <v>0</v>
      </c>
      <c r="W283" s="78">
        <f t="shared" si="39"/>
        <v>0</v>
      </c>
      <c r="X283" s="78">
        <f t="shared" si="40"/>
        <v>0</v>
      </c>
      <c r="Y283" s="78">
        <f t="shared" si="41"/>
        <v>283.30000000000007</v>
      </c>
    </row>
    <row r="284" spans="1:25" collapsed="1" x14ac:dyDescent="0.35">
      <c r="A284" s="51">
        <v>20</v>
      </c>
      <c r="B284" s="23" t="s">
        <v>86</v>
      </c>
      <c r="C284" s="4" t="s">
        <v>10</v>
      </c>
      <c r="D284" s="1">
        <f>SUM(D285,D289,D293)</f>
        <v>638.73</v>
      </c>
      <c r="E284" s="1">
        <f>SUM(F285:F296)/D284</f>
        <v>50.02348341133505</v>
      </c>
      <c r="F284" s="1">
        <f t="shared" si="42"/>
        <v>31951.499559322037</v>
      </c>
      <c r="G284" s="1">
        <f>ხელფასი!D15</f>
        <v>38.25</v>
      </c>
      <c r="H284" s="1">
        <f>G284*D284</f>
        <v>24431.422500000001</v>
      </c>
      <c r="I284" s="1">
        <v>0</v>
      </c>
      <c r="J284" s="1">
        <v>0</v>
      </c>
      <c r="K284" s="1">
        <f t="shared" si="44"/>
        <v>56382.922059322038</v>
      </c>
      <c r="M284" s="77">
        <f>VLOOKUP(B284,[1]ბიუჯეტი!$B:$K,3,FALSE)</f>
        <v>578</v>
      </c>
      <c r="N284" s="77">
        <f>VLOOKUP($B284,[1]ბიუჯეტი!$B:$K,4,FALSE)</f>
        <v>50.201696381443902</v>
      </c>
      <c r="O284" s="77">
        <f>VLOOKUP($B284,[1]ბიუჯეტი!$B:$K,5,FALSE)</f>
        <v>29016.580508474577</v>
      </c>
      <c r="P284" s="77">
        <f>VLOOKUP($B284,[1]ბიუჯეტი!$B:$K,6,FALSE)</f>
        <v>38.25</v>
      </c>
      <c r="Q284" s="77">
        <f>VLOOKUP($B284,[1]ბიუჯეტი!$B:$K,7,FALSE)</f>
        <v>22108.5</v>
      </c>
      <c r="R284" s="77">
        <f>VLOOKUP($B284,[1]ბიუჯეტი!$B:$K,8,FALSE)</f>
        <v>0</v>
      </c>
      <c r="S284" s="77">
        <f>VLOOKUP($B284,[1]ბიუჯეტი!$B:$K,9,FALSE)</f>
        <v>0</v>
      </c>
      <c r="T284" s="77">
        <f>VLOOKUP($B284,[1]ბიუჯეტი!$B:$K,10,FALSE)</f>
        <v>51125.080508474581</v>
      </c>
      <c r="V284" s="78">
        <f t="shared" si="38"/>
        <v>-0.17821297010885218</v>
      </c>
      <c r="W284" s="78">
        <f t="shared" si="39"/>
        <v>0</v>
      </c>
      <c r="X284" s="78">
        <f t="shared" si="40"/>
        <v>0</v>
      </c>
      <c r="Y284" s="78">
        <f t="shared" si="41"/>
        <v>60.730000000000018</v>
      </c>
    </row>
    <row r="285" spans="1:25" hidden="1" outlineLevel="1" x14ac:dyDescent="0.35">
      <c r="A285" s="51">
        <v>2</v>
      </c>
      <c r="B285" s="23" t="s">
        <v>174</v>
      </c>
      <c r="C285" s="4" t="s">
        <v>10</v>
      </c>
      <c r="D285" s="1">
        <f>სამუშაო!D75</f>
        <v>239.28</v>
      </c>
      <c r="E285" s="1"/>
      <c r="F285" s="1">
        <f t="shared" si="42"/>
        <v>0</v>
      </c>
      <c r="G285" s="1">
        <f>ხელფასი!D15</f>
        <v>38.25</v>
      </c>
      <c r="H285" s="1">
        <f>G285*D285</f>
        <v>9152.4600000000009</v>
      </c>
      <c r="I285" s="1"/>
      <c r="J285" s="1"/>
      <c r="K285" s="1">
        <f t="shared" si="44"/>
        <v>9152.4600000000009</v>
      </c>
      <c r="M285" s="77">
        <f>VLOOKUP(B285,[1]ბიუჯეტი!$B:$K,3,FALSE)</f>
        <v>179.8</v>
      </c>
      <c r="N285" s="77">
        <f>VLOOKUP($B285,[1]ბიუჯეტი!$B:$K,4,FALSE)</f>
        <v>0</v>
      </c>
      <c r="O285" s="77">
        <f>VLOOKUP($B285,[1]ბიუჯეტი!$B:$K,5,FALSE)</f>
        <v>0</v>
      </c>
      <c r="P285" s="77">
        <f>VLOOKUP($B285,[1]ბიუჯეტი!$B:$K,6,FALSE)</f>
        <v>38.25</v>
      </c>
      <c r="Q285" s="77">
        <f>VLOOKUP($B285,[1]ბიუჯეტი!$B:$K,7,FALSE)</f>
        <v>6877.35</v>
      </c>
      <c r="R285" s="77">
        <f>VLOOKUP($B285,[1]ბიუჯეტი!$B:$K,8,FALSE)</f>
        <v>0</v>
      </c>
      <c r="S285" s="77">
        <f>VLOOKUP($B285,[1]ბიუჯეტი!$B:$K,9,FALSE)</f>
        <v>0</v>
      </c>
      <c r="T285" s="77">
        <f>VLOOKUP($B285,[1]ბიუჯეტი!$B:$K,10,FALSE)</f>
        <v>6877.35</v>
      </c>
      <c r="V285" s="78">
        <f t="shared" si="38"/>
        <v>0</v>
      </c>
      <c r="W285" s="78">
        <f t="shared" si="39"/>
        <v>0</v>
      </c>
      <c r="X285" s="78">
        <f t="shared" si="40"/>
        <v>0</v>
      </c>
      <c r="Y285" s="78">
        <f t="shared" si="41"/>
        <v>59.47999999999999</v>
      </c>
    </row>
    <row r="286" spans="1:25" hidden="1" outlineLevel="1" x14ac:dyDescent="0.35">
      <c r="A286" s="51"/>
      <c r="B286" s="3" t="s">
        <v>416</v>
      </c>
      <c r="C286" s="4" t="s">
        <v>10</v>
      </c>
      <c r="D286" s="1">
        <f>D285*1.05</f>
        <v>251.244</v>
      </c>
      <c r="E286" s="1">
        <f>SUMIFS(მასალა!D1:D267,მასალა!B1:B267,ბიუჯეტი!B286)</f>
        <v>38.135593220338983</v>
      </c>
      <c r="F286" s="1">
        <f t="shared" si="42"/>
        <v>9581.3389830508477</v>
      </c>
      <c r="G286" s="1"/>
      <c r="H286" s="1"/>
      <c r="I286" s="1"/>
      <c r="J286" s="1"/>
      <c r="K286" s="1">
        <f t="shared" si="44"/>
        <v>9581.3389830508477</v>
      </c>
      <c r="M286" s="77">
        <f>VLOOKUP(B286,[1]ბიუჯეტი!$B:$K,3,FALSE)</f>
        <v>188.79000000000002</v>
      </c>
      <c r="N286" s="77">
        <f>VLOOKUP($B286,[1]ბიუჯეტი!$B:$K,4,FALSE)</f>
        <v>38.135593220338983</v>
      </c>
      <c r="O286" s="77">
        <f>VLOOKUP($B286,[1]ბიუჯეტი!$B:$K,5,FALSE)</f>
        <v>7199.6186440677975</v>
      </c>
      <c r="P286" s="77">
        <f>VLOOKUP($B286,[1]ბიუჯეტი!$B:$K,6,FALSE)</f>
        <v>0</v>
      </c>
      <c r="Q286" s="77">
        <f>VLOOKUP($B286,[1]ბიუჯეტი!$B:$K,7,FALSE)</f>
        <v>0</v>
      </c>
      <c r="R286" s="77">
        <f>VLOOKUP($B286,[1]ბიუჯეტი!$B:$K,8,FALSE)</f>
        <v>0</v>
      </c>
      <c r="S286" s="77">
        <f>VLOOKUP($B286,[1]ბიუჯეტი!$B:$K,9,FALSE)</f>
        <v>0</v>
      </c>
      <c r="T286" s="77">
        <f>VLOOKUP($B286,[1]ბიუჯეტი!$B:$K,10,FALSE)</f>
        <v>7199.6186440677975</v>
      </c>
      <c r="V286" s="78">
        <f t="shared" si="38"/>
        <v>0</v>
      </c>
      <c r="W286" s="78">
        <f t="shared" si="39"/>
        <v>0</v>
      </c>
      <c r="X286" s="78">
        <f t="shared" si="40"/>
        <v>0</v>
      </c>
      <c r="Y286" s="78">
        <f t="shared" si="41"/>
        <v>62.453999999999979</v>
      </c>
    </row>
    <row r="287" spans="1:25" hidden="1" outlineLevel="1" x14ac:dyDescent="0.35">
      <c r="A287" s="51"/>
      <c r="B287" s="3" t="s">
        <v>387</v>
      </c>
      <c r="C287" s="4" t="s">
        <v>193</v>
      </c>
      <c r="D287" s="1">
        <f>D285</f>
        <v>239.28</v>
      </c>
      <c r="E287" s="1">
        <f>SUMIFS(მასალა!D48:D268,მასალა!B48:B268,ბიუჯეტი!B287)</f>
        <v>1.6949152542372883</v>
      </c>
      <c r="F287" s="1">
        <f>D287*E287</f>
        <v>405.55932203389835</v>
      </c>
      <c r="G287" s="1"/>
      <c r="H287" s="1"/>
      <c r="I287" s="1"/>
      <c r="J287" s="1"/>
      <c r="K287" s="1">
        <f t="shared" si="44"/>
        <v>405.55932203389835</v>
      </c>
      <c r="M287" s="77">
        <f>VLOOKUP(B287,[1]ბიუჯეტი!$B:$K,3,FALSE)</f>
        <v>74.900000000000006</v>
      </c>
      <c r="N287" s="77">
        <f>VLOOKUP($B287,[1]ბიუჯეტი!$B:$K,4,FALSE)</f>
        <v>1.6949152542372883</v>
      </c>
      <c r="O287" s="77">
        <f>VLOOKUP($B287,[1]ბიუჯეტი!$B:$K,5,FALSE)</f>
        <v>126.9491525423729</v>
      </c>
      <c r="P287" s="77">
        <f>VLOOKUP($B287,[1]ბიუჯეტი!$B:$K,6,FALSE)</f>
        <v>0</v>
      </c>
      <c r="Q287" s="77">
        <f>VLOOKUP($B287,[1]ბიუჯეტი!$B:$K,7,FALSE)</f>
        <v>0</v>
      </c>
      <c r="R287" s="77">
        <f>VLOOKUP($B287,[1]ბიუჯეტი!$B:$K,8,FALSE)</f>
        <v>0</v>
      </c>
      <c r="S287" s="77">
        <f>VLOOKUP($B287,[1]ბიუჯეტი!$B:$K,9,FALSE)</f>
        <v>0</v>
      </c>
      <c r="T287" s="77">
        <f>VLOOKUP($B287,[1]ბიუჯეტი!$B:$K,10,FALSE)</f>
        <v>126.9491525423729</v>
      </c>
      <c r="V287" s="78">
        <f t="shared" si="38"/>
        <v>0</v>
      </c>
      <c r="W287" s="78">
        <f t="shared" si="39"/>
        <v>0</v>
      </c>
      <c r="X287" s="78">
        <f t="shared" si="40"/>
        <v>0</v>
      </c>
      <c r="Y287" s="78">
        <f t="shared" si="41"/>
        <v>164.38</v>
      </c>
    </row>
    <row r="288" spans="1:25" hidden="1" outlineLevel="1" x14ac:dyDescent="0.35">
      <c r="A288" s="51"/>
      <c r="B288" s="3" t="s">
        <v>63</v>
      </c>
      <c r="C288" s="4" t="s">
        <v>49</v>
      </c>
      <c r="D288" s="1">
        <f>D285*6/25*1.05</f>
        <v>60.298560000000002</v>
      </c>
      <c r="E288" s="1">
        <f>მასალა!D20</f>
        <v>11.016949152542374</v>
      </c>
      <c r="F288" s="1">
        <f t="shared" si="42"/>
        <v>664.30616949152545</v>
      </c>
      <c r="G288" s="1"/>
      <c r="H288" s="1"/>
      <c r="I288" s="1"/>
      <c r="J288" s="1"/>
      <c r="K288" s="1">
        <f t="shared" si="44"/>
        <v>664.30616949152545</v>
      </c>
      <c r="M288" s="77">
        <f>VLOOKUP(B288,[1]ბიუჯეტი!$B:$K,3,FALSE)</f>
        <v>8</v>
      </c>
      <c r="N288" s="77">
        <f>VLOOKUP($B288,[1]ბიუჯეტი!$B:$K,4,FALSE)</f>
        <v>11.016949152542374</v>
      </c>
      <c r="O288" s="77">
        <f>VLOOKUP($B288,[1]ბიუჯეტი!$B:$K,5,FALSE)</f>
        <v>88.13559322033899</v>
      </c>
      <c r="P288" s="77">
        <f>VLOOKUP($B288,[1]ბიუჯეტი!$B:$K,6,FALSE)</f>
        <v>0</v>
      </c>
      <c r="Q288" s="77">
        <f>VLOOKUP($B288,[1]ბიუჯეტი!$B:$K,7,FALSE)</f>
        <v>0</v>
      </c>
      <c r="R288" s="77">
        <f>VLOOKUP($B288,[1]ბიუჯეტი!$B:$K,8,FALSE)</f>
        <v>0</v>
      </c>
      <c r="S288" s="77">
        <f>VLOOKUP($B288,[1]ბიუჯეტი!$B:$K,9,FALSE)</f>
        <v>0</v>
      </c>
      <c r="T288" s="77">
        <f>VLOOKUP($B288,[1]ბიუჯეტი!$B:$K,10,FALSE)</f>
        <v>88.13559322033899</v>
      </c>
      <c r="V288" s="78">
        <f t="shared" si="38"/>
        <v>0</v>
      </c>
      <c r="W288" s="78">
        <f t="shared" si="39"/>
        <v>0</v>
      </c>
      <c r="X288" s="78">
        <f t="shared" si="40"/>
        <v>0</v>
      </c>
      <c r="Y288" s="78">
        <f t="shared" si="41"/>
        <v>52.298560000000002</v>
      </c>
    </row>
    <row r="289" spans="1:25" hidden="1" outlineLevel="1" x14ac:dyDescent="0.35">
      <c r="A289" s="51">
        <v>3</v>
      </c>
      <c r="B289" s="23" t="s">
        <v>85</v>
      </c>
      <c r="C289" s="4" t="s">
        <v>10</v>
      </c>
      <c r="D289" s="1">
        <f>სამუშაო!D76</f>
        <v>115.05</v>
      </c>
      <c r="E289" s="1"/>
      <c r="F289" s="1">
        <f t="shared" si="42"/>
        <v>0</v>
      </c>
      <c r="G289" s="1">
        <f>ხელფასი!D15</f>
        <v>38.25</v>
      </c>
      <c r="H289" s="1">
        <f>G289*D289</f>
        <v>4400.6624999999995</v>
      </c>
      <c r="I289" s="1"/>
      <c r="J289" s="1"/>
      <c r="K289" s="1">
        <f t="shared" si="44"/>
        <v>4400.6624999999995</v>
      </c>
      <c r="M289" s="77">
        <f>VLOOKUP(B289,[1]ბიუჯეტი!$B:$K,3,FALSE)</f>
        <v>74.900000000000006</v>
      </c>
      <c r="N289" s="77">
        <f>VLOOKUP($B289,[1]ბიუჯეტი!$B:$K,4,FALSE)</f>
        <v>0</v>
      </c>
      <c r="O289" s="77">
        <f>VLOOKUP($B289,[1]ბიუჯეტი!$B:$K,5,FALSE)</f>
        <v>0</v>
      </c>
      <c r="P289" s="77">
        <f>VLOOKUP($B289,[1]ბიუჯეტი!$B:$K,6,FALSE)</f>
        <v>38.25</v>
      </c>
      <c r="Q289" s="77">
        <f>VLOOKUP($B289,[1]ბიუჯეტი!$B:$K,7,FALSE)</f>
        <v>2864.9250000000002</v>
      </c>
      <c r="R289" s="77">
        <f>VLOOKUP($B289,[1]ბიუჯეტი!$B:$K,8,FALSE)</f>
        <v>0</v>
      </c>
      <c r="S289" s="77">
        <f>VLOOKUP($B289,[1]ბიუჯეტი!$B:$K,9,FALSE)</f>
        <v>0</v>
      </c>
      <c r="T289" s="77">
        <f>VLOOKUP($B289,[1]ბიუჯეტი!$B:$K,10,FALSE)</f>
        <v>2864.9250000000002</v>
      </c>
      <c r="V289" s="78">
        <f t="shared" si="38"/>
        <v>0</v>
      </c>
      <c r="W289" s="78">
        <f t="shared" si="39"/>
        <v>0</v>
      </c>
      <c r="X289" s="78">
        <f t="shared" si="40"/>
        <v>0</v>
      </c>
      <c r="Y289" s="78">
        <f t="shared" si="41"/>
        <v>40.149999999999991</v>
      </c>
    </row>
    <row r="290" spans="1:25" hidden="1" outlineLevel="1" x14ac:dyDescent="0.35">
      <c r="A290" s="51"/>
      <c r="B290" s="3" t="s">
        <v>415</v>
      </c>
      <c r="C290" s="4" t="s">
        <v>10</v>
      </c>
      <c r="D290" s="1">
        <f>D289+5</f>
        <v>120.05</v>
      </c>
      <c r="E290" s="1">
        <f>SUMIFS(მასალა!D1:D271,მასალა!B1:B271,ბიუჯეტი!B290)</f>
        <v>46.610169491525426</v>
      </c>
      <c r="F290" s="1">
        <f t="shared" si="42"/>
        <v>5595.5508474576272</v>
      </c>
      <c r="G290" s="1"/>
      <c r="H290" s="1"/>
      <c r="I290" s="1"/>
      <c r="J290" s="1"/>
      <c r="K290" s="1">
        <f t="shared" si="44"/>
        <v>5595.5508474576272</v>
      </c>
      <c r="M290" s="77">
        <f>VLOOKUP(B290,[1]ბიუჯეტი!$B:$K,3,FALSE)</f>
        <v>78.64500000000001</v>
      </c>
      <c r="N290" s="77">
        <f>VLOOKUP($B290,[1]ბიუჯეტი!$B:$K,4,FALSE)</f>
        <v>46.610169491525426</v>
      </c>
      <c r="O290" s="77">
        <f>VLOOKUP($B290,[1]ბიუჯეტი!$B:$K,5,FALSE)</f>
        <v>3665.6567796610175</v>
      </c>
      <c r="P290" s="77">
        <f>VLOOKUP($B290,[1]ბიუჯეტი!$B:$K,6,FALSE)</f>
        <v>0</v>
      </c>
      <c r="Q290" s="77">
        <f>VLOOKUP($B290,[1]ბიუჯეტი!$B:$K,7,FALSE)</f>
        <v>0</v>
      </c>
      <c r="R290" s="77">
        <f>VLOOKUP($B290,[1]ბიუჯეტი!$B:$K,8,FALSE)</f>
        <v>0</v>
      </c>
      <c r="S290" s="77">
        <f>VLOOKUP($B290,[1]ბიუჯეტი!$B:$K,9,FALSE)</f>
        <v>0</v>
      </c>
      <c r="T290" s="77">
        <f>VLOOKUP($B290,[1]ბიუჯეტი!$B:$K,10,FALSE)</f>
        <v>3665.6567796610175</v>
      </c>
      <c r="V290" s="78">
        <f t="shared" si="38"/>
        <v>0</v>
      </c>
      <c r="W290" s="78">
        <f t="shared" si="39"/>
        <v>0</v>
      </c>
      <c r="X290" s="78">
        <f t="shared" si="40"/>
        <v>0</v>
      </c>
      <c r="Y290" s="78">
        <f t="shared" si="41"/>
        <v>41.404999999999987</v>
      </c>
    </row>
    <row r="291" spans="1:25" hidden="1" outlineLevel="1" x14ac:dyDescent="0.35">
      <c r="A291" s="51"/>
      <c r="B291" s="3" t="s">
        <v>63</v>
      </c>
      <c r="C291" s="4" t="s">
        <v>49</v>
      </c>
      <c r="D291" s="1">
        <f>D289*6/25*1.05</f>
        <v>28.992599999999999</v>
      </c>
      <c r="E291" s="1">
        <f>მასალა!D20</f>
        <v>11.016949152542374</v>
      </c>
      <c r="F291" s="1">
        <f t="shared" si="42"/>
        <v>319.41000000000003</v>
      </c>
      <c r="G291" s="1"/>
      <c r="H291" s="1"/>
      <c r="I291" s="1"/>
      <c r="J291" s="1"/>
      <c r="K291" s="1">
        <f t="shared" si="44"/>
        <v>319.41000000000003</v>
      </c>
      <c r="M291" s="77">
        <f>VLOOKUP(B291,[1]ბიუჯეტი!$B:$K,3,FALSE)</f>
        <v>8</v>
      </c>
      <c r="N291" s="77">
        <f>VLOOKUP($B291,[1]ბიუჯეტი!$B:$K,4,FALSE)</f>
        <v>11.016949152542374</v>
      </c>
      <c r="O291" s="77">
        <f>VLOOKUP($B291,[1]ბიუჯეტი!$B:$K,5,FALSE)</f>
        <v>88.13559322033899</v>
      </c>
      <c r="P291" s="77">
        <f>VLOOKUP($B291,[1]ბიუჯეტი!$B:$K,6,FALSE)</f>
        <v>0</v>
      </c>
      <c r="Q291" s="77">
        <f>VLOOKUP($B291,[1]ბიუჯეტი!$B:$K,7,FALSE)</f>
        <v>0</v>
      </c>
      <c r="R291" s="77">
        <f>VLOOKUP($B291,[1]ბიუჯეტი!$B:$K,8,FALSE)</f>
        <v>0</v>
      </c>
      <c r="S291" s="77">
        <f>VLOOKUP($B291,[1]ბიუჯეტი!$B:$K,9,FALSE)</f>
        <v>0</v>
      </c>
      <c r="T291" s="77">
        <f>VLOOKUP($B291,[1]ბიუჯეტი!$B:$K,10,FALSE)</f>
        <v>88.13559322033899</v>
      </c>
      <c r="V291" s="78">
        <f t="shared" si="38"/>
        <v>0</v>
      </c>
      <c r="W291" s="78">
        <f t="shared" si="39"/>
        <v>0</v>
      </c>
      <c r="X291" s="78">
        <f t="shared" si="40"/>
        <v>0</v>
      </c>
      <c r="Y291" s="78">
        <f t="shared" si="41"/>
        <v>20.992599999999999</v>
      </c>
    </row>
    <row r="292" spans="1:25" hidden="1" outlineLevel="1" x14ac:dyDescent="0.35">
      <c r="A292" s="51"/>
      <c r="B292" s="3" t="s">
        <v>387</v>
      </c>
      <c r="C292" s="4" t="s">
        <v>193</v>
      </c>
      <c r="D292" s="1">
        <f>D289</f>
        <v>115.05</v>
      </c>
      <c r="E292" s="1">
        <f>SUMIFS(მასალა!D53:D273,მასალა!B53:B273,ბიუჯეტი!B292)</f>
        <v>1.6949152542372883</v>
      </c>
      <c r="F292" s="1">
        <f t="shared" si="42"/>
        <v>195</v>
      </c>
      <c r="G292" s="1"/>
      <c r="H292" s="1"/>
      <c r="I292" s="1"/>
      <c r="J292" s="1"/>
      <c r="K292" s="1">
        <f t="shared" si="44"/>
        <v>195</v>
      </c>
      <c r="M292" s="77">
        <f>VLOOKUP(B292,[1]ბიუჯეტი!$B:$K,3,FALSE)</f>
        <v>74.900000000000006</v>
      </c>
      <c r="N292" s="77">
        <f>VLOOKUP($B292,[1]ბიუჯეტი!$B:$K,4,FALSE)</f>
        <v>1.6949152542372883</v>
      </c>
      <c r="O292" s="77">
        <f>VLOOKUP($B292,[1]ბიუჯეტი!$B:$K,5,FALSE)</f>
        <v>126.9491525423729</v>
      </c>
      <c r="P292" s="77">
        <f>VLOOKUP($B292,[1]ბიუჯეტი!$B:$K,6,FALSE)</f>
        <v>0</v>
      </c>
      <c r="Q292" s="77">
        <f>VLOOKUP($B292,[1]ბიუჯეტი!$B:$K,7,FALSE)</f>
        <v>0</v>
      </c>
      <c r="R292" s="77">
        <f>VLOOKUP($B292,[1]ბიუჯეტი!$B:$K,8,FALSE)</f>
        <v>0</v>
      </c>
      <c r="S292" s="77">
        <f>VLOOKUP($B292,[1]ბიუჯეტი!$B:$K,9,FALSE)</f>
        <v>0</v>
      </c>
      <c r="T292" s="77">
        <f>VLOOKUP($B292,[1]ბიუჯეტი!$B:$K,10,FALSE)</f>
        <v>126.9491525423729</v>
      </c>
      <c r="V292" s="78">
        <f t="shared" si="38"/>
        <v>0</v>
      </c>
      <c r="W292" s="78">
        <f t="shared" si="39"/>
        <v>0</v>
      </c>
      <c r="X292" s="78">
        <f t="shared" si="40"/>
        <v>0</v>
      </c>
      <c r="Y292" s="78">
        <f t="shared" si="41"/>
        <v>40.149999999999991</v>
      </c>
    </row>
    <row r="293" spans="1:25" hidden="1" outlineLevel="1" x14ac:dyDescent="0.35">
      <c r="A293" s="51">
        <v>4</v>
      </c>
      <c r="B293" s="23" t="s">
        <v>173</v>
      </c>
      <c r="C293" s="4" t="s">
        <v>10</v>
      </c>
      <c r="D293" s="1">
        <f>სამუშაო!D77+სამუშაო!D78+სამუშაო!D79</f>
        <v>284.39999999999998</v>
      </c>
      <c r="E293" s="1"/>
      <c r="F293" s="1">
        <f t="shared" si="42"/>
        <v>0</v>
      </c>
      <c r="G293" s="1">
        <f>ხელფასი!D15</f>
        <v>38.25</v>
      </c>
      <c r="H293" s="1">
        <f>G293*D293</f>
        <v>10878.3</v>
      </c>
      <c r="I293" s="1"/>
      <c r="J293" s="1"/>
      <c r="K293" s="1">
        <f t="shared" si="44"/>
        <v>10878.3</v>
      </c>
      <c r="M293" s="77">
        <f>VLOOKUP(B293,[1]ბიუჯეტი!$B:$K,3,FALSE)</f>
        <v>319.8</v>
      </c>
      <c r="N293" s="77">
        <f>VLOOKUP($B293,[1]ბიუჯეტი!$B:$K,4,FALSE)</f>
        <v>0</v>
      </c>
      <c r="O293" s="77">
        <f>VLOOKUP($B293,[1]ბიუჯეტი!$B:$K,5,FALSE)</f>
        <v>0</v>
      </c>
      <c r="P293" s="77">
        <f>VLOOKUP($B293,[1]ბიუჯეტი!$B:$K,6,FALSE)</f>
        <v>38.25</v>
      </c>
      <c r="Q293" s="77">
        <f>VLOOKUP($B293,[1]ბიუჯეტი!$B:$K,7,FALSE)</f>
        <v>12232.35</v>
      </c>
      <c r="R293" s="77">
        <f>VLOOKUP($B293,[1]ბიუჯეტი!$B:$K,8,FALSE)</f>
        <v>0</v>
      </c>
      <c r="S293" s="77">
        <f>VLOOKUP($B293,[1]ბიუჯეტი!$B:$K,9,FALSE)</f>
        <v>0</v>
      </c>
      <c r="T293" s="77">
        <f>VLOOKUP($B293,[1]ბიუჯეტი!$B:$K,10,FALSE)</f>
        <v>12232.35</v>
      </c>
      <c r="V293" s="78">
        <f t="shared" si="38"/>
        <v>0</v>
      </c>
      <c r="W293" s="78">
        <f t="shared" si="39"/>
        <v>0</v>
      </c>
      <c r="X293" s="78">
        <f t="shared" si="40"/>
        <v>0</v>
      </c>
      <c r="Y293" s="78">
        <f t="shared" si="41"/>
        <v>-35.400000000000034</v>
      </c>
    </row>
    <row r="294" spans="1:25" hidden="1" outlineLevel="1" x14ac:dyDescent="0.35">
      <c r="A294" s="51"/>
      <c r="B294" s="3" t="s">
        <v>415</v>
      </c>
      <c r="C294" s="4" t="s">
        <v>10</v>
      </c>
      <c r="D294" s="1">
        <f>D293*1.05</f>
        <v>298.62</v>
      </c>
      <c r="E294" s="1">
        <f>SUMIFS(მასალა!D5:D275,მასალა!B5:B275,ბიუჯეტი!B294)</f>
        <v>46.610169491525426</v>
      </c>
      <c r="F294" s="1">
        <f t="shared" si="42"/>
        <v>13918.728813559323</v>
      </c>
      <c r="G294" s="1"/>
      <c r="H294" s="1"/>
      <c r="I294" s="1"/>
      <c r="J294" s="1"/>
      <c r="K294" s="1">
        <f t="shared" si="44"/>
        <v>13918.728813559323</v>
      </c>
      <c r="M294" s="77">
        <f>VLOOKUP(B294,[1]ბიუჯეტი!$B:$K,3,FALSE)</f>
        <v>78.64500000000001</v>
      </c>
      <c r="N294" s="77">
        <f>VLOOKUP($B294,[1]ბიუჯეტი!$B:$K,4,FALSE)</f>
        <v>46.610169491525426</v>
      </c>
      <c r="O294" s="77">
        <f>VLOOKUP($B294,[1]ბიუჯეტი!$B:$K,5,FALSE)</f>
        <v>3665.6567796610175</v>
      </c>
      <c r="P294" s="77">
        <f>VLOOKUP($B294,[1]ბიუჯეტი!$B:$K,6,FALSE)</f>
        <v>0</v>
      </c>
      <c r="Q294" s="77">
        <f>VLOOKUP($B294,[1]ბიუჯეტი!$B:$K,7,FALSE)</f>
        <v>0</v>
      </c>
      <c r="R294" s="77">
        <f>VLOOKUP($B294,[1]ბიუჯეტი!$B:$K,8,FALSE)</f>
        <v>0</v>
      </c>
      <c r="S294" s="77">
        <f>VLOOKUP($B294,[1]ბიუჯეტი!$B:$K,9,FALSE)</f>
        <v>0</v>
      </c>
      <c r="T294" s="77">
        <f>VLOOKUP($B294,[1]ბიუჯეტი!$B:$K,10,FALSE)</f>
        <v>3665.6567796610175</v>
      </c>
      <c r="V294" s="78">
        <f t="shared" si="38"/>
        <v>0</v>
      </c>
      <c r="W294" s="78">
        <f t="shared" si="39"/>
        <v>0</v>
      </c>
      <c r="X294" s="78">
        <f t="shared" si="40"/>
        <v>0</v>
      </c>
      <c r="Y294" s="78">
        <f t="shared" si="41"/>
        <v>219.97499999999999</v>
      </c>
    </row>
    <row r="295" spans="1:25" hidden="1" outlineLevel="1" x14ac:dyDescent="0.35">
      <c r="A295" s="51"/>
      <c r="B295" s="3" t="s">
        <v>63</v>
      </c>
      <c r="C295" s="4" t="s">
        <v>49</v>
      </c>
      <c r="D295" s="1">
        <f>D293*6/25*1.05</f>
        <v>71.668800000000005</v>
      </c>
      <c r="E295" s="1">
        <f>მასალა!D20</f>
        <v>11.016949152542374</v>
      </c>
      <c r="F295" s="1">
        <f t="shared" si="42"/>
        <v>789.57152542372887</v>
      </c>
      <c r="G295" s="1"/>
      <c r="H295" s="1"/>
      <c r="I295" s="1"/>
      <c r="J295" s="1"/>
      <c r="K295" s="1">
        <f t="shared" si="44"/>
        <v>789.57152542372887</v>
      </c>
      <c r="M295" s="77">
        <f>VLOOKUP(B295,[1]ბიუჯეტი!$B:$K,3,FALSE)</f>
        <v>8</v>
      </c>
      <c r="N295" s="77">
        <f>VLOOKUP($B295,[1]ბიუჯეტი!$B:$K,4,FALSE)</f>
        <v>11.016949152542374</v>
      </c>
      <c r="O295" s="77">
        <f>VLOOKUP($B295,[1]ბიუჯეტი!$B:$K,5,FALSE)</f>
        <v>88.13559322033899</v>
      </c>
      <c r="P295" s="77">
        <f>VLOOKUP($B295,[1]ბიუჯეტი!$B:$K,6,FALSE)</f>
        <v>0</v>
      </c>
      <c r="Q295" s="77">
        <f>VLOOKUP($B295,[1]ბიუჯეტი!$B:$K,7,FALSE)</f>
        <v>0</v>
      </c>
      <c r="R295" s="77">
        <f>VLOOKUP($B295,[1]ბიუჯეტი!$B:$K,8,FALSE)</f>
        <v>0</v>
      </c>
      <c r="S295" s="77">
        <f>VLOOKUP($B295,[1]ბიუჯეტი!$B:$K,9,FALSE)</f>
        <v>0</v>
      </c>
      <c r="T295" s="77">
        <f>VLOOKUP($B295,[1]ბიუჯეტი!$B:$K,10,FALSE)</f>
        <v>88.13559322033899</v>
      </c>
      <c r="V295" s="78">
        <f t="shared" si="38"/>
        <v>0</v>
      </c>
      <c r="W295" s="78">
        <f t="shared" si="39"/>
        <v>0</v>
      </c>
      <c r="X295" s="78">
        <f t="shared" si="40"/>
        <v>0</v>
      </c>
      <c r="Y295" s="78">
        <f t="shared" si="41"/>
        <v>63.668800000000005</v>
      </c>
    </row>
    <row r="296" spans="1:25" hidden="1" outlineLevel="1" x14ac:dyDescent="0.35">
      <c r="A296" s="51"/>
      <c r="B296" s="3" t="s">
        <v>387</v>
      </c>
      <c r="C296" s="4" t="s">
        <v>193</v>
      </c>
      <c r="D296" s="1">
        <f>D293</f>
        <v>284.39999999999998</v>
      </c>
      <c r="E296" s="1">
        <f>SUMIFS(მასალა!D3:D277,მასალა!B3:B277,ბიუჯეტი!B296)</f>
        <v>1.6949152542372883</v>
      </c>
      <c r="F296" s="1">
        <f t="shared" si="42"/>
        <v>482.03389830508473</v>
      </c>
      <c r="G296" s="1"/>
      <c r="H296" s="1"/>
      <c r="I296" s="1"/>
      <c r="J296" s="1"/>
      <c r="K296" s="1">
        <f t="shared" si="44"/>
        <v>482.03389830508473</v>
      </c>
      <c r="M296" s="77">
        <f>VLOOKUP(B296,[1]ბიუჯეტი!$B:$K,3,FALSE)</f>
        <v>74.900000000000006</v>
      </c>
      <c r="N296" s="77">
        <f>VLOOKUP($B296,[1]ბიუჯეტი!$B:$K,4,FALSE)</f>
        <v>1.6949152542372883</v>
      </c>
      <c r="O296" s="77">
        <f>VLOOKUP($B296,[1]ბიუჯეტი!$B:$K,5,FALSE)</f>
        <v>126.9491525423729</v>
      </c>
      <c r="P296" s="77">
        <f>VLOOKUP($B296,[1]ბიუჯეტი!$B:$K,6,FALSE)</f>
        <v>0</v>
      </c>
      <c r="Q296" s="77">
        <f>VLOOKUP($B296,[1]ბიუჯეტი!$B:$K,7,FALSE)</f>
        <v>0</v>
      </c>
      <c r="R296" s="77">
        <f>VLOOKUP($B296,[1]ბიუჯეტი!$B:$K,8,FALSE)</f>
        <v>0</v>
      </c>
      <c r="S296" s="77">
        <f>VLOOKUP($B296,[1]ბიუჯეტი!$B:$K,9,FALSE)</f>
        <v>0</v>
      </c>
      <c r="T296" s="77">
        <f>VLOOKUP($B296,[1]ბიუჯეტი!$B:$K,10,FALSE)</f>
        <v>126.9491525423729</v>
      </c>
      <c r="V296" s="78">
        <f t="shared" si="38"/>
        <v>0</v>
      </c>
      <c r="W296" s="78">
        <f t="shared" si="39"/>
        <v>0</v>
      </c>
      <c r="X296" s="78">
        <f t="shared" si="40"/>
        <v>0</v>
      </c>
      <c r="Y296" s="78">
        <f t="shared" si="41"/>
        <v>209.49999999999997</v>
      </c>
    </row>
    <row r="297" spans="1:25" collapsed="1" x14ac:dyDescent="0.35">
      <c r="A297" s="51">
        <v>21</v>
      </c>
      <c r="B297" s="23" t="s">
        <v>87</v>
      </c>
      <c r="C297" s="4" t="s">
        <v>40</v>
      </c>
      <c r="D297" s="1">
        <f>SUM(D298,D301,D304)</f>
        <v>423</v>
      </c>
      <c r="E297" s="1">
        <f>SUM(F298:F306)/D297</f>
        <v>3.5014951676884252</v>
      </c>
      <c r="F297" s="1">
        <f>D297*E297</f>
        <v>1481.1324559322038</v>
      </c>
      <c r="G297" s="1">
        <f>SUM(H298:H306)/D297</f>
        <v>12.75</v>
      </c>
      <c r="H297" s="1">
        <f>G297*D297</f>
        <v>5393.25</v>
      </c>
      <c r="I297" s="1">
        <v>0</v>
      </c>
      <c r="J297" s="1">
        <v>0</v>
      </c>
      <c r="K297" s="1">
        <f t="shared" si="44"/>
        <v>6874.3824559322038</v>
      </c>
      <c r="M297" s="77">
        <f>VLOOKUP(B297,[1]ბიუჯეტი!$B:$K,3,FALSE)</f>
        <v>511.71</v>
      </c>
      <c r="N297" s="77">
        <f>VLOOKUP($B297,[1]ბიუჯეტი!$B:$K,4,FALSE)</f>
        <v>3.5719181936339082</v>
      </c>
      <c r="O297" s="77">
        <f>VLOOKUP($B297,[1]ბიუჯეტი!$B:$K,5,FALSE)</f>
        <v>1827.786258864407</v>
      </c>
      <c r="P297" s="77">
        <f>VLOOKUP($B297,[1]ბიუჯეტი!$B:$K,6,FALSE)</f>
        <v>12.75</v>
      </c>
      <c r="Q297" s="77">
        <f>VLOOKUP($B297,[1]ბიუჯეტი!$B:$K,7,FALSE)</f>
        <v>6524.3024999999998</v>
      </c>
      <c r="R297" s="77">
        <f>VLOOKUP($B297,[1]ბიუჯეტი!$B:$K,8,FALSE)</f>
        <v>0</v>
      </c>
      <c r="S297" s="77">
        <f>VLOOKUP($B297,[1]ბიუჯეტი!$B:$K,9,FALSE)</f>
        <v>0</v>
      </c>
      <c r="T297" s="77">
        <f>VLOOKUP($B297,[1]ბიუჯეტი!$B:$K,10,FALSE)</f>
        <v>8352.0887588644073</v>
      </c>
      <c r="V297" s="78">
        <f t="shared" si="38"/>
        <v>-7.0423025945482998E-2</v>
      </c>
      <c r="W297" s="78">
        <f t="shared" si="39"/>
        <v>0</v>
      </c>
      <c r="X297" s="78">
        <f t="shared" si="40"/>
        <v>0</v>
      </c>
      <c r="Y297" s="78">
        <f t="shared" si="41"/>
        <v>-88.70999999999998</v>
      </c>
    </row>
    <row r="298" spans="1:25" hidden="1" outlineLevel="1" x14ac:dyDescent="0.35">
      <c r="A298" s="51">
        <v>2</v>
      </c>
      <c r="B298" s="23" t="s">
        <v>175</v>
      </c>
      <c r="C298" s="4" t="s">
        <v>40</v>
      </c>
      <c r="D298" s="1">
        <f>სამუშაო!F75</f>
        <v>126</v>
      </c>
      <c r="E298" s="1"/>
      <c r="F298" s="1">
        <f t="shared" si="42"/>
        <v>0</v>
      </c>
      <c r="G298" s="1">
        <f>ხელფასი!D16</f>
        <v>12.75</v>
      </c>
      <c r="H298" s="1">
        <f>G298*D298</f>
        <v>1606.5</v>
      </c>
      <c r="I298" s="1"/>
      <c r="J298" s="1"/>
      <c r="K298" s="1">
        <f t="shared" si="44"/>
        <v>1606.5</v>
      </c>
      <c r="M298" s="77">
        <f>VLOOKUP(B298,[1]ბიუჯეტი!$B:$K,3,FALSE)</f>
        <v>97.2</v>
      </c>
      <c r="N298" s="77">
        <f>VLOOKUP($B298,[1]ბიუჯეტი!$B:$K,4,FALSE)</f>
        <v>0</v>
      </c>
      <c r="O298" s="77">
        <f>VLOOKUP($B298,[1]ბიუჯეტი!$B:$K,5,FALSE)</f>
        <v>0</v>
      </c>
      <c r="P298" s="77">
        <f>VLOOKUP($B298,[1]ბიუჯეტი!$B:$K,6,FALSE)</f>
        <v>12.75</v>
      </c>
      <c r="Q298" s="77">
        <f>VLOOKUP($B298,[1]ბიუჯეტი!$B:$K,7,FALSE)</f>
        <v>1239.3</v>
      </c>
      <c r="R298" s="77">
        <f>VLOOKUP($B298,[1]ბიუჯეტი!$B:$K,8,FALSE)</f>
        <v>0</v>
      </c>
      <c r="S298" s="77">
        <f>VLOOKUP($B298,[1]ბიუჯეტი!$B:$K,9,FALSE)</f>
        <v>0</v>
      </c>
      <c r="T298" s="77">
        <f>VLOOKUP($B298,[1]ბიუჯეტი!$B:$K,10,FALSE)</f>
        <v>1239.3</v>
      </c>
      <c r="V298" s="78">
        <f t="shared" si="38"/>
        <v>0</v>
      </c>
      <c r="W298" s="78">
        <f t="shared" si="39"/>
        <v>0</v>
      </c>
      <c r="X298" s="78">
        <f t="shared" si="40"/>
        <v>0</v>
      </c>
      <c r="Y298" s="78">
        <f t="shared" si="41"/>
        <v>28.799999999999997</v>
      </c>
    </row>
    <row r="299" spans="1:25" hidden="1" outlineLevel="1" x14ac:dyDescent="0.35">
      <c r="A299" s="51"/>
      <c r="B299" s="3" t="s">
        <v>416</v>
      </c>
      <c r="C299" s="4" t="s">
        <v>10</v>
      </c>
      <c r="D299" s="1">
        <f>D298*0.07*1.1</f>
        <v>9.7020000000000017</v>
      </c>
      <c r="E299" s="1">
        <f>SUMIFS(მასალა!D10:D280,მასალა!B10:B280,ბიუჯეტი!B299)</f>
        <v>38.135593220338983</v>
      </c>
      <c r="F299" s="1">
        <f t="shared" si="42"/>
        <v>369.99152542372889</v>
      </c>
      <c r="G299" s="1"/>
      <c r="H299" s="1"/>
      <c r="I299" s="1"/>
      <c r="J299" s="1"/>
      <c r="K299" s="1">
        <f t="shared" si="44"/>
        <v>369.99152542372889</v>
      </c>
      <c r="M299" s="77">
        <f>VLOOKUP(B299,[1]ბიუჯეტი!$B:$K,3,FALSE)</f>
        <v>188.79000000000002</v>
      </c>
      <c r="N299" s="77">
        <f>VLOOKUP($B299,[1]ბიუჯეტი!$B:$K,4,FALSE)</f>
        <v>38.135593220338983</v>
      </c>
      <c r="O299" s="77">
        <f>VLOOKUP($B299,[1]ბიუჯეტი!$B:$K,5,FALSE)</f>
        <v>7199.6186440677975</v>
      </c>
      <c r="P299" s="77">
        <f>VLOOKUP($B299,[1]ბიუჯეტი!$B:$K,6,FALSE)</f>
        <v>0</v>
      </c>
      <c r="Q299" s="77">
        <f>VLOOKUP($B299,[1]ბიუჯეტი!$B:$K,7,FALSE)</f>
        <v>0</v>
      </c>
      <c r="R299" s="77">
        <f>VLOOKUP($B299,[1]ბიუჯეტი!$B:$K,8,FALSE)</f>
        <v>0</v>
      </c>
      <c r="S299" s="77">
        <f>VLOOKUP($B299,[1]ბიუჯეტი!$B:$K,9,FALSE)</f>
        <v>0</v>
      </c>
      <c r="T299" s="77">
        <f>VLOOKUP($B299,[1]ბიუჯეტი!$B:$K,10,FALSE)</f>
        <v>7199.6186440677975</v>
      </c>
      <c r="V299" s="78">
        <f t="shared" si="38"/>
        <v>0</v>
      </c>
      <c r="W299" s="78">
        <f t="shared" si="39"/>
        <v>0</v>
      </c>
      <c r="X299" s="78">
        <f t="shared" si="40"/>
        <v>0</v>
      </c>
      <c r="Y299" s="78">
        <f t="shared" si="41"/>
        <v>-179.08800000000002</v>
      </c>
    </row>
    <row r="300" spans="1:25" hidden="1" outlineLevel="1" x14ac:dyDescent="0.35">
      <c r="A300" s="51"/>
      <c r="B300" s="3" t="s">
        <v>63</v>
      </c>
      <c r="C300" s="4" t="s">
        <v>49</v>
      </c>
      <c r="D300" s="1">
        <f>D299*3*1.05/25</f>
        <v>1.2224520000000003</v>
      </c>
      <c r="E300" s="1">
        <f>მასალა!D20</f>
        <v>11.016949152542374</v>
      </c>
      <c r="F300" s="1">
        <f t="shared" si="42"/>
        <v>13.467691525423733</v>
      </c>
      <c r="G300" s="1"/>
      <c r="H300" s="1"/>
      <c r="I300" s="1"/>
      <c r="J300" s="1"/>
      <c r="K300" s="1">
        <f t="shared" si="44"/>
        <v>13.467691525423733</v>
      </c>
      <c r="M300" s="77">
        <f>VLOOKUP(B300,[1]ბიუჯეტი!$B:$K,3,FALSE)</f>
        <v>8</v>
      </c>
      <c r="N300" s="77">
        <f>VLOOKUP($B300,[1]ბიუჯეტი!$B:$K,4,FALSE)</f>
        <v>11.016949152542374</v>
      </c>
      <c r="O300" s="77">
        <f>VLOOKUP($B300,[1]ბიუჯეტი!$B:$K,5,FALSE)</f>
        <v>88.13559322033899</v>
      </c>
      <c r="P300" s="77">
        <f>VLOOKUP($B300,[1]ბიუჯეტი!$B:$K,6,FALSE)</f>
        <v>0</v>
      </c>
      <c r="Q300" s="77">
        <f>VLOOKUP($B300,[1]ბიუჯეტი!$B:$K,7,FALSE)</f>
        <v>0</v>
      </c>
      <c r="R300" s="77">
        <f>VLOOKUP($B300,[1]ბიუჯეტი!$B:$K,8,FALSE)</f>
        <v>0</v>
      </c>
      <c r="S300" s="77">
        <f>VLOOKUP($B300,[1]ბიუჯეტი!$B:$K,9,FALSE)</f>
        <v>0</v>
      </c>
      <c r="T300" s="77">
        <f>VLOOKUP($B300,[1]ბიუჯეტი!$B:$K,10,FALSE)</f>
        <v>88.13559322033899</v>
      </c>
      <c r="V300" s="78">
        <f t="shared" si="38"/>
        <v>0</v>
      </c>
      <c r="W300" s="78">
        <f t="shared" si="39"/>
        <v>0</v>
      </c>
      <c r="X300" s="78">
        <f t="shared" si="40"/>
        <v>0</v>
      </c>
      <c r="Y300" s="78">
        <f t="shared" si="41"/>
        <v>-6.7775479999999995</v>
      </c>
    </row>
    <row r="301" spans="1:25" hidden="1" outlineLevel="1" x14ac:dyDescent="0.35">
      <c r="A301" s="51">
        <v>3</v>
      </c>
      <c r="B301" s="23" t="s">
        <v>88</v>
      </c>
      <c r="C301" s="4" t="s">
        <v>40</v>
      </c>
      <c r="D301" s="1">
        <f>სამუშაო!F76</f>
        <v>78</v>
      </c>
      <c r="E301" s="1"/>
      <c r="F301" s="1">
        <f t="shared" si="42"/>
        <v>0</v>
      </c>
      <c r="G301" s="1">
        <f>ხელფასი!D16</f>
        <v>12.75</v>
      </c>
      <c r="H301" s="1">
        <f>G301*D301</f>
        <v>994.5</v>
      </c>
      <c r="I301" s="1"/>
      <c r="J301" s="1"/>
      <c r="K301" s="1">
        <f t="shared" si="44"/>
        <v>994.5</v>
      </c>
      <c r="M301" s="77">
        <f>VLOOKUP(B301,[1]ბიუჯეტი!$B:$K,3,FALSE)</f>
        <v>110.25</v>
      </c>
      <c r="N301" s="77">
        <f>VLOOKUP($B301,[1]ბიუჯეტი!$B:$K,4,FALSE)</f>
        <v>0</v>
      </c>
      <c r="O301" s="77">
        <f>VLOOKUP($B301,[1]ბიუჯეტი!$B:$K,5,FALSE)</f>
        <v>0</v>
      </c>
      <c r="P301" s="77">
        <f>VLOOKUP($B301,[1]ბიუჯეტი!$B:$K,6,FALSE)</f>
        <v>12.75</v>
      </c>
      <c r="Q301" s="77">
        <f>VLOOKUP($B301,[1]ბიუჯეტი!$B:$K,7,FALSE)</f>
        <v>1405.6875</v>
      </c>
      <c r="R301" s="77">
        <f>VLOOKUP($B301,[1]ბიუჯეტი!$B:$K,8,FALSE)</f>
        <v>0</v>
      </c>
      <c r="S301" s="77">
        <f>VLOOKUP($B301,[1]ბიუჯეტი!$B:$K,9,FALSE)</f>
        <v>0</v>
      </c>
      <c r="T301" s="77">
        <f>VLOOKUP($B301,[1]ბიუჯეტი!$B:$K,10,FALSE)</f>
        <v>1405.6875</v>
      </c>
      <c r="V301" s="78">
        <f t="shared" si="38"/>
        <v>0</v>
      </c>
      <c r="W301" s="78">
        <f t="shared" si="39"/>
        <v>0</v>
      </c>
      <c r="X301" s="78">
        <f t="shared" si="40"/>
        <v>0</v>
      </c>
      <c r="Y301" s="78">
        <f t="shared" si="41"/>
        <v>-32.25</v>
      </c>
    </row>
    <row r="302" spans="1:25" hidden="1" outlineLevel="1" x14ac:dyDescent="0.35">
      <c r="A302" s="51"/>
      <c r="B302" s="3" t="s">
        <v>415</v>
      </c>
      <c r="C302" s="4" t="s">
        <v>10</v>
      </c>
      <c r="D302" s="1">
        <f>D301*0.07*1.1</f>
        <v>6.0060000000000011</v>
      </c>
      <c r="E302" s="1">
        <f>SUMIFS(მასალა!D13:D283,მასალა!B13:B283,ბიუჯეტი!B302)</f>
        <v>46.610169491525426</v>
      </c>
      <c r="F302" s="1">
        <f t="shared" si="42"/>
        <v>279.94067796610176</v>
      </c>
      <c r="G302" s="1"/>
      <c r="H302" s="1"/>
      <c r="I302" s="1"/>
      <c r="J302" s="1"/>
      <c r="K302" s="1">
        <f t="shared" si="44"/>
        <v>279.94067796610176</v>
      </c>
      <c r="M302" s="77">
        <f>VLOOKUP(B302,[1]ბიუჯეტი!$B:$K,3,FALSE)</f>
        <v>78.64500000000001</v>
      </c>
      <c r="N302" s="77">
        <f>VLOOKUP($B302,[1]ბიუჯეტი!$B:$K,4,FALSE)</f>
        <v>46.610169491525426</v>
      </c>
      <c r="O302" s="77">
        <f>VLOOKUP($B302,[1]ბიუჯეტი!$B:$K,5,FALSE)</f>
        <v>3665.6567796610175</v>
      </c>
      <c r="P302" s="77">
        <f>VLOOKUP($B302,[1]ბიუჯეტი!$B:$K,6,FALSE)</f>
        <v>0</v>
      </c>
      <c r="Q302" s="77">
        <f>VLOOKUP($B302,[1]ბიუჯეტი!$B:$K,7,FALSE)</f>
        <v>0</v>
      </c>
      <c r="R302" s="77">
        <f>VLOOKUP($B302,[1]ბიუჯეტი!$B:$K,8,FALSE)</f>
        <v>0</v>
      </c>
      <c r="S302" s="77">
        <f>VLOOKUP($B302,[1]ბიუჯეტი!$B:$K,9,FALSE)</f>
        <v>0</v>
      </c>
      <c r="T302" s="77">
        <f>VLOOKUP($B302,[1]ბიუჯეტი!$B:$K,10,FALSE)</f>
        <v>3665.6567796610175</v>
      </c>
      <c r="V302" s="78">
        <f t="shared" si="38"/>
        <v>0</v>
      </c>
      <c r="W302" s="78">
        <f t="shared" si="39"/>
        <v>0</v>
      </c>
      <c r="X302" s="78">
        <f t="shared" si="40"/>
        <v>0</v>
      </c>
      <c r="Y302" s="78">
        <f t="shared" si="41"/>
        <v>-72.63900000000001</v>
      </c>
    </row>
    <row r="303" spans="1:25" hidden="1" outlineLevel="1" x14ac:dyDescent="0.35">
      <c r="A303" s="51"/>
      <c r="B303" s="3" t="s">
        <v>63</v>
      </c>
      <c r="C303" s="4" t="s">
        <v>49</v>
      </c>
      <c r="D303" s="1">
        <f>D302*3*1.05/25</f>
        <v>0.75675600000000021</v>
      </c>
      <c r="E303" s="1">
        <f>მასალა!D20</f>
        <v>11.016949152542374</v>
      </c>
      <c r="F303" s="1">
        <f t="shared" si="42"/>
        <v>8.3371423728813596</v>
      </c>
      <c r="G303" s="1"/>
      <c r="H303" s="1"/>
      <c r="I303" s="1"/>
      <c r="J303" s="1"/>
      <c r="K303" s="1">
        <f t="shared" si="44"/>
        <v>8.3371423728813596</v>
      </c>
      <c r="M303" s="77">
        <f>VLOOKUP(B303,[1]ბიუჯეტი!$B:$K,3,FALSE)</f>
        <v>8</v>
      </c>
      <c r="N303" s="77">
        <f>VLOOKUP($B303,[1]ბიუჯეტი!$B:$K,4,FALSE)</f>
        <v>11.016949152542374</v>
      </c>
      <c r="O303" s="77">
        <f>VLOOKUP($B303,[1]ბიუჯეტი!$B:$K,5,FALSE)</f>
        <v>88.13559322033899</v>
      </c>
      <c r="P303" s="77">
        <f>VLOOKUP($B303,[1]ბიუჯეტი!$B:$K,6,FALSE)</f>
        <v>0</v>
      </c>
      <c r="Q303" s="77">
        <f>VLOOKUP($B303,[1]ბიუჯეტი!$B:$K,7,FALSE)</f>
        <v>0</v>
      </c>
      <c r="R303" s="77">
        <f>VLOOKUP($B303,[1]ბიუჯეტი!$B:$K,8,FALSE)</f>
        <v>0</v>
      </c>
      <c r="S303" s="77">
        <f>VLOOKUP($B303,[1]ბიუჯეტი!$B:$K,9,FALSE)</f>
        <v>0</v>
      </c>
      <c r="T303" s="77">
        <f>VLOOKUP($B303,[1]ბიუჯეტი!$B:$K,10,FALSE)</f>
        <v>88.13559322033899</v>
      </c>
      <c r="V303" s="78">
        <f t="shared" si="38"/>
        <v>0</v>
      </c>
      <c r="W303" s="78">
        <f t="shared" si="39"/>
        <v>0</v>
      </c>
      <c r="X303" s="78">
        <f t="shared" si="40"/>
        <v>0</v>
      </c>
      <c r="Y303" s="78">
        <f t="shared" si="41"/>
        <v>-7.2432439999999998</v>
      </c>
    </row>
    <row r="304" spans="1:25" hidden="1" outlineLevel="1" x14ac:dyDescent="0.35">
      <c r="A304" s="51">
        <v>4</v>
      </c>
      <c r="B304" s="23" t="s">
        <v>176</v>
      </c>
      <c r="C304" s="4" t="s">
        <v>40</v>
      </c>
      <c r="D304" s="1">
        <f>სამუშაო!F77+სამუშაო!F78+სამუშაო!F79</f>
        <v>219</v>
      </c>
      <c r="E304" s="1"/>
      <c r="F304" s="1">
        <f t="shared" si="42"/>
        <v>0</v>
      </c>
      <c r="G304" s="1">
        <f>ხელფასი!D16</f>
        <v>12.75</v>
      </c>
      <c r="H304" s="1">
        <f>G304*D304</f>
        <v>2792.25</v>
      </c>
      <c r="I304" s="1"/>
      <c r="J304" s="1"/>
      <c r="K304" s="1">
        <f t="shared" si="44"/>
        <v>2792.25</v>
      </c>
      <c r="M304" s="77">
        <f>VLOOKUP(B304,[1]ბიუჯეტი!$B:$K,3,FALSE)</f>
        <v>304.26</v>
      </c>
      <c r="N304" s="77">
        <f>VLOOKUP($B304,[1]ბიუჯეტი!$B:$K,4,FALSE)</f>
        <v>0</v>
      </c>
      <c r="O304" s="77">
        <f>VLOOKUP($B304,[1]ბიუჯეტი!$B:$K,5,FALSE)</f>
        <v>0</v>
      </c>
      <c r="P304" s="77">
        <f>VLOOKUP($B304,[1]ბიუჯეტი!$B:$K,6,FALSE)</f>
        <v>12.75</v>
      </c>
      <c r="Q304" s="77">
        <f>VLOOKUP($B304,[1]ბიუჯეტი!$B:$K,7,FALSE)</f>
        <v>3879.3150000000001</v>
      </c>
      <c r="R304" s="77">
        <f>VLOOKUP($B304,[1]ბიუჯეტი!$B:$K,8,FALSE)</f>
        <v>0</v>
      </c>
      <c r="S304" s="77">
        <f>VLOOKUP($B304,[1]ბიუჯეტი!$B:$K,9,FALSE)</f>
        <v>0</v>
      </c>
      <c r="T304" s="77">
        <f>VLOOKUP($B304,[1]ბიუჯეტი!$B:$K,10,FALSE)</f>
        <v>3879.3150000000001</v>
      </c>
      <c r="V304" s="78">
        <f t="shared" si="38"/>
        <v>0</v>
      </c>
      <c r="W304" s="78">
        <f t="shared" si="39"/>
        <v>0</v>
      </c>
      <c r="X304" s="78">
        <f t="shared" si="40"/>
        <v>0</v>
      </c>
      <c r="Y304" s="78">
        <f t="shared" si="41"/>
        <v>-85.259999999999991</v>
      </c>
    </row>
    <row r="305" spans="1:25" hidden="1" outlineLevel="1" x14ac:dyDescent="0.35">
      <c r="A305" s="51"/>
      <c r="B305" s="3" t="s">
        <v>415</v>
      </c>
      <c r="C305" s="4" t="s">
        <v>10</v>
      </c>
      <c r="D305" s="1">
        <f>D304*0.07*1.1</f>
        <v>16.863000000000003</v>
      </c>
      <c r="E305" s="1">
        <f>SUMIFS(მასალა!D16:D286,მასალა!B16:B286,ბიუჯეტი!B305)</f>
        <v>46.610169491525426</v>
      </c>
      <c r="F305" s="1">
        <f t="shared" si="42"/>
        <v>785.98728813559342</v>
      </c>
      <c r="G305" s="1"/>
      <c r="H305" s="1"/>
      <c r="I305" s="1"/>
      <c r="J305" s="1"/>
      <c r="K305" s="1">
        <f t="shared" si="44"/>
        <v>785.98728813559342</v>
      </c>
      <c r="M305" s="77">
        <f>VLOOKUP(B305,[1]ბიუჯეტი!$B:$K,3,FALSE)</f>
        <v>78.64500000000001</v>
      </c>
      <c r="N305" s="77">
        <f>VLOOKUP($B305,[1]ბიუჯეტი!$B:$K,4,FALSE)</f>
        <v>46.610169491525426</v>
      </c>
      <c r="O305" s="77">
        <f>VLOOKUP($B305,[1]ბიუჯეტი!$B:$K,5,FALSE)</f>
        <v>3665.6567796610175</v>
      </c>
      <c r="P305" s="77">
        <f>VLOOKUP($B305,[1]ბიუჯეტი!$B:$K,6,FALSE)</f>
        <v>0</v>
      </c>
      <c r="Q305" s="77">
        <f>VLOOKUP($B305,[1]ბიუჯეტი!$B:$K,7,FALSE)</f>
        <v>0</v>
      </c>
      <c r="R305" s="77">
        <f>VLOOKUP($B305,[1]ბიუჯეტი!$B:$K,8,FALSE)</f>
        <v>0</v>
      </c>
      <c r="S305" s="77">
        <f>VLOOKUP($B305,[1]ბიუჯეტი!$B:$K,9,FALSE)</f>
        <v>0</v>
      </c>
      <c r="T305" s="77">
        <f>VLOOKUP($B305,[1]ბიუჯეტი!$B:$K,10,FALSE)</f>
        <v>3665.6567796610175</v>
      </c>
      <c r="V305" s="78">
        <f t="shared" si="38"/>
        <v>0</v>
      </c>
      <c r="W305" s="78">
        <f t="shared" si="39"/>
        <v>0</v>
      </c>
      <c r="X305" s="78">
        <f t="shared" si="40"/>
        <v>0</v>
      </c>
      <c r="Y305" s="78">
        <f t="shared" si="41"/>
        <v>-61.782000000000011</v>
      </c>
    </row>
    <row r="306" spans="1:25" hidden="1" outlineLevel="1" x14ac:dyDescent="0.35">
      <c r="A306" s="51"/>
      <c r="B306" s="3" t="s">
        <v>63</v>
      </c>
      <c r="C306" s="4" t="s">
        <v>49</v>
      </c>
      <c r="D306" s="1">
        <f>D305*3*1.05/25</f>
        <v>2.1247380000000007</v>
      </c>
      <c r="E306" s="1">
        <f>მასალა!D20</f>
        <v>11.016949152542374</v>
      </c>
      <c r="F306" s="1">
        <f t="shared" si="42"/>
        <v>23.408130508474585</v>
      </c>
      <c r="G306" s="1"/>
      <c r="H306" s="1"/>
      <c r="I306" s="1"/>
      <c r="J306" s="1"/>
      <c r="K306" s="1">
        <f t="shared" si="44"/>
        <v>23.408130508474585</v>
      </c>
      <c r="M306" s="77">
        <f>VLOOKUP(B306,[1]ბიუჯეტი!$B:$K,3,FALSE)</f>
        <v>8</v>
      </c>
      <c r="N306" s="77">
        <f>VLOOKUP($B306,[1]ბიუჯეტი!$B:$K,4,FALSE)</f>
        <v>11.016949152542374</v>
      </c>
      <c r="O306" s="77">
        <f>VLOOKUP($B306,[1]ბიუჯეტი!$B:$K,5,FALSE)</f>
        <v>88.13559322033899</v>
      </c>
      <c r="P306" s="77">
        <f>VLOOKUP($B306,[1]ბიუჯეტი!$B:$K,6,FALSE)</f>
        <v>0</v>
      </c>
      <c r="Q306" s="77">
        <f>VLOOKUP($B306,[1]ბიუჯეტი!$B:$K,7,FALSE)</f>
        <v>0</v>
      </c>
      <c r="R306" s="77">
        <f>VLOOKUP($B306,[1]ბიუჯეტი!$B:$K,8,FALSE)</f>
        <v>0</v>
      </c>
      <c r="S306" s="77">
        <f>VLOOKUP($B306,[1]ბიუჯეტი!$B:$K,9,FALSE)</f>
        <v>0</v>
      </c>
      <c r="T306" s="77">
        <f>VLOOKUP($B306,[1]ბიუჯეტი!$B:$K,10,FALSE)</f>
        <v>88.13559322033899</v>
      </c>
      <c r="V306" s="78">
        <f t="shared" si="38"/>
        <v>0</v>
      </c>
      <c r="W306" s="78">
        <f t="shared" si="39"/>
        <v>0</v>
      </c>
      <c r="X306" s="78">
        <f t="shared" si="40"/>
        <v>0</v>
      </c>
      <c r="Y306" s="78">
        <f t="shared" si="41"/>
        <v>-5.8752619999999993</v>
      </c>
    </row>
    <row r="307" spans="1:25" collapsed="1" x14ac:dyDescent="0.35">
      <c r="A307" s="51">
        <v>22</v>
      </c>
      <c r="B307" s="23" t="s">
        <v>89</v>
      </c>
      <c r="C307" s="4" t="s">
        <v>10</v>
      </c>
      <c r="D307" s="1">
        <f>SUM(D308,D312,D318)</f>
        <v>3455.8299999999995</v>
      </c>
      <c r="E307" s="1">
        <f>SUM(K309:K311,K313:K315,K319:K321)/D307</f>
        <v>11.835350041592696</v>
      </c>
      <c r="F307" s="1">
        <f t="shared" si="42"/>
        <v>40900.95773423728</v>
      </c>
      <c r="G307" s="1">
        <v>0</v>
      </c>
      <c r="H307" s="1">
        <f>G307*D307</f>
        <v>0</v>
      </c>
      <c r="I307" s="1">
        <f>SUM(J308:J321)/D307</f>
        <v>11.864406779661017</v>
      </c>
      <c r="J307" s="1">
        <f>I307*D307</f>
        <v>41001.372881355928</v>
      </c>
      <c r="K307" s="1">
        <f t="shared" si="44"/>
        <v>81902.330615593208</v>
      </c>
      <c r="M307" s="77">
        <f>VLOOKUP(B307,[1]ბიუჯეტი!$B:$K,3,FALSE)</f>
        <v>3315.7000000000003</v>
      </c>
      <c r="N307" s="77">
        <f>VLOOKUP($B307,[1]ბიუჯეტი!$B:$K,4,FALSE)</f>
        <v>11.835109916202475</v>
      </c>
      <c r="O307" s="77">
        <f>VLOOKUP($B307,[1]ბიუჯეტი!$B:$K,5,FALSE)</f>
        <v>39241.673949152551</v>
      </c>
      <c r="P307" s="77">
        <f>VLOOKUP($B307,[1]ბიუჯეტი!$B:$K,6,FALSE)</f>
        <v>0</v>
      </c>
      <c r="Q307" s="77">
        <f>VLOOKUP($B307,[1]ბიუჯეტი!$B:$K,7,FALSE)</f>
        <v>0</v>
      </c>
      <c r="R307" s="77">
        <f>VLOOKUP($B307,[1]ბიუჯეტი!$B:$K,8,FALSE)</f>
        <v>10.169491525423732</v>
      </c>
      <c r="S307" s="77">
        <f>VLOOKUP($B307,[1]ბიუჯეტი!$B:$K,9,FALSE)</f>
        <v>33718.98305084747</v>
      </c>
      <c r="T307" s="77">
        <f>VLOOKUP($B307,[1]ბიუჯეტი!$B:$K,10,FALSE)</f>
        <v>72960.657000000021</v>
      </c>
      <c r="V307" s="78">
        <f t="shared" si="38"/>
        <v>2.4012539022066903E-4</v>
      </c>
      <c r="W307" s="78">
        <f t="shared" si="39"/>
        <v>0</v>
      </c>
      <c r="X307" s="78">
        <f t="shared" si="40"/>
        <v>1.6949152542372854</v>
      </c>
      <c r="Y307" s="78">
        <f t="shared" si="41"/>
        <v>140.1299999999992</v>
      </c>
    </row>
    <row r="308" spans="1:25" hidden="1" outlineLevel="1" x14ac:dyDescent="0.35">
      <c r="A308" s="51">
        <v>1</v>
      </c>
      <c r="B308" s="23" t="s">
        <v>177</v>
      </c>
      <c r="C308" s="4" t="s">
        <v>10</v>
      </c>
      <c r="D308" s="1">
        <f>სამუშაო!F85</f>
        <v>239.28</v>
      </c>
      <c r="E308" s="1"/>
      <c r="F308" s="1">
        <f t="shared" si="42"/>
        <v>0</v>
      </c>
      <c r="G308" s="1"/>
      <c r="H308" s="1">
        <f t="shared" ref="H308:H321" si="45">D308*G308</f>
        <v>0</v>
      </c>
      <c r="I308" s="1">
        <f>მომსახურება!D7</f>
        <v>11.864406779661017</v>
      </c>
      <c r="J308" s="1">
        <f>I308*D308</f>
        <v>2838.9152542372881</v>
      </c>
      <c r="K308" s="1">
        <f t="shared" si="44"/>
        <v>2838.9152542372881</v>
      </c>
      <c r="M308" s="77">
        <f>VLOOKUP(B308,[1]ბიუჯეტი!$B:$K,3,FALSE)</f>
        <v>179.8</v>
      </c>
      <c r="N308" s="77">
        <f>VLOOKUP($B308,[1]ბიუჯეტი!$B:$K,4,FALSE)</f>
        <v>0</v>
      </c>
      <c r="O308" s="77">
        <f>VLOOKUP($B308,[1]ბიუჯეტი!$B:$K,5,FALSE)</f>
        <v>0</v>
      </c>
      <c r="P308" s="77">
        <f>VLOOKUP($B308,[1]ბიუჯეტი!$B:$K,6,FALSE)</f>
        <v>0</v>
      </c>
      <c r="Q308" s="77">
        <f>VLOOKUP($B308,[1]ბიუჯეტი!$B:$K,7,FALSE)</f>
        <v>0</v>
      </c>
      <c r="R308" s="77">
        <f>VLOOKUP($B308,[1]ბიუჯეტი!$B:$K,8,FALSE)</f>
        <v>10.16949152542373</v>
      </c>
      <c r="S308" s="77">
        <f>VLOOKUP($B308,[1]ბიუჯეტი!$B:$K,9,FALSE)</f>
        <v>1828.4745762711868</v>
      </c>
      <c r="T308" s="77">
        <f>VLOOKUP($B308,[1]ბიუჯეტი!$B:$K,10,FALSE)</f>
        <v>1828.4745762711868</v>
      </c>
      <c r="V308" s="78">
        <f t="shared" si="38"/>
        <v>0</v>
      </c>
      <c r="W308" s="78">
        <f t="shared" si="39"/>
        <v>0</v>
      </c>
      <c r="X308" s="78">
        <f t="shared" si="40"/>
        <v>1.6949152542372872</v>
      </c>
      <c r="Y308" s="78">
        <f t="shared" si="41"/>
        <v>59.47999999999999</v>
      </c>
    </row>
    <row r="309" spans="1:25" hidden="1" outlineLevel="1" x14ac:dyDescent="0.35">
      <c r="A309" s="51"/>
      <c r="B309" s="3" t="s">
        <v>90</v>
      </c>
      <c r="C309" s="4" t="s">
        <v>9</v>
      </c>
      <c r="D309" s="1">
        <f>D308*0.08*1.05</f>
        <v>20.099520000000002</v>
      </c>
      <c r="E309" s="1">
        <f>მასალა!D14</f>
        <v>59.322033898305087</v>
      </c>
      <c r="F309" s="1">
        <f t="shared" si="42"/>
        <v>1192.3444067796611</v>
      </c>
      <c r="G309" s="1"/>
      <c r="H309" s="1">
        <f t="shared" si="45"/>
        <v>0</v>
      </c>
      <c r="I309" s="1"/>
      <c r="J309" s="1"/>
      <c r="K309" s="1">
        <f t="shared" si="44"/>
        <v>1192.3444067796611</v>
      </c>
      <c r="M309" s="77">
        <f>VLOOKUP(B309,[1]ბიუჯეტი!$B:$K,3,FALSE)</f>
        <v>15.103200000000001</v>
      </c>
      <c r="N309" s="77">
        <f>VLOOKUP($B309,[1]ბიუჯეტი!$B:$K,4,FALSE)</f>
        <v>59.322033898305087</v>
      </c>
      <c r="O309" s="77">
        <f>VLOOKUP($B309,[1]ბიუჯეტი!$B:$K,5,FALSE)</f>
        <v>895.95254237288145</v>
      </c>
      <c r="P309" s="77">
        <f>VLOOKUP($B309,[1]ბიუჯეტი!$B:$K,6,FALSE)</f>
        <v>0</v>
      </c>
      <c r="Q309" s="77">
        <f>VLOOKUP($B309,[1]ბიუჯეტი!$B:$K,7,FALSE)</f>
        <v>0</v>
      </c>
      <c r="R309" s="77">
        <f>VLOOKUP($B309,[1]ბიუჯეტი!$B:$K,8,FALSE)</f>
        <v>0</v>
      </c>
      <c r="S309" s="77">
        <f>VLOOKUP($B309,[1]ბიუჯეტი!$B:$K,9,FALSE)</f>
        <v>0</v>
      </c>
      <c r="T309" s="77">
        <f>VLOOKUP($B309,[1]ბიუჯეტი!$B:$K,10,FALSE)</f>
        <v>895.95254237288145</v>
      </c>
      <c r="V309" s="78">
        <f t="shared" si="38"/>
        <v>0</v>
      </c>
      <c r="W309" s="78">
        <f t="shared" si="39"/>
        <v>0</v>
      </c>
      <c r="X309" s="78">
        <f t="shared" si="40"/>
        <v>0</v>
      </c>
      <c r="Y309" s="78">
        <f t="shared" si="41"/>
        <v>4.9963200000000008</v>
      </c>
    </row>
    <row r="310" spans="1:25" hidden="1" outlineLevel="1" x14ac:dyDescent="0.35">
      <c r="A310" s="51"/>
      <c r="B310" s="3" t="s">
        <v>388</v>
      </c>
      <c r="C310" s="4" t="s">
        <v>193</v>
      </c>
      <c r="D310" s="1">
        <f>D308</f>
        <v>239.28</v>
      </c>
      <c r="E310" s="1">
        <f>SUMIFS(მასალა!D3:D291,მასალა!B3:B291,ბიუჯეტი!B310)</f>
        <v>1.6949152542372883</v>
      </c>
      <c r="F310" s="1">
        <f>D310*E310</f>
        <v>405.55932203389835</v>
      </c>
      <c r="G310" s="1"/>
      <c r="H310" s="1">
        <f>D310*G310</f>
        <v>0</v>
      </c>
      <c r="I310" s="1"/>
      <c r="J310" s="1"/>
      <c r="K310" s="1">
        <f t="shared" si="44"/>
        <v>405.55932203389835</v>
      </c>
      <c r="M310" s="77">
        <f>VLOOKUP(B310,[1]ბიუჯეტი!$B:$K,3,FALSE)</f>
        <v>179.8</v>
      </c>
      <c r="N310" s="77">
        <f>VLOOKUP($B310,[1]ბიუჯეტი!$B:$K,4,FALSE)</f>
        <v>1.6949152542372883</v>
      </c>
      <c r="O310" s="77">
        <f>VLOOKUP($B310,[1]ბიუჯეტი!$B:$K,5,FALSE)</f>
        <v>304.74576271186447</v>
      </c>
      <c r="P310" s="77">
        <f>VLOOKUP($B310,[1]ბიუჯეტი!$B:$K,6,FALSE)</f>
        <v>0</v>
      </c>
      <c r="Q310" s="77">
        <f>VLOOKUP($B310,[1]ბიუჯეტი!$B:$K,7,FALSE)</f>
        <v>0</v>
      </c>
      <c r="R310" s="77">
        <f>VLOOKUP($B310,[1]ბიუჯეტი!$B:$K,8,FALSE)</f>
        <v>0</v>
      </c>
      <c r="S310" s="77">
        <f>VLOOKUP($B310,[1]ბიუჯეტი!$B:$K,9,FALSE)</f>
        <v>0</v>
      </c>
      <c r="T310" s="77">
        <f>VLOOKUP($B310,[1]ბიუჯეტი!$B:$K,10,FALSE)</f>
        <v>304.74576271186447</v>
      </c>
      <c r="V310" s="78">
        <f t="shared" si="38"/>
        <v>0</v>
      </c>
      <c r="W310" s="78">
        <f t="shared" si="39"/>
        <v>0</v>
      </c>
      <c r="X310" s="78">
        <f t="shared" si="40"/>
        <v>0</v>
      </c>
      <c r="Y310" s="78">
        <f t="shared" si="41"/>
        <v>59.47999999999999</v>
      </c>
    </row>
    <row r="311" spans="1:25" hidden="1" outlineLevel="1" x14ac:dyDescent="0.35">
      <c r="A311" s="51"/>
      <c r="B311" s="3" t="s">
        <v>91</v>
      </c>
      <c r="C311" s="4" t="s">
        <v>12</v>
      </c>
      <c r="D311" s="1">
        <f>D308*0.04/3*1.05</f>
        <v>3.3499200000000005</v>
      </c>
      <c r="E311" s="1">
        <f>მასალა!D31</f>
        <v>304.00000000000006</v>
      </c>
      <c r="F311" s="1">
        <f t="shared" si="42"/>
        <v>1018.3756800000003</v>
      </c>
      <c r="G311" s="1"/>
      <c r="H311" s="1">
        <f t="shared" si="45"/>
        <v>0</v>
      </c>
      <c r="I311" s="1"/>
      <c r="J311" s="1"/>
      <c r="K311" s="1">
        <f t="shared" si="44"/>
        <v>1018.3756800000003</v>
      </c>
      <c r="M311" s="77">
        <f>VLOOKUP(B311,[1]ბიუჯეტი!$B:$K,3,FALSE)</f>
        <v>2.5172000000000003</v>
      </c>
      <c r="N311" s="77">
        <f>VLOOKUP($B311,[1]ბიუჯეტი!$B:$K,4,FALSE)</f>
        <v>303.98305084745766</v>
      </c>
      <c r="O311" s="77">
        <f>VLOOKUP($B311,[1]ბიუჯეტი!$B:$K,5,FALSE)</f>
        <v>765.18613559322057</v>
      </c>
      <c r="P311" s="77">
        <f>VLOOKUP($B311,[1]ბიუჯეტი!$B:$K,6,FALSE)</f>
        <v>0</v>
      </c>
      <c r="Q311" s="77">
        <f>VLOOKUP($B311,[1]ბიუჯეტი!$B:$K,7,FALSE)</f>
        <v>0</v>
      </c>
      <c r="R311" s="77">
        <f>VLOOKUP($B311,[1]ბიუჯეტი!$B:$K,8,FALSE)</f>
        <v>0</v>
      </c>
      <c r="S311" s="77">
        <f>VLOOKUP($B311,[1]ბიუჯეტი!$B:$K,9,FALSE)</f>
        <v>0</v>
      </c>
      <c r="T311" s="77">
        <f>VLOOKUP($B311,[1]ბიუჯეტი!$B:$K,10,FALSE)</f>
        <v>765.18613559322057</v>
      </c>
      <c r="V311" s="78">
        <f t="shared" si="38"/>
        <v>1.6949152542395041E-2</v>
      </c>
      <c r="W311" s="78">
        <f t="shared" si="39"/>
        <v>0</v>
      </c>
      <c r="X311" s="78">
        <f t="shared" si="40"/>
        <v>0</v>
      </c>
      <c r="Y311" s="78">
        <f t="shared" si="41"/>
        <v>0.83272000000000013</v>
      </c>
    </row>
    <row r="312" spans="1:25" hidden="1" outlineLevel="1" x14ac:dyDescent="0.35">
      <c r="A312" s="51">
        <v>2</v>
      </c>
      <c r="B312" s="23" t="s">
        <v>92</v>
      </c>
      <c r="C312" s="4" t="s">
        <v>10</v>
      </c>
      <c r="D312" s="1">
        <f>სამუშაო!I86</f>
        <v>716.05</v>
      </c>
      <c r="E312" s="1"/>
      <c r="F312" s="1">
        <f t="shared" si="42"/>
        <v>0</v>
      </c>
      <c r="G312" s="1"/>
      <c r="H312" s="1">
        <f t="shared" si="45"/>
        <v>0</v>
      </c>
      <c r="I312" s="1">
        <f>მომსახურება!D7</f>
        <v>11.864406779661017</v>
      </c>
      <c r="J312" s="1">
        <f>I312*D312</f>
        <v>8495.5084745762706</v>
      </c>
      <c r="K312" s="1">
        <f t="shared" si="44"/>
        <v>8495.5084745762706</v>
      </c>
      <c r="M312" s="77">
        <f>VLOOKUP(B312,[1]ბიუჯეტი!$B:$K,3,FALSE)</f>
        <v>736.8</v>
      </c>
      <c r="N312" s="77">
        <f>VLOOKUP($B312,[1]ბიუჯეტი!$B:$K,4,FALSE)</f>
        <v>0</v>
      </c>
      <c r="O312" s="77">
        <f>VLOOKUP($B312,[1]ბიუჯეტი!$B:$K,5,FALSE)</f>
        <v>0</v>
      </c>
      <c r="P312" s="77">
        <f>VLOOKUP($B312,[1]ბიუჯეტი!$B:$K,6,FALSE)</f>
        <v>0</v>
      </c>
      <c r="Q312" s="77">
        <f>VLOOKUP($B312,[1]ბიუჯეტი!$B:$K,7,FALSE)</f>
        <v>0</v>
      </c>
      <c r="R312" s="77">
        <f>VLOOKUP($B312,[1]ბიუჯეტი!$B:$K,8,FALSE)</f>
        <v>10.16949152542373</v>
      </c>
      <c r="S312" s="77">
        <f>VLOOKUP($B312,[1]ბიუჯეტი!$B:$K,9,FALSE)</f>
        <v>7492.8813559322043</v>
      </c>
      <c r="T312" s="77">
        <f>VLOOKUP($B312,[1]ბიუჯეტი!$B:$K,10,FALSE)</f>
        <v>7492.8813559322043</v>
      </c>
      <c r="V312" s="78">
        <f t="shared" si="38"/>
        <v>0</v>
      </c>
      <c r="W312" s="78">
        <f t="shared" si="39"/>
        <v>0</v>
      </c>
      <c r="X312" s="78">
        <f t="shared" si="40"/>
        <v>1.6949152542372872</v>
      </c>
      <c r="Y312" s="78">
        <f t="shared" si="41"/>
        <v>-20.75</v>
      </c>
    </row>
    <row r="313" spans="1:25" hidden="1" outlineLevel="1" x14ac:dyDescent="0.35">
      <c r="A313" s="51"/>
      <c r="B313" s="3" t="s">
        <v>90</v>
      </c>
      <c r="C313" s="4" t="s">
        <v>9</v>
      </c>
      <c r="D313" s="1">
        <f>D312*0.08*1.05</f>
        <v>60.148200000000003</v>
      </c>
      <c r="E313" s="1">
        <f>მასალა!D14</f>
        <v>59.322033898305087</v>
      </c>
      <c r="F313" s="1">
        <f t="shared" si="42"/>
        <v>3568.1135593220342</v>
      </c>
      <c r="G313" s="1"/>
      <c r="H313" s="1">
        <f t="shared" si="45"/>
        <v>0</v>
      </c>
      <c r="I313" s="1"/>
      <c r="J313" s="1"/>
      <c r="K313" s="1">
        <f t="shared" si="44"/>
        <v>3568.1135593220342</v>
      </c>
      <c r="M313" s="77">
        <f>VLOOKUP(B313,[1]ბიუჯეტი!$B:$K,3,FALSE)</f>
        <v>15.103200000000001</v>
      </c>
      <c r="N313" s="77">
        <f>VLOOKUP($B313,[1]ბიუჯეტი!$B:$K,4,FALSE)</f>
        <v>59.322033898305087</v>
      </c>
      <c r="O313" s="77">
        <f>VLOOKUP($B313,[1]ბიუჯეტი!$B:$K,5,FALSE)</f>
        <v>895.95254237288145</v>
      </c>
      <c r="P313" s="77">
        <f>VLOOKUP($B313,[1]ბიუჯეტი!$B:$K,6,FALSE)</f>
        <v>0</v>
      </c>
      <c r="Q313" s="77">
        <f>VLOOKUP($B313,[1]ბიუჯეტი!$B:$K,7,FALSE)</f>
        <v>0</v>
      </c>
      <c r="R313" s="77">
        <f>VLOOKUP($B313,[1]ბიუჯეტი!$B:$K,8,FALSE)</f>
        <v>0</v>
      </c>
      <c r="S313" s="77">
        <f>VLOOKUP($B313,[1]ბიუჯეტი!$B:$K,9,FALSE)</f>
        <v>0</v>
      </c>
      <c r="T313" s="77">
        <f>VLOOKUP($B313,[1]ბიუჯეტი!$B:$K,10,FALSE)</f>
        <v>895.95254237288145</v>
      </c>
      <c r="V313" s="78">
        <f t="shared" si="38"/>
        <v>0</v>
      </c>
      <c r="W313" s="78">
        <f t="shared" si="39"/>
        <v>0</v>
      </c>
      <c r="X313" s="78">
        <f t="shared" si="40"/>
        <v>0</v>
      </c>
      <c r="Y313" s="78">
        <f t="shared" si="41"/>
        <v>45.045000000000002</v>
      </c>
    </row>
    <row r="314" spans="1:25" hidden="1" outlineLevel="1" x14ac:dyDescent="0.35">
      <c r="A314" s="51"/>
      <c r="B314" s="3" t="s">
        <v>388</v>
      </c>
      <c r="C314" s="4" t="s">
        <v>193</v>
      </c>
      <c r="D314" s="1">
        <f>D312</f>
        <v>716.05</v>
      </c>
      <c r="E314" s="1">
        <f>SUMIFS(მასალა!D3:D295,მასალა!B3:B295,ბიუჯეტი!B314)</f>
        <v>1.6949152542372883</v>
      </c>
      <c r="F314" s="1">
        <f>D314*E314</f>
        <v>1213.6440677966102</v>
      </c>
      <c r="G314" s="1"/>
      <c r="H314" s="1">
        <f>D314*G314</f>
        <v>0</v>
      </c>
      <c r="I314" s="1"/>
      <c r="J314" s="1"/>
      <c r="K314" s="1">
        <f t="shared" si="44"/>
        <v>1213.6440677966102</v>
      </c>
      <c r="M314" s="77">
        <f>VLOOKUP(B314,[1]ბიუჯეტი!$B:$K,3,FALSE)</f>
        <v>179.8</v>
      </c>
      <c r="N314" s="77">
        <f>VLOOKUP($B314,[1]ბიუჯეტი!$B:$K,4,FALSE)</f>
        <v>1.6949152542372883</v>
      </c>
      <c r="O314" s="77">
        <f>VLOOKUP($B314,[1]ბიუჯეტი!$B:$K,5,FALSE)</f>
        <v>304.74576271186447</v>
      </c>
      <c r="P314" s="77">
        <f>VLOOKUP($B314,[1]ბიუჯეტი!$B:$K,6,FALSE)</f>
        <v>0</v>
      </c>
      <c r="Q314" s="77">
        <f>VLOOKUP($B314,[1]ბიუჯეტი!$B:$K,7,FALSE)</f>
        <v>0</v>
      </c>
      <c r="R314" s="77">
        <f>VLOOKUP($B314,[1]ბიუჯეტი!$B:$K,8,FALSE)</f>
        <v>0</v>
      </c>
      <c r="S314" s="77">
        <f>VLOOKUP($B314,[1]ბიუჯეტი!$B:$K,9,FALSE)</f>
        <v>0</v>
      </c>
      <c r="T314" s="77">
        <f>VLOOKUP($B314,[1]ბიუჯეტი!$B:$K,10,FALSE)</f>
        <v>304.74576271186447</v>
      </c>
      <c r="V314" s="78">
        <f t="shared" si="38"/>
        <v>0</v>
      </c>
      <c r="W314" s="78">
        <f t="shared" si="39"/>
        <v>0</v>
      </c>
      <c r="X314" s="78">
        <f t="shared" si="40"/>
        <v>0</v>
      </c>
      <c r="Y314" s="78">
        <f t="shared" si="41"/>
        <v>536.25</v>
      </c>
    </row>
    <row r="315" spans="1:25" hidden="1" outlineLevel="1" x14ac:dyDescent="0.35">
      <c r="A315" s="51"/>
      <c r="B315" s="3" t="s">
        <v>91</v>
      </c>
      <c r="C315" s="4" t="s">
        <v>12</v>
      </c>
      <c r="D315" s="1">
        <f>D312*0.04/3*1.05</f>
        <v>10.024699999999999</v>
      </c>
      <c r="E315" s="1">
        <f>მასალა!D31</f>
        <v>304.00000000000006</v>
      </c>
      <c r="F315" s="1">
        <f t="shared" si="42"/>
        <v>3047.5088000000005</v>
      </c>
      <c r="G315" s="1"/>
      <c r="H315" s="1">
        <f t="shared" si="45"/>
        <v>0</v>
      </c>
      <c r="I315" s="1"/>
      <c r="J315" s="1"/>
      <c r="K315" s="1">
        <f t="shared" si="44"/>
        <v>3047.5088000000005</v>
      </c>
      <c r="M315" s="77">
        <f>VLOOKUP(B315,[1]ბიუჯეტი!$B:$K,3,FALSE)</f>
        <v>2.5172000000000003</v>
      </c>
      <c r="N315" s="77">
        <f>VLOOKUP($B315,[1]ბიუჯეტი!$B:$K,4,FALSE)</f>
        <v>303.98305084745766</v>
      </c>
      <c r="O315" s="77">
        <f>VLOOKUP($B315,[1]ბიუჯეტი!$B:$K,5,FALSE)</f>
        <v>765.18613559322057</v>
      </c>
      <c r="P315" s="77">
        <f>VLOOKUP($B315,[1]ბიუჯეტი!$B:$K,6,FALSE)</f>
        <v>0</v>
      </c>
      <c r="Q315" s="77">
        <f>VLOOKUP($B315,[1]ბიუჯეტი!$B:$K,7,FALSE)</f>
        <v>0</v>
      </c>
      <c r="R315" s="77">
        <f>VLOOKUP($B315,[1]ბიუჯეტი!$B:$K,8,FALSE)</f>
        <v>0</v>
      </c>
      <c r="S315" s="77">
        <f>VLOOKUP($B315,[1]ბიუჯეტი!$B:$K,9,FALSE)</f>
        <v>0</v>
      </c>
      <c r="T315" s="77">
        <f>VLOOKUP($B315,[1]ბიუჯეტი!$B:$K,10,FALSE)</f>
        <v>765.18613559322057</v>
      </c>
      <c r="V315" s="78">
        <f t="shared" si="38"/>
        <v>1.6949152542395041E-2</v>
      </c>
      <c r="W315" s="78">
        <f t="shared" si="39"/>
        <v>0</v>
      </c>
      <c r="X315" s="78">
        <f t="shared" si="40"/>
        <v>0</v>
      </c>
      <c r="Y315" s="78">
        <f t="shared" si="41"/>
        <v>7.5074999999999985</v>
      </c>
    </row>
    <row r="316" spans="1:25" hidden="1" outlineLevel="1" x14ac:dyDescent="0.35">
      <c r="A316" s="51"/>
      <c r="B316" s="3" t="s">
        <v>419</v>
      </c>
      <c r="C316" s="4" t="s">
        <v>10</v>
      </c>
      <c r="D316" s="1">
        <f>სამუშაო!D86</f>
        <v>565.6</v>
      </c>
      <c r="E316" s="1">
        <f>SUMIFS(მასალა!D5:D297,მასალა!B5:B297,ბიუჯეტი!B316)</f>
        <v>6.7796610169491531</v>
      </c>
      <c r="F316" s="1">
        <f t="shared" si="42"/>
        <v>3834.5762711864413</v>
      </c>
      <c r="G316" s="1"/>
      <c r="H316" s="1">
        <f t="shared" si="45"/>
        <v>0</v>
      </c>
      <c r="I316" s="1"/>
      <c r="J316" s="1"/>
      <c r="K316" s="1">
        <f t="shared" si="44"/>
        <v>3834.5762711864413</v>
      </c>
      <c r="M316" s="77">
        <f>VLOOKUP(B316,[1]ბიუჯეტი!$B:$K,3,FALSE)</f>
        <v>567</v>
      </c>
      <c r="N316" s="77">
        <f>VLOOKUP($B316,[1]ბიუჯეტი!$B:$K,4,FALSE)</f>
        <v>6.7796610169491531</v>
      </c>
      <c r="O316" s="77">
        <f>VLOOKUP($B316,[1]ბიუჯეტი!$B:$K,5,FALSE)</f>
        <v>3844.0677966101698</v>
      </c>
      <c r="P316" s="77">
        <f>VLOOKUP($B316,[1]ბიუჯეტი!$B:$K,6,FALSE)</f>
        <v>0</v>
      </c>
      <c r="Q316" s="77">
        <f>VLOOKUP($B316,[1]ბიუჯეტი!$B:$K,7,FALSE)</f>
        <v>0</v>
      </c>
      <c r="R316" s="77">
        <f>VLOOKUP($B316,[1]ბიუჯეტი!$B:$K,8,FALSE)</f>
        <v>0</v>
      </c>
      <c r="S316" s="77">
        <f>VLOOKUP($B316,[1]ბიუჯეტი!$B:$K,9,FALSE)</f>
        <v>0</v>
      </c>
      <c r="T316" s="77">
        <f>VLOOKUP($B316,[1]ბიუჯეტი!$B:$K,10,FALSE)</f>
        <v>3844.0677966101698</v>
      </c>
      <c r="V316" s="78">
        <f t="shared" si="38"/>
        <v>0</v>
      </c>
      <c r="W316" s="78">
        <f t="shared" si="39"/>
        <v>0</v>
      </c>
      <c r="X316" s="78">
        <f t="shared" si="40"/>
        <v>0</v>
      </c>
      <c r="Y316" s="78">
        <f t="shared" si="41"/>
        <v>-1.3999999999999773</v>
      </c>
    </row>
    <row r="317" spans="1:25" hidden="1" outlineLevel="1" x14ac:dyDescent="0.35">
      <c r="A317" s="51"/>
      <c r="B317" s="3" t="s">
        <v>13</v>
      </c>
      <c r="C317" s="4" t="s">
        <v>12</v>
      </c>
      <c r="D317" s="1">
        <f>D313*0.007</f>
        <v>0.42103740000000001</v>
      </c>
      <c r="E317" s="1">
        <f>SUMIFS(მასალა!D6:D298,მასალა!B6:B298,ბიუჯეტი!B317)</f>
        <v>0</v>
      </c>
      <c r="F317" s="1">
        <f t="shared" si="42"/>
        <v>0</v>
      </c>
      <c r="G317" s="1"/>
      <c r="H317" s="1">
        <f t="shared" si="45"/>
        <v>0</v>
      </c>
      <c r="I317" s="1"/>
      <c r="J317" s="1"/>
      <c r="K317" s="1">
        <f t="shared" si="44"/>
        <v>0</v>
      </c>
      <c r="M317" s="77">
        <f>VLOOKUP(B317,[1]ბიუჯეტი!$B:$K,3,FALSE)</f>
        <v>228.13875000000002</v>
      </c>
      <c r="N317" s="77">
        <f>VLOOKUP($B317,[1]ბიუჯეტი!$B:$K,4,FALSE)</f>
        <v>1931.2271186440678</v>
      </c>
      <c r="O317" s="77">
        <f>VLOOKUP($B317,[1]ბიუჯეტი!$B:$K,5,FALSE)</f>
        <v>440587.74081355933</v>
      </c>
      <c r="P317" s="77">
        <f>VLOOKUP($B317,[1]ბიუჯეტი!$B:$K,6,FALSE)</f>
        <v>0</v>
      </c>
      <c r="Q317" s="77">
        <f>VLOOKUP($B317,[1]ბიუჯეტი!$B:$K,7,FALSE)</f>
        <v>0</v>
      </c>
      <c r="R317" s="77">
        <f>VLOOKUP($B317,[1]ბიუჯეტი!$B:$K,8,FALSE)</f>
        <v>0</v>
      </c>
      <c r="S317" s="77">
        <f>VLOOKUP($B317,[1]ბიუჯეტი!$B:$K,9,FALSE)</f>
        <v>0</v>
      </c>
      <c r="T317" s="77">
        <f>VLOOKUP($B317,[1]ბიუჯეტი!$B:$K,10,FALSE)</f>
        <v>440587.74081355933</v>
      </c>
      <c r="V317" s="78">
        <f t="shared" si="38"/>
        <v>-1931.2271186440678</v>
      </c>
      <c r="W317" s="78">
        <f t="shared" si="39"/>
        <v>0</v>
      </c>
      <c r="X317" s="78">
        <f t="shared" si="40"/>
        <v>0</v>
      </c>
      <c r="Y317" s="78">
        <f t="shared" si="41"/>
        <v>-227.71771260000003</v>
      </c>
    </row>
    <row r="318" spans="1:25" hidden="1" outlineLevel="1" x14ac:dyDescent="0.35">
      <c r="A318" s="51">
        <v>3</v>
      </c>
      <c r="B318" s="23" t="s">
        <v>179</v>
      </c>
      <c r="C318" s="4" t="s">
        <v>10</v>
      </c>
      <c r="D318" s="1">
        <f>სამუშაო!I87+სამუშაო!I88+სამუშაო!I89</f>
        <v>2500.4999999999995</v>
      </c>
      <c r="E318" s="1"/>
      <c r="F318" s="1">
        <f t="shared" si="42"/>
        <v>0</v>
      </c>
      <c r="G318" s="1"/>
      <c r="H318" s="1">
        <f t="shared" si="45"/>
        <v>0</v>
      </c>
      <c r="I318" s="1">
        <f>მომსახურება!D7</f>
        <v>11.864406779661017</v>
      </c>
      <c r="J318" s="1">
        <f>I318*D318</f>
        <v>29666.949152542369</v>
      </c>
      <c r="K318" s="1">
        <f t="shared" si="44"/>
        <v>29666.949152542369</v>
      </c>
      <c r="M318" s="77">
        <f>VLOOKUP(B318,[1]ბიუჯეტი!$B:$K,3,FALSE)</f>
        <v>2399.1000000000004</v>
      </c>
      <c r="N318" s="77">
        <f>VLOOKUP($B318,[1]ბიუჯეტი!$B:$K,4,FALSE)</f>
        <v>0</v>
      </c>
      <c r="O318" s="77">
        <f>VLOOKUP($B318,[1]ბიუჯეტი!$B:$K,5,FALSE)</f>
        <v>0</v>
      </c>
      <c r="P318" s="77">
        <f>VLOOKUP($B318,[1]ბიუჯეტი!$B:$K,6,FALSE)</f>
        <v>0</v>
      </c>
      <c r="Q318" s="77">
        <f>VLOOKUP($B318,[1]ბიუჯეტი!$B:$K,7,FALSE)</f>
        <v>0</v>
      </c>
      <c r="R318" s="77">
        <f>VLOOKUP($B318,[1]ბიუჯეტი!$B:$K,8,FALSE)</f>
        <v>10.16949152542373</v>
      </c>
      <c r="S318" s="77">
        <f>VLOOKUP($B318,[1]ბიუჯეტი!$B:$K,9,FALSE)</f>
        <v>24397.627118644075</v>
      </c>
      <c r="T318" s="77">
        <f>VLOOKUP($B318,[1]ბიუჯეტი!$B:$K,10,FALSE)</f>
        <v>24397.627118644075</v>
      </c>
      <c r="V318" s="78">
        <f t="shared" si="38"/>
        <v>0</v>
      </c>
      <c r="W318" s="78">
        <f t="shared" si="39"/>
        <v>0</v>
      </c>
      <c r="X318" s="78">
        <f t="shared" si="40"/>
        <v>1.6949152542372872</v>
      </c>
      <c r="Y318" s="78">
        <f t="shared" si="41"/>
        <v>101.39999999999918</v>
      </c>
    </row>
    <row r="319" spans="1:25" hidden="1" outlineLevel="1" x14ac:dyDescent="0.35">
      <c r="A319" s="51"/>
      <c r="B319" s="3" t="s">
        <v>90</v>
      </c>
      <c r="C319" s="4" t="s">
        <v>9</v>
      </c>
      <c r="D319" s="1">
        <f>D318*0.1*1.05</f>
        <v>262.55249999999995</v>
      </c>
      <c r="E319" s="1">
        <f>მასალა!D14</f>
        <v>59.322033898305087</v>
      </c>
      <c r="F319" s="1">
        <f t="shared" si="42"/>
        <v>15575.148305084744</v>
      </c>
      <c r="G319" s="1"/>
      <c r="H319" s="1">
        <f t="shared" si="45"/>
        <v>0</v>
      </c>
      <c r="I319" s="1"/>
      <c r="J319" s="1"/>
      <c r="K319" s="1">
        <f t="shared" si="44"/>
        <v>15575.148305084744</v>
      </c>
      <c r="M319" s="77">
        <f>VLOOKUP(B319,[1]ბიუჯეტი!$B:$K,3,FALSE)</f>
        <v>15.103200000000001</v>
      </c>
      <c r="N319" s="77">
        <f>VLOOKUP($B319,[1]ბიუჯეტი!$B:$K,4,FALSE)</f>
        <v>59.322033898305087</v>
      </c>
      <c r="O319" s="77">
        <f>VLOOKUP($B319,[1]ბიუჯეტი!$B:$K,5,FALSE)</f>
        <v>895.95254237288145</v>
      </c>
      <c r="P319" s="77">
        <f>VLOOKUP($B319,[1]ბიუჯეტი!$B:$K,6,FALSE)</f>
        <v>0</v>
      </c>
      <c r="Q319" s="77">
        <f>VLOOKUP($B319,[1]ბიუჯეტი!$B:$K,7,FALSE)</f>
        <v>0</v>
      </c>
      <c r="R319" s="77">
        <f>VLOOKUP($B319,[1]ბიუჯეტი!$B:$K,8,FALSE)</f>
        <v>0</v>
      </c>
      <c r="S319" s="77">
        <f>VLOOKUP($B319,[1]ბიუჯეტი!$B:$K,9,FALSE)</f>
        <v>0</v>
      </c>
      <c r="T319" s="77">
        <f>VLOOKUP($B319,[1]ბიუჯეტი!$B:$K,10,FALSE)</f>
        <v>895.95254237288145</v>
      </c>
      <c r="V319" s="78">
        <f t="shared" ref="V319:V382" si="46">E319-N319</f>
        <v>0</v>
      </c>
      <c r="W319" s="78">
        <f t="shared" ref="W319:W382" si="47">G319-P319</f>
        <v>0</v>
      </c>
      <c r="X319" s="78">
        <f t="shared" ref="X319:X382" si="48">I319-R319</f>
        <v>0</v>
      </c>
      <c r="Y319" s="78">
        <f t="shared" ref="Y319:Y382" si="49">D319-M319</f>
        <v>247.44929999999994</v>
      </c>
    </row>
    <row r="320" spans="1:25" hidden="1" outlineLevel="1" x14ac:dyDescent="0.35">
      <c r="A320" s="51"/>
      <c r="B320" s="3" t="s">
        <v>388</v>
      </c>
      <c r="C320" s="4" t="s">
        <v>193</v>
      </c>
      <c r="D320" s="1">
        <f>D318</f>
        <v>2500.4999999999995</v>
      </c>
      <c r="E320" s="1">
        <f>SUMIFS(მასალა!D3:D299,მასალა!B3:B299,ბიუჯეტი!B320)</f>
        <v>1.6949152542372883</v>
      </c>
      <c r="F320" s="1">
        <f>D320*E320</f>
        <v>4238.1355932203387</v>
      </c>
      <c r="G320" s="1"/>
      <c r="H320" s="1">
        <f>D320*G320</f>
        <v>0</v>
      </c>
      <c r="I320" s="1"/>
      <c r="J320" s="1"/>
      <c r="K320" s="1">
        <f t="shared" si="44"/>
        <v>4238.1355932203387</v>
      </c>
      <c r="M320" s="77">
        <f>VLOOKUP(B320,[1]ბიუჯეტი!$B:$K,3,FALSE)</f>
        <v>179.8</v>
      </c>
      <c r="N320" s="77">
        <f>VLOOKUP($B320,[1]ბიუჯეტი!$B:$K,4,FALSE)</f>
        <v>1.6949152542372883</v>
      </c>
      <c r="O320" s="77">
        <f>VLOOKUP($B320,[1]ბიუჯეტი!$B:$K,5,FALSE)</f>
        <v>304.74576271186447</v>
      </c>
      <c r="P320" s="77">
        <f>VLOOKUP($B320,[1]ბიუჯეტი!$B:$K,6,FALSE)</f>
        <v>0</v>
      </c>
      <c r="Q320" s="77">
        <f>VLOOKUP($B320,[1]ბიუჯეტი!$B:$K,7,FALSE)</f>
        <v>0</v>
      </c>
      <c r="R320" s="77">
        <f>VLOOKUP($B320,[1]ბიუჯეტი!$B:$K,8,FALSE)</f>
        <v>0</v>
      </c>
      <c r="S320" s="77">
        <f>VLOOKUP($B320,[1]ბიუჯეტი!$B:$K,9,FALSE)</f>
        <v>0</v>
      </c>
      <c r="T320" s="77">
        <f>VLOOKUP($B320,[1]ბიუჯეტი!$B:$K,10,FALSE)</f>
        <v>304.74576271186447</v>
      </c>
      <c r="V320" s="78">
        <f t="shared" si="46"/>
        <v>0</v>
      </c>
      <c r="W320" s="78">
        <f t="shared" si="47"/>
        <v>0</v>
      </c>
      <c r="X320" s="78">
        <f t="shared" si="48"/>
        <v>0</v>
      </c>
      <c r="Y320" s="78">
        <f t="shared" si="49"/>
        <v>2320.6999999999994</v>
      </c>
    </row>
    <row r="321" spans="1:25" hidden="1" outlineLevel="1" x14ac:dyDescent="0.35">
      <c r="A321" s="51"/>
      <c r="B321" s="3" t="s">
        <v>91</v>
      </c>
      <c r="C321" s="4" t="s">
        <v>12</v>
      </c>
      <c r="D321" s="1">
        <f>D318*0.04/3*1.05</f>
        <v>35.006999999999998</v>
      </c>
      <c r="E321" s="1">
        <f>მასალა!D31</f>
        <v>304.00000000000006</v>
      </c>
      <c r="F321" s="1">
        <f t="shared" si="42"/>
        <v>10642.128000000001</v>
      </c>
      <c r="G321" s="1"/>
      <c r="H321" s="1">
        <f t="shared" si="45"/>
        <v>0</v>
      </c>
      <c r="I321" s="1"/>
      <c r="J321" s="1"/>
      <c r="K321" s="1">
        <f t="shared" si="44"/>
        <v>10642.128000000001</v>
      </c>
      <c r="M321" s="77">
        <f>VLOOKUP(B321,[1]ბიუჯეტი!$B:$K,3,FALSE)</f>
        <v>2.5172000000000003</v>
      </c>
      <c r="N321" s="77">
        <f>VLOOKUP($B321,[1]ბიუჯეტი!$B:$K,4,FALSE)</f>
        <v>303.98305084745766</v>
      </c>
      <c r="O321" s="77">
        <f>VLOOKUP($B321,[1]ბიუჯეტი!$B:$K,5,FALSE)</f>
        <v>765.18613559322057</v>
      </c>
      <c r="P321" s="77">
        <f>VLOOKUP($B321,[1]ბიუჯეტი!$B:$K,6,FALSE)</f>
        <v>0</v>
      </c>
      <c r="Q321" s="77">
        <f>VLOOKUP($B321,[1]ბიუჯეტი!$B:$K,7,FALSE)</f>
        <v>0</v>
      </c>
      <c r="R321" s="77">
        <f>VLOOKUP($B321,[1]ბიუჯეტი!$B:$K,8,FALSE)</f>
        <v>0</v>
      </c>
      <c r="S321" s="77">
        <f>VLOOKUP($B321,[1]ბიუჯეტი!$B:$K,9,FALSE)</f>
        <v>0</v>
      </c>
      <c r="T321" s="77">
        <f>VLOOKUP($B321,[1]ბიუჯეტი!$B:$K,10,FALSE)</f>
        <v>765.18613559322057</v>
      </c>
      <c r="V321" s="78">
        <f t="shared" si="46"/>
        <v>1.6949152542395041E-2</v>
      </c>
      <c r="W321" s="78">
        <f t="shared" si="47"/>
        <v>0</v>
      </c>
      <c r="X321" s="78">
        <f t="shared" si="48"/>
        <v>0</v>
      </c>
      <c r="Y321" s="78">
        <f t="shared" si="49"/>
        <v>32.489799999999995</v>
      </c>
    </row>
    <row r="322" spans="1:25" collapsed="1" x14ac:dyDescent="0.35">
      <c r="A322" s="51">
        <v>23</v>
      </c>
      <c r="B322" s="23" t="s">
        <v>93</v>
      </c>
      <c r="C322" s="4" t="s">
        <v>10</v>
      </c>
      <c r="D322" s="1">
        <f>SUM(D335,D323)</f>
        <v>4173.4737000000005</v>
      </c>
      <c r="E322" s="1">
        <f>SUM(F323:F346)/D322</f>
        <v>24.218883812633432</v>
      </c>
      <c r="F322" s="1">
        <f t="shared" si="42"/>
        <v>101076.87463538136</v>
      </c>
      <c r="G322" s="1">
        <f>SUM(H323:H346)/D322</f>
        <v>15.299999999999999</v>
      </c>
      <c r="H322" s="1">
        <f>G322*D322</f>
        <v>63854.14761</v>
      </c>
      <c r="I322" s="1">
        <v>0</v>
      </c>
      <c r="J322" s="1">
        <v>0</v>
      </c>
      <c r="K322" s="1">
        <f t="shared" si="44"/>
        <v>164931.02224538138</v>
      </c>
      <c r="M322" s="77">
        <f>VLOOKUP(B322,[1]ბიუჯეტი!$B:$K,3,FALSE)</f>
        <v>4361.3856000000005</v>
      </c>
      <c r="N322" s="77">
        <f>VLOOKUP($B322,[1]ბიუჯეტი!$B:$K,4,FALSE)</f>
        <v>24.425786742199929</v>
      </c>
      <c r="O322" s="77">
        <f>VLOOKUP($B322,[1]ბიუჯეტი!$B:$K,5,FALSE)</f>
        <v>106530.2745661017</v>
      </c>
      <c r="P322" s="77">
        <f>VLOOKUP($B322,[1]ბიუჯეტი!$B:$K,6,FALSE)</f>
        <v>15.299999999999999</v>
      </c>
      <c r="Q322" s="77">
        <f>VLOOKUP($B322,[1]ბიუჯეტი!$B:$K,7,FALSE)</f>
        <v>66729.199680000005</v>
      </c>
      <c r="R322" s="77">
        <f>VLOOKUP($B322,[1]ბიუჯეტი!$B:$K,8,FALSE)</f>
        <v>0</v>
      </c>
      <c r="S322" s="77">
        <f>VLOOKUP($B322,[1]ბიუჯეტი!$B:$K,9,FALSE)</f>
        <v>0</v>
      </c>
      <c r="T322" s="77">
        <f>VLOOKUP($B322,[1]ბიუჯეტი!$B:$K,10,FALSE)</f>
        <v>173259.47424610169</v>
      </c>
      <c r="V322" s="78">
        <f t="shared" si="46"/>
        <v>-0.20690292956649614</v>
      </c>
      <c r="W322" s="78">
        <f t="shared" si="47"/>
        <v>0</v>
      </c>
      <c r="X322" s="78">
        <f t="shared" si="48"/>
        <v>0</v>
      </c>
      <c r="Y322" s="78">
        <f t="shared" si="49"/>
        <v>-187.91190000000006</v>
      </c>
    </row>
    <row r="323" spans="1:25" hidden="1" outlineLevel="1" x14ac:dyDescent="0.35">
      <c r="A323" s="51">
        <v>1</v>
      </c>
      <c r="B323" s="23" t="s">
        <v>94</v>
      </c>
      <c r="C323" s="4" t="s">
        <v>10</v>
      </c>
      <c r="D323" s="1">
        <f>სამუშაო!D96</f>
        <v>1038.6684000000002</v>
      </c>
      <c r="E323" s="1"/>
      <c r="F323" s="1">
        <f t="shared" si="42"/>
        <v>0</v>
      </c>
      <c r="G323" s="1">
        <f>ხელფასი!D18</f>
        <v>15.299999999999999</v>
      </c>
      <c r="H323" s="1">
        <f t="shared" ref="H323:H346" si="50">D323*G323</f>
        <v>15891.626520000003</v>
      </c>
      <c r="I323" s="1"/>
      <c r="J323" s="1"/>
      <c r="K323" s="1">
        <f t="shared" si="44"/>
        <v>15891.626520000003</v>
      </c>
      <c r="M323" s="77">
        <f>VLOOKUP(B323,[1]ბიუჯეტი!$B:$K,3,FALSE)</f>
        <v>1090.3464000000001</v>
      </c>
      <c r="N323" s="77">
        <f>VLOOKUP($B323,[1]ბიუჯეტი!$B:$K,4,FALSE)</f>
        <v>0</v>
      </c>
      <c r="O323" s="77">
        <f>VLOOKUP($B323,[1]ბიუჯეტი!$B:$K,5,FALSE)</f>
        <v>0</v>
      </c>
      <c r="P323" s="77">
        <f>VLOOKUP($B323,[1]ბიუჯეტი!$B:$K,6,FALSE)</f>
        <v>15.299999999999999</v>
      </c>
      <c r="Q323" s="77">
        <f>VLOOKUP($B323,[1]ბიუჯეტი!$B:$K,7,FALSE)</f>
        <v>16682.299920000001</v>
      </c>
      <c r="R323" s="77">
        <f>VLOOKUP($B323,[1]ბიუჯეტი!$B:$K,8,FALSE)</f>
        <v>0</v>
      </c>
      <c r="S323" s="77">
        <f>VLOOKUP($B323,[1]ბიუჯეტი!$B:$K,9,FALSE)</f>
        <v>0</v>
      </c>
      <c r="T323" s="77">
        <f>VLOOKUP($B323,[1]ბიუჯეტი!$B:$K,10,FALSE)</f>
        <v>16682.299920000001</v>
      </c>
      <c r="V323" s="78">
        <f t="shared" si="46"/>
        <v>0</v>
      </c>
      <c r="W323" s="78">
        <f t="shared" si="47"/>
        <v>0</v>
      </c>
      <c r="X323" s="78">
        <f t="shared" si="48"/>
        <v>0</v>
      </c>
      <c r="Y323" s="78">
        <f t="shared" si="49"/>
        <v>-51.677999999999884</v>
      </c>
    </row>
    <row r="324" spans="1:25" hidden="1" outlineLevel="1" x14ac:dyDescent="0.35">
      <c r="A324" s="51">
        <v>1</v>
      </c>
      <c r="B324" s="23" t="s">
        <v>94</v>
      </c>
      <c r="C324" s="4" t="s">
        <v>10</v>
      </c>
      <c r="D324" s="1">
        <f>D323-D91</f>
        <v>1024.2684000000002</v>
      </c>
      <c r="E324" s="1"/>
      <c r="F324" s="1">
        <f t="shared" si="42"/>
        <v>0</v>
      </c>
      <c r="G324" s="1">
        <v>0</v>
      </c>
      <c r="H324" s="1">
        <f t="shared" si="50"/>
        <v>0</v>
      </c>
      <c r="I324" s="1"/>
      <c r="J324" s="1"/>
      <c r="K324" s="1">
        <f t="shared" si="44"/>
        <v>0</v>
      </c>
      <c r="M324" s="77">
        <f>VLOOKUP(B324,[1]ბიუჯეტი!$B:$K,3,FALSE)</f>
        <v>1090.3464000000001</v>
      </c>
      <c r="N324" s="77">
        <f>VLOOKUP($B324,[1]ბიუჯეტი!$B:$K,4,FALSE)</f>
        <v>0</v>
      </c>
      <c r="O324" s="77">
        <f>VLOOKUP($B324,[1]ბიუჯეტი!$B:$K,5,FALSE)</f>
        <v>0</v>
      </c>
      <c r="P324" s="77">
        <f>VLOOKUP($B324,[1]ბიუჯეტი!$B:$K,6,FALSE)</f>
        <v>15.299999999999999</v>
      </c>
      <c r="Q324" s="77">
        <f>VLOOKUP($B324,[1]ბიუჯეტი!$B:$K,7,FALSE)</f>
        <v>16682.299920000001</v>
      </c>
      <c r="R324" s="77">
        <f>VLOOKUP($B324,[1]ბიუჯეტი!$B:$K,8,FALSE)</f>
        <v>0</v>
      </c>
      <c r="S324" s="77">
        <f>VLOOKUP($B324,[1]ბიუჯეტი!$B:$K,9,FALSE)</f>
        <v>0</v>
      </c>
      <c r="T324" s="77">
        <f>VLOOKUP($B324,[1]ბიუჯეტი!$B:$K,10,FALSE)</f>
        <v>16682.299920000001</v>
      </c>
      <c r="V324" s="78">
        <f t="shared" si="46"/>
        <v>0</v>
      </c>
      <c r="W324" s="78">
        <f t="shared" si="47"/>
        <v>-15.299999999999999</v>
      </c>
      <c r="X324" s="78">
        <f t="shared" si="48"/>
        <v>0</v>
      </c>
      <c r="Y324" s="78">
        <f t="shared" si="49"/>
        <v>-66.077999999999975</v>
      </c>
    </row>
    <row r="325" spans="1:25" hidden="1" outlineLevel="1" x14ac:dyDescent="0.35">
      <c r="A325" s="51"/>
      <c r="B325" s="3" t="s">
        <v>95</v>
      </c>
      <c r="C325" s="4" t="s">
        <v>49</v>
      </c>
      <c r="D325" s="1">
        <f>D324*2/3*1.05</f>
        <v>716.98788000000013</v>
      </c>
      <c r="E325" s="1">
        <f>SUMIFS(მასალა!D1:D304,მასალა!B1:B304,ბიუჯეტი!B325)</f>
        <v>12.627118644067798</v>
      </c>
      <c r="F325" s="1">
        <f t="shared" si="42"/>
        <v>9053.4910271186473</v>
      </c>
      <c r="G325" s="1"/>
      <c r="H325" s="1">
        <f t="shared" si="50"/>
        <v>0</v>
      </c>
      <c r="I325" s="1"/>
      <c r="J325" s="1"/>
      <c r="K325" s="1">
        <f t="shared" si="44"/>
        <v>9053.4910271186473</v>
      </c>
      <c r="M325" s="77">
        <f>VLOOKUP(B325,[1]ბიუჯეტი!$B:$K,3,FALSE)</f>
        <v>751.14648000000022</v>
      </c>
      <c r="N325" s="77">
        <f>VLOOKUP($B325,[1]ბიუჯეტი!$B:$K,4,FALSE)</f>
        <v>12.627118644067798</v>
      </c>
      <c r="O325" s="77">
        <f>VLOOKUP($B325,[1]ბიუჯეტი!$B:$K,5,FALSE)</f>
        <v>9484.8157220339017</v>
      </c>
      <c r="P325" s="77">
        <f>VLOOKUP($B325,[1]ბიუჯეტი!$B:$K,6,FALSE)</f>
        <v>0</v>
      </c>
      <c r="Q325" s="77">
        <f>VLOOKUP($B325,[1]ბიუჯეტი!$B:$K,7,FALSE)</f>
        <v>0</v>
      </c>
      <c r="R325" s="77">
        <f>VLOOKUP($B325,[1]ბიუჯეტი!$B:$K,8,FALSE)</f>
        <v>0</v>
      </c>
      <c r="S325" s="77">
        <f>VLOOKUP($B325,[1]ბიუჯეტი!$B:$K,9,FALSE)</f>
        <v>0</v>
      </c>
      <c r="T325" s="77">
        <f>VLOOKUP($B325,[1]ბიუჯეტი!$B:$K,10,FALSE)</f>
        <v>9484.8157220339017</v>
      </c>
      <c r="V325" s="78">
        <f t="shared" si="46"/>
        <v>0</v>
      </c>
      <c r="W325" s="78">
        <f t="shared" si="47"/>
        <v>0</v>
      </c>
      <c r="X325" s="78">
        <f t="shared" si="48"/>
        <v>0</v>
      </c>
      <c r="Y325" s="78">
        <f t="shared" si="49"/>
        <v>-34.158600000000092</v>
      </c>
    </row>
    <row r="326" spans="1:25" hidden="1" outlineLevel="1" x14ac:dyDescent="0.35">
      <c r="A326" s="51"/>
      <c r="B326" s="3" t="s">
        <v>96</v>
      </c>
      <c r="C326" s="4" t="s">
        <v>49</v>
      </c>
      <c r="D326" s="1">
        <f>D324*2/3*1.05</f>
        <v>716.98788000000013</v>
      </c>
      <c r="E326" s="1">
        <f>SUMIFS(მასალა!D2:D305,მასალა!B2:B305,ბიუჯეტი!B326)</f>
        <v>9.4067796610169498</v>
      </c>
      <c r="F326" s="1">
        <f t="shared" si="42"/>
        <v>6744.5470067796632</v>
      </c>
      <c r="G326" s="1"/>
      <c r="H326" s="1">
        <f t="shared" si="50"/>
        <v>0</v>
      </c>
      <c r="I326" s="1"/>
      <c r="J326" s="1"/>
      <c r="K326" s="1">
        <f t="shared" si="44"/>
        <v>6744.5470067796632</v>
      </c>
      <c r="M326" s="77">
        <f>VLOOKUP(B326,[1]ბიუჯეტი!$B:$K,3,FALSE)</f>
        <v>751.14648000000022</v>
      </c>
      <c r="N326" s="77">
        <f>VLOOKUP($B326,[1]ბიუჯეტი!$B:$K,4,FALSE)</f>
        <v>9.4067796610169498</v>
      </c>
      <c r="O326" s="77">
        <f>VLOOKUP($B326,[1]ბიუჯეტი!$B:$K,5,FALSE)</f>
        <v>7065.8694305084773</v>
      </c>
      <c r="P326" s="77">
        <f>VLOOKUP($B326,[1]ბიუჯეტი!$B:$K,6,FALSE)</f>
        <v>0</v>
      </c>
      <c r="Q326" s="77">
        <f>VLOOKUP($B326,[1]ბიუჯეტი!$B:$K,7,FALSE)</f>
        <v>0</v>
      </c>
      <c r="R326" s="77">
        <f>VLOOKUP($B326,[1]ბიუჯეტი!$B:$K,8,FALSE)</f>
        <v>0</v>
      </c>
      <c r="S326" s="77">
        <f>VLOOKUP($B326,[1]ბიუჯეტი!$B:$K,9,FALSE)</f>
        <v>0</v>
      </c>
      <c r="T326" s="77">
        <f>VLOOKUP($B326,[1]ბიუჯეტი!$B:$K,10,FALSE)</f>
        <v>7065.8694305084773</v>
      </c>
      <c r="V326" s="78">
        <f t="shared" si="46"/>
        <v>0</v>
      </c>
      <c r="W326" s="78">
        <f t="shared" si="47"/>
        <v>0</v>
      </c>
      <c r="X326" s="78">
        <f t="shared" si="48"/>
        <v>0</v>
      </c>
      <c r="Y326" s="78">
        <f t="shared" si="49"/>
        <v>-34.158600000000092</v>
      </c>
    </row>
    <row r="327" spans="1:25" hidden="1" outlineLevel="1" x14ac:dyDescent="0.35">
      <c r="A327" s="51"/>
      <c r="B327" s="3" t="s">
        <v>97</v>
      </c>
      <c r="C327" s="4" t="s">
        <v>49</v>
      </c>
      <c r="D327" s="1">
        <f>D324*1.4/3*1.05</f>
        <v>501.89151600000002</v>
      </c>
      <c r="E327" s="1">
        <f>SUMIFS(მასალა!D3:D306,მასალა!B3:B306,ბიუჯეტი!B327)</f>
        <v>6.9491525423728815</v>
      </c>
      <c r="F327" s="1">
        <f t="shared" si="42"/>
        <v>3487.72070440678</v>
      </c>
      <c r="G327" s="1"/>
      <c r="H327" s="1">
        <f t="shared" si="50"/>
        <v>0</v>
      </c>
      <c r="I327" s="1"/>
      <c r="J327" s="1"/>
      <c r="K327" s="1">
        <f t="shared" si="44"/>
        <v>3487.72070440678</v>
      </c>
      <c r="M327" s="77">
        <f>VLOOKUP(B327,[1]ბიუჯეტი!$B:$K,3,FALSE)</f>
        <v>525.80253600000003</v>
      </c>
      <c r="N327" s="77">
        <f>VLOOKUP($B327,[1]ბიუჯეტი!$B:$K,4,FALSE)</f>
        <v>6.9491525423728815</v>
      </c>
      <c r="O327" s="77">
        <f>VLOOKUP($B327,[1]ბიუჯეტი!$B:$K,5,FALSE)</f>
        <v>3653.8820298305086</v>
      </c>
      <c r="P327" s="77">
        <f>VLOOKUP($B327,[1]ბიუჯეტი!$B:$K,6,FALSE)</f>
        <v>0</v>
      </c>
      <c r="Q327" s="77">
        <f>VLOOKUP($B327,[1]ბიუჯეტი!$B:$K,7,FALSE)</f>
        <v>0</v>
      </c>
      <c r="R327" s="77">
        <f>VLOOKUP($B327,[1]ბიუჯეტი!$B:$K,8,FALSE)</f>
        <v>0</v>
      </c>
      <c r="S327" s="77">
        <f>VLOOKUP($B327,[1]ბიუჯეტი!$B:$K,9,FALSE)</f>
        <v>0</v>
      </c>
      <c r="T327" s="77">
        <f>VLOOKUP($B327,[1]ბიუჯეტი!$B:$K,10,FALSE)</f>
        <v>3653.8820298305086</v>
      </c>
      <c r="V327" s="78">
        <f t="shared" si="46"/>
        <v>0</v>
      </c>
      <c r="W327" s="78">
        <f t="shared" si="47"/>
        <v>0</v>
      </c>
      <c r="X327" s="78">
        <f t="shared" si="48"/>
        <v>0</v>
      </c>
      <c r="Y327" s="78">
        <f t="shared" si="49"/>
        <v>-23.911020000000008</v>
      </c>
    </row>
    <row r="328" spans="1:25" hidden="1" outlineLevel="1" x14ac:dyDescent="0.35">
      <c r="A328" s="51"/>
      <c r="B328" s="3" t="s">
        <v>98</v>
      </c>
      <c r="C328" s="4" t="s">
        <v>10</v>
      </c>
      <c r="D328" s="1">
        <f>D324*1.02</f>
        <v>1044.7537680000003</v>
      </c>
      <c r="E328" s="1">
        <f>SUMIFS(მასალა!D4:D307,მასალა!B4:B307,ბიუჯეტი!B328)</f>
        <v>2.4576271186440679</v>
      </c>
      <c r="F328" s="1">
        <f t="shared" si="42"/>
        <v>2567.6151925423737</v>
      </c>
      <c r="G328" s="1"/>
      <c r="H328" s="1">
        <f t="shared" si="50"/>
        <v>0</v>
      </c>
      <c r="I328" s="1"/>
      <c r="J328" s="1"/>
      <c r="K328" s="1">
        <f t="shared" si="44"/>
        <v>2567.6151925423737</v>
      </c>
      <c r="M328" s="77">
        <f>VLOOKUP(B328,[1]ბიუჯეტი!$B:$K,3,FALSE)</f>
        <v>1094.5277280000003</v>
      </c>
      <c r="N328" s="77">
        <f>VLOOKUP($B328,[1]ბიუჯეტი!$B:$K,4,FALSE)</f>
        <v>2.4576271186440679</v>
      </c>
      <c r="O328" s="77">
        <f>VLOOKUP($B328,[1]ბიუჯეტი!$B:$K,5,FALSE)</f>
        <v>2689.9410264406788</v>
      </c>
      <c r="P328" s="77">
        <f>VLOOKUP($B328,[1]ბიუჯეტი!$B:$K,6,FALSE)</f>
        <v>0</v>
      </c>
      <c r="Q328" s="77">
        <f>VLOOKUP($B328,[1]ბიუჯეტი!$B:$K,7,FALSE)</f>
        <v>0</v>
      </c>
      <c r="R328" s="77">
        <f>VLOOKUP($B328,[1]ბიუჯეტი!$B:$K,8,FALSE)</f>
        <v>0</v>
      </c>
      <c r="S328" s="77">
        <f>VLOOKUP($B328,[1]ბიუჯეტი!$B:$K,9,FALSE)</f>
        <v>0</v>
      </c>
      <c r="T328" s="77">
        <f>VLOOKUP($B328,[1]ბიუჯეტი!$B:$K,10,FALSE)</f>
        <v>2689.9410264406788</v>
      </c>
      <c r="V328" s="78">
        <f t="shared" si="46"/>
        <v>0</v>
      </c>
      <c r="W328" s="78">
        <f t="shared" si="47"/>
        <v>0</v>
      </c>
      <c r="X328" s="78">
        <f t="shared" si="48"/>
        <v>0</v>
      </c>
      <c r="Y328" s="78">
        <f t="shared" si="49"/>
        <v>-49.773959999999988</v>
      </c>
    </row>
    <row r="329" spans="1:25" hidden="1" outlineLevel="1" x14ac:dyDescent="0.35">
      <c r="A329" s="51"/>
      <c r="B329" s="3" t="s">
        <v>99</v>
      </c>
      <c r="C329" s="4" t="s">
        <v>49</v>
      </c>
      <c r="D329" s="1">
        <f>D324*2.5</f>
        <v>2560.6710000000003</v>
      </c>
      <c r="E329" s="1">
        <f>SUMIFS(მასალა!D5:D308,მასალა!B5:B308,ბიუჯეტი!B329)</f>
        <v>0.81355932203389836</v>
      </c>
      <c r="F329" s="1">
        <f>E329*D329</f>
        <v>2083.2577627118649</v>
      </c>
      <c r="G329" s="1"/>
      <c r="H329" s="1">
        <f t="shared" si="50"/>
        <v>0</v>
      </c>
      <c r="I329" s="1"/>
      <c r="J329" s="1"/>
      <c r="K329" s="1">
        <f t="shared" si="44"/>
        <v>2083.2577627118649</v>
      </c>
      <c r="M329" s="77">
        <f>VLOOKUP(B329,[1]ბიუჯეტი!$B:$K,3,FALSE)</f>
        <v>2682.6660000000002</v>
      </c>
      <c r="N329" s="77">
        <f>VLOOKUP($B329,[1]ბიუჯეტი!$B:$K,4,FALSE)</f>
        <v>0.81355932203389836</v>
      </c>
      <c r="O329" s="77">
        <f>VLOOKUP($B329,[1]ბიუჯეტი!$B:$K,5,FALSE)</f>
        <v>2182.5079322033903</v>
      </c>
      <c r="P329" s="77">
        <f>VLOOKUP($B329,[1]ბიუჯეტი!$B:$K,6,FALSE)</f>
        <v>0</v>
      </c>
      <c r="Q329" s="77">
        <f>VLOOKUP($B329,[1]ბიუჯეტი!$B:$K,7,FALSE)</f>
        <v>0</v>
      </c>
      <c r="R329" s="77">
        <f>VLOOKUP($B329,[1]ბიუჯეტი!$B:$K,8,FALSE)</f>
        <v>0</v>
      </c>
      <c r="S329" s="77">
        <f>VLOOKUP($B329,[1]ბიუჯეტი!$B:$K,9,FALSE)</f>
        <v>0</v>
      </c>
      <c r="T329" s="77">
        <f>VLOOKUP($B329,[1]ბიუჯეტი!$B:$K,10,FALSE)</f>
        <v>2182.5079322033903</v>
      </c>
      <c r="V329" s="78">
        <f t="shared" si="46"/>
        <v>0</v>
      </c>
      <c r="W329" s="78">
        <f t="shared" si="47"/>
        <v>0</v>
      </c>
      <c r="X329" s="78">
        <f t="shared" si="48"/>
        <v>0</v>
      </c>
      <c r="Y329" s="78">
        <f t="shared" si="49"/>
        <v>-121.99499999999989</v>
      </c>
    </row>
    <row r="330" spans="1:25" hidden="1" outlineLevel="1" x14ac:dyDescent="0.35">
      <c r="A330" s="51"/>
      <c r="B330" s="3" t="s">
        <v>100</v>
      </c>
      <c r="C330" s="4" t="s">
        <v>49</v>
      </c>
      <c r="D330" s="1">
        <f>D324*7.6</f>
        <v>7784.4398400000009</v>
      </c>
      <c r="E330" s="1">
        <f>SUMIFS(მასალა!D6:D309,მასალა!B6:B309,ბიუჯეტი!B330)</f>
        <v>2.9661016949152547E-2</v>
      </c>
      <c r="F330" s="1">
        <f>E330*D330</f>
        <v>230.89440203389836</v>
      </c>
      <c r="G330" s="1"/>
      <c r="H330" s="1">
        <f t="shared" si="50"/>
        <v>0</v>
      </c>
      <c r="I330" s="1"/>
      <c r="J330" s="1"/>
      <c r="K330" s="1">
        <f t="shared" si="44"/>
        <v>230.89440203389836</v>
      </c>
      <c r="M330" s="77">
        <f>VLOOKUP(B330,[1]ბიუჯეტი!$B:$K,3,FALSE)</f>
        <v>8155.3046400000012</v>
      </c>
      <c r="N330" s="77">
        <f>VLOOKUP($B330,[1]ბიუჯეტი!$B:$K,4,FALSE)</f>
        <v>2.9661016949152547E-2</v>
      </c>
      <c r="O330" s="77">
        <f>VLOOKUP($B330,[1]ბიუჯეტი!$B:$K,5,FALSE)</f>
        <v>241.89462915254245</v>
      </c>
      <c r="P330" s="77">
        <f>VLOOKUP($B330,[1]ბიუჯეტი!$B:$K,6,FALSE)</f>
        <v>0</v>
      </c>
      <c r="Q330" s="77">
        <f>VLOOKUP($B330,[1]ბიუჯეტი!$B:$K,7,FALSE)</f>
        <v>0</v>
      </c>
      <c r="R330" s="77">
        <f>VLOOKUP($B330,[1]ბიუჯეტი!$B:$K,8,FALSE)</f>
        <v>0</v>
      </c>
      <c r="S330" s="77">
        <f>VLOOKUP($B330,[1]ბიუჯეტი!$B:$K,9,FALSE)</f>
        <v>0</v>
      </c>
      <c r="T330" s="77">
        <f>VLOOKUP($B330,[1]ბიუჯეტი!$B:$K,10,FALSE)</f>
        <v>241.89462915254245</v>
      </c>
      <c r="V330" s="78">
        <f t="shared" si="46"/>
        <v>0</v>
      </c>
      <c r="W330" s="78">
        <f t="shared" si="47"/>
        <v>0</v>
      </c>
      <c r="X330" s="78">
        <f t="shared" si="48"/>
        <v>0</v>
      </c>
      <c r="Y330" s="78">
        <f t="shared" si="49"/>
        <v>-370.86480000000029</v>
      </c>
    </row>
    <row r="331" spans="1:25" hidden="1" outlineLevel="1" x14ac:dyDescent="0.35">
      <c r="A331" s="51"/>
      <c r="B331" s="3" t="s">
        <v>101</v>
      </c>
      <c r="C331" s="4" t="s">
        <v>49</v>
      </c>
      <c r="D331" s="1">
        <f>D324*14.4</f>
        <v>14749.464960000003</v>
      </c>
      <c r="E331" s="1">
        <f>SUMIFS(მასალა!D7:D310,მასალა!B7:B310,ბიუჯეტი!B331)</f>
        <v>3.8135593220338986E-2</v>
      </c>
      <c r="F331" s="1">
        <f>E331*D331</f>
        <v>562.47959593220355</v>
      </c>
      <c r="G331" s="1"/>
      <c r="H331" s="1">
        <f t="shared" si="50"/>
        <v>0</v>
      </c>
      <c r="I331" s="1"/>
      <c r="J331" s="1"/>
      <c r="K331" s="1">
        <f t="shared" si="44"/>
        <v>562.47959593220355</v>
      </c>
      <c r="M331" s="77">
        <f>VLOOKUP(B331,[1]ბიუჯეტი!$B:$K,3,FALSE)</f>
        <v>15452.156160000002</v>
      </c>
      <c r="N331" s="77">
        <f>VLOOKUP($B331,[1]ბიუჯეტი!$B:$K,4,FALSE)</f>
        <v>3.8135593220338986E-2</v>
      </c>
      <c r="O331" s="77">
        <f>VLOOKUP($B331,[1]ბიუჯეტი!$B:$K,5,FALSE)</f>
        <v>589.27714169491537</v>
      </c>
      <c r="P331" s="77">
        <f>VLOOKUP($B331,[1]ბიუჯეტი!$B:$K,6,FALSE)</f>
        <v>0</v>
      </c>
      <c r="Q331" s="77">
        <f>VLOOKUP($B331,[1]ბიუჯეტი!$B:$K,7,FALSE)</f>
        <v>0</v>
      </c>
      <c r="R331" s="77">
        <f>VLOOKUP($B331,[1]ბიუჯეტი!$B:$K,8,FALSE)</f>
        <v>0</v>
      </c>
      <c r="S331" s="77">
        <f>VLOOKUP($B331,[1]ბიუჯეტი!$B:$K,9,FALSE)</f>
        <v>0</v>
      </c>
      <c r="T331" s="77">
        <f>VLOOKUP($B331,[1]ბიუჯეტი!$B:$K,10,FALSE)</f>
        <v>589.27714169491537</v>
      </c>
      <c r="V331" s="78">
        <f t="shared" si="46"/>
        <v>0</v>
      </c>
      <c r="W331" s="78">
        <f t="shared" si="47"/>
        <v>0</v>
      </c>
      <c r="X331" s="78">
        <f t="shared" si="48"/>
        <v>0</v>
      </c>
      <c r="Y331" s="78">
        <f t="shared" si="49"/>
        <v>-702.6911999999993</v>
      </c>
    </row>
    <row r="332" spans="1:25" hidden="1" outlineLevel="1" x14ac:dyDescent="0.35">
      <c r="A332" s="51"/>
      <c r="B332" s="3" t="s">
        <v>263</v>
      </c>
      <c r="C332" s="4" t="s">
        <v>49</v>
      </c>
      <c r="D332" s="1">
        <f>D329</f>
        <v>2560.6710000000003</v>
      </c>
      <c r="E332" s="1">
        <f>SUMIFS(მასალა!D8:D311,მასალა!B8:B311,ბიუჯეტი!B332)</f>
        <v>8.0508474576271194E-2</v>
      </c>
      <c r="F332" s="1">
        <f>E332*D332</f>
        <v>206.15571610169496</v>
      </c>
      <c r="G332" s="1"/>
      <c r="H332" s="1">
        <f t="shared" si="50"/>
        <v>0</v>
      </c>
      <c r="I332" s="1"/>
      <c r="J332" s="1"/>
      <c r="K332" s="1">
        <f t="shared" si="44"/>
        <v>206.15571610169496</v>
      </c>
      <c r="M332" s="77">
        <f>VLOOKUP(B332,[1]ბიუჯეტი!$B:$K,3,FALSE)</f>
        <v>2682.6660000000002</v>
      </c>
      <c r="N332" s="77">
        <f>VLOOKUP($B332,[1]ბიუჯეტი!$B:$K,4,FALSE)</f>
        <v>8.0508474576271194E-2</v>
      </c>
      <c r="O332" s="77">
        <f>VLOOKUP($B332,[1]ბიუჯეტი!$B:$K,5,FALSE)</f>
        <v>215.97734745762716</v>
      </c>
      <c r="P332" s="77">
        <f>VLOOKUP($B332,[1]ბიუჯეტი!$B:$K,6,FALSE)</f>
        <v>0</v>
      </c>
      <c r="Q332" s="77">
        <f>VLOOKUP($B332,[1]ბიუჯეტი!$B:$K,7,FALSE)</f>
        <v>0</v>
      </c>
      <c r="R332" s="77">
        <f>VLOOKUP($B332,[1]ბიუჯეტი!$B:$K,8,FALSE)</f>
        <v>0</v>
      </c>
      <c r="S332" s="77">
        <f>VLOOKUP($B332,[1]ბიუჯეტი!$B:$K,9,FALSE)</f>
        <v>0</v>
      </c>
      <c r="T332" s="77">
        <f>VLOOKUP($B332,[1]ბიუჯეტი!$B:$K,10,FALSE)</f>
        <v>215.97734745762716</v>
      </c>
      <c r="V332" s="78">
        <f t="shared" si="46"/>
        <v>0</v>
      </c>
      <c r="W332" s="78">
        <f t="shared" si="47"/>
        <v>0</v>
      </c>
      <c r="X332" s="78">
        <f t="shared" si="48"/>
        <v>0</v>
      </c>
      <c r="Y332" s="78">
        <f t="shared" si="49"/>
        <v>-121.99499999999989</v>
      </c>
    </row>
    <row r="333" spans="1:25" hidden="1" outlineLevel="1" x14ac:dyDescent="0.35">
      <c r="A333" s="51"/>
      <c r="B333" s="3" t="s">
        <v>321</v>
      </c>
      <c r="C333" s="4" t="s">
        <v>49</v>
      </c>
      <c r="D333" s="1">
        <f>D329*2</f>
        <v>5121.3420000000006</v>
      </c>
      <c r="E333" s="1">
        <f>SUMIFS(მასალა!D9:D312,მასალა!B9:B312,ბიუჯეტი!B333)</f>
        <v>3.2203389830508473E-2</v>
      </c>
      <c r="F333" s="1">
        <f>E333*D333</f>
        <v>164.92457288135594</v>
      </c>
      <c r="G333" s="1"/>
      <c r="H333" s="1">
        <f>D333*G333</f>
        <v>0</v>
      </c>
      <c r="I333" s="1"/>
      <c r="J333" s="1"/>
      <c r="K333" s="1">
        <f t="shared" si="44"/>
        <v>164.92457288135594</v>
      </c>
      <c r="M333" s="77">
        <f>VLOOKUP(B333,[1]ბიუჯეტი!$B:$K,3,FALSE)</f>
        <v>5365.3320000000003</v>
      </c>
      <c r="N333" s="77">
        <f>VLOOKUP($B333,[1]ბიუჯეტი!$B:$K,4,FALSE)</f>
        <v>3.2203389830508473E-2</v>
      </c>
      <c r="O333" s="77">
        <f>VLOOKUP($B333,[1]ბიუჯეტი!$B:$K,5,FALSE)</f>
        <v>172.78187796610169</v>
      </c>
      <c r="P333" s="77">
        <f>VLOOKUP($B333,[1]ბიუჯეტი!$B:$K,6,FALSE)</f>
        <v>0</v>
      </c>
      <c r="Q333" s="77">
        <f>VLOOKUP($B333,[1]ბიუჯეტი!$B:$K,7,FALSE)</f>
        <v>0</v>
      </c>
      <c r="R333" s="77">
        <f>VLOOKUP($B333,[1]ბიუჯეტი!$B:$K,8,FALSE)</f>
        <v>0</v>
      </c>
      <c r="S333" s="77">
        <f>VLOOKUP($B333,[1]ბიუჯეტი!$B:$K,9,FALSE)</f>
        <v>0</v>
      </c>
      <c r="T333" s="77">
        <f>VLOOKUP($B333,[1]ბიუჯეტი!$B:$K,10,FALSE)</f>
        <v>172.78187796610169</v>
      </c>
      <c r="V333" s="78">
        <f t="shared" si="46"/>
        <v>0</v>
      </c>
      <c r="W333" s="78">
        <f t="shared" si="47"/>
        <v>0</v>
      </c>
      <c r="X333" s="78">
        <f t="shared" si="48"/>
        <v>0</v>
      </c>
      <c r="Y333" s="78">
        <f t="shared" si="49"/>
        <v>-243.98999999999978</v>
      </c>
    </row>
    <row r="334" spans="1:25" hidden="1" outlineLevel="1" x14ac:dyDescent="0.35">
      <c r="A334" s="51"/>
      <c r="B334" s="3" t="s">
        <v>389</v>
      </c>
      <c r="C334" s="4" t="s">
        <v>10</v>
      </c>
      <c r="D334" s="1">
        <f>D324</f>
        <v>1024.2684000000002</v>
      </c>
      <c r="E334" s="1">
        <f>SUMIFS(მასალა!D10:D313,მასალა!B10:B313,ბიუჯეტი!B334)</f>
        <v>0.84745762711864414</v>
      </c>
      <c r="F334" s="1">
        <f>D334*E334</f>
        <v>868.02406779661032</v>
      </c>
      <c r="G334" s="1"/>
      <c r="H334" s="1">
        <f t="shared" si="50"/>
        <v>0</v>
      </c>
      <c r="I334" s="1"/>
      <c r="J334" s="1"/>
      <c r="K334" s="1">
        <f t="shared" si="44"/>
        <v>868.02406779661032</v>
      </c>
      <c r="M334" s="77">
        <f>VLOOKUP(B334,[1]ბიუჯეტი!$B:$K,3,FALSE)</f>
        <v>1073.0664000000002</v>
      </c>
      <c r="N334" s="77">
        <f>VLOOKUP($B334,[1]ბიუჯეტი!$B:$K,4,FALSE)</f>
        <v>0.84745762711864414</v>
      </c>
      <c r="O334" s="77">
        <f>VLOOKUP($B334,[1]ბიუჯეტი!$B:$K,5,FALSE)</f>
        <v>909.37830508474599</v>
      </c>
      <c r="P334" s="77">
        <f>VLOOKUP($B334,[1]ბიუჯეტი!$B:$K,6,FALSE)</f>
        <v>0</v>
      </c>
      <c r="Q334" s="77">
        <f>VLOOKUP($B334,[1]ბიუჯეტი!$B:$K,7,FALSE)</f>
        <v>0</v>
      </c>
      <c r="R334" s="77">
        <f>VLOOKUP($B334,[1]ბიუჯეტი!$B:$K,8,FALSE)</f>
        <v>0</v>
      </c>
      <c r="S334" s="77">
        <f>VLOOKUP($B334,[1]ბიუჯეტი!$B:$K,9,FALSE)</f>
        <v>0</v>
      </c>
      <c r="T334" s="77">
        <f>VLOOKUP($B334,[1]ბიუჯეტი!$B:$K,10,FALSE)</f>
        <v>909.37830508474599</v>
      </c>
      <c r="V334" s="78">
        <f t="shared" si="46"/>
        <v>0</v>
      </c>
      <c r="W334" s="78">
        <f t="shared" si="47"/>
        <v>0</v>
      </c>
      <c r="X334" s="78">
        <f t="shared" si="48"/>
        <v>0</v>
      </c>
      <c r="Y334" s="78">
        <f t="shared" si="49"/>
        <v>-48.798000000000002</v>
      </c>
    </row>
    <row r="335" spans="1:25" hidden="1" outlineLevel="1" x14ac:dyDescent="0.35">
      <c r="A335" s="51">
        <v>1</v>
      </c>
      <c r="B335" s="23" t="s">
        <v>178</v>
      </c>
      <c r="C335" s="4" t="s">
        <v>10</v>
      </c>
      <c r="D335" s="1">
        <f>სამუშაო!D97+სამუშაო!D98+სამუშაო!D99</f>
        <v>3134.8053</v>
      </c>
      <c r="E335" s="1"/>
      <c r="F335" s="1">
        <f t="shared" si="42"/>
        <v>0</v>
      </c>
      <c r="G335" s="1">
        <f>ხელფასი!D18</f>
        <v>15.299999999999999</v>
      </c>
      <c r="H335" s="1">
        <f t="shared" si="50"/>
        <v>47962.521089999995</v>
      </c>
      <c r="I335" s="1"/>
      <c r="J335" s="1"/>
      <c r="K335" s="1">
        <f t="shared" si="44"/>
        <v>47962.521089999995</v>
      </c>
      <c r="M335" s="77">
        <f>VLOOKUP(B335,[1]ბიუჯეტი!$B:$K,3,FALSE)</f>
        <v>3271.0392000000002</v>
      </c>
      <c r="N335" s="77">
        <f>VLOOKUP($B335,[1]ბიუჯეტი!$B:$K,4,FALSE)</f>
        <v>0</v>
      </c>
      <c r="O335" s="77">
        <f>VLOOKUP($B335,[1]ბიუჯეტი!$B:$K,5,FALSE)</f>
        <v>0</v>
      </c>
      <c r="P335" s="77">
        <f>VLOOKUP($B335,[1]ბიუჯეტი!$B:$K,6,FALSE)</f>
        <v>15.299999999999999</v>
      </c>
      <c r="Q335" s="77">
        <f>VLOOKUP($B335,[1]ბიუჯეტი!$B:$K,7,FALSE)</f>
        <v>50046.89976</v>
      </c>
      <c r="R335" s="77">
        <f>VLOOKUP($B335,[1]ბიუჯეტი!$B:$K,8,FALSE)</f>
        <v>0</v>
      </c>
      <c r="S335" s="77">
        <f>VLOOKUP($B335,[1]ბიუჯეტი!$B:$K,9,FALSE)</f>
        <v>0</v>
      </c>
      <c r="T335" s="77">
        <f>VLOOKUP($B335,[1]ბიუჯეტი!$B:$K,10,FALSE)</f>
        <v>50046.89976</v>
      </c>
      <c r="V335" s="78">
        <f t="shared" si="46"/>
        <v>0</v>
      </c>
      <c r="W335" s="78">
        <f t="shared" si="47"/>
        <v>0</v>
      </c>
      <c r="X335" s="78">
        <f t="shared" si="48"/>
        <v>0</v>
      </c>
      <c r="Y335" s="78">
        <f t="shared" si="49"/>
        <v>-136.23390000000018</v>
      </c>
    </row>
    <row r="336" spans="1:25" hidden="1" outlineLevel="1" x14ac:dyDescent="0.35">
      <c r="A336" s="51">
        <v>1</v>
      </c>
      <c r="B336" s="23" t="s">
        <v>178</v>
      </c>
      <c r="C336" s="4" t="s">
        <v>10</v>
      </c>
      <c r="D336" s="1">
        <f>D335-D92-D372*2.2</f>
        <v>2962.3852999999999</v>
      </c>
      <c r="E336" s="1"/>
      <c r="F336" s="1">
        <f t="shared" si="42"/>
        <v>0</v>
      </c>
      <c r="G336" s="1">
        <v>0</v>
      </c>
      <c r="H336" s="1">
        <f t="shared" si="50"/>
        <v>0</v>
      </c>
      <c r="I336" s="1"/>
      <c r="J336" s="1"/>
      <c r="K336" s="1">
        <f t="shared" si="44"/>
        <v>0</v>
      </c>
      <c r="M336" s="77">
        <f>VLOOKUP(B336,[1]ბიუჯეტი!$B:$K,3,FALSE)</f>
        <v>3271.0392000000002</v>
      </c>
      <c r="N336" s="77">
        <f>VLOOKUP($B336,[1]ბიუჯეტი!$B:$K,4,FALSE)</f>
        <v>0</v>
      </c>
      <c r="O336" s="77">
        <f>VLOOKUP($B336,[1]ბიუჯეტი!$B:$K,5,FALSE)</f>
        <v>0</v>
      </c>
      <c r="P336" s="77">
        <f>VLOOKUP($B336,[1]ბიუჯეტი!$B:$K,6,FALSE)</f>
        <v>15.299999999999999</v>
      </c>
      <c r="Q336" s="77">
        <f>VLOOKUP($B336,[1]ბიუჯეტი!$B:$K,7,FALSE)</f>
        <v>50046.89976</v>
      </c>
      <c r="R336" s="77">
        <f>VLOOKUP($B336,[1]ბიუჯეტი!$B:$K,8,FALSE)</f>
        <v>0</v>
      </c>
      <c r="S336" s="77">
        <f>VLOOKUP($B336,[1]ბიუჯეტი!$B:$K,9,FALSE)</f>
        <v>0</v>
      </c>
      <c r="T336" s="77">
        <f>VLOOKUP($B336,[1]ბიუჯეტი!$B:$K,10,FALSE)</f>
        <v>50046.89976</v>
      </c>
      <c r="V336" s="78">
        <f t="shared" si="46"/>
        <v>0</v>
      </c>
      <c r="W336" s="78">
        <f t="shared" si="47"/>
        <v>-15.299999999999999</v>
      </c>
      <c r="X336" s="78">
        <f t="shared" si="48"/>
        <v>0</v>
      </c>
      <c r="Y336" s="78">
        <f t="shared" si="49"/>
        <v>-308.65390000000025</v>
      </c>
    </row>
    <row r="337" spans="1:25" hidden="1" outlineLevel="1" x14ac:dyDescent="0.35">
      <c r="A337" s="51"/>
      <c r="B337" s="3" t="s">
        <v>95</v>
      </c>
      <c r="C337" s="4" t="s">
        <v>49</v>
      </c>
      <c r="D337" s="1">
        <f>D336*2/3*1.05</f>
        <v>2073.6697100000001</v>
      </c>
      <c r="E337" s="1">
        <f>SUMIFS(მასალა!D1:D316,მასალა!B1:B316,ბიუჯეტი!B337)</f>
        <v>12.627118644067798</v>
      </c>
      <c r="F337" s="1">
        <f t="shared" si="42"/>
        <v>26184.473456779666</v>
      </c>
      <c r="G337" s="1"/>
      <c r="H337" s="1">
        <f t="shared" si="50"/>
        <v>0</v>
      </c>
      <c r="I337" s="1"/>
      <c r="J337" s="1"/>
      <c r="K337" s="1">
        <f t="shared" si="44"/>
        <v>26184.473456779666</v>
      </c>
      <c r="M337" s="77">
        <f>VLOOKUP(B337,[1]ბიუჯეტი!$B:$K,3,FALSE)</f>
        <v>751.14648000000022</v>
      </c>
      <c r="N337" s="77">
        <f>VLOOKUP($B337,[1]ბიუჯეტი!$B:$K,4,FALSE)</f>
        <v>12.627118644067798</v>
      </c>
      <c r="O337" s="77">
        <f>VLOOKUP($B337,[1]ბიუჯეტი!$B:$K,5,FALSE)</f>
        <v>9484.8157220339017</v>
      </c>
      <c r="P337" s="77">
        <f>VLOOKUP($B337,[1]ბიუჯეტი!$B:$K,6,FALSE)</f>
        <v>0</v>
      </c>
      <c r="Q337" s="77">
        <f>VLOOKUP($B337,[1]ბიუჯეტი!$B:$K,7,FALSE)</f>
        <v>0</v>
      </c>
      <c r="R337" s="77">
        <f>VLOOKUP($B337,[1]ბიუჯეტი!$B:$K,8,FALSE)</f>
        <v>0</v>
      </c>
      <c r="S337" s="77">
        <f>VLOOKUP($B337,[1]ბიუჯეტი!$B:$K,9,FALSE)</f>
        <v>0</v>
      </c>
      <c r="T337" s="77">
        <f>VLOOKUP($B337,[1]ბიუჯეტი!$B:$K,10,FALSE)</f>
        <v>9484.8157220339017</v>
      </c>
      <c r="V337" s="78">
        <f t="shared" si="46"/>
        <v>0</v>
      </c>
      <c r="W337" s="78">
        <f t="shared" si="47"/>
        <v>0</v>
      </c>
      <c r="X337" s="78">
        <f t="shared" si="48"/>
        <v>0</v>
      </c>
      <c r="Y337" s="78">
        <f t="shared" si="49"/>
        <v>1322.5232299999998</v>
      </c>
    </row>
    <row r="338" spans="1:25" hidden="1" outlineLevel="1" x14ac:dyDescent="0.35">
      <c r="A338" s="51"/>
      <c r="B338" s="3" t="s">
        <v>96</v>
      </c>
      <c r="C338" s="4" t="s">
        <v>49</v>
      </c>
      <c r="D338" s="1">
        <f>D336*2/3*1.05</f>
        <v>2073.6697100000001</v>
      </c>
      <c r="E338" s="1">
        <f>SUMIFS(მასალა!D2:D317,მასალა!B2:B317,ბიუჯეტი!B338)</f>
        <v>9.4067796610169498</v>
      </c>
      <c r="F338" s="1">
        <f t="shared" si="42"/>
        <v>19506.554051694919</v>
      </c>
      <c r="G338" s="1"/>
      <c r="H338" s="1">
        <f t="shared" si="50"/>
        <v>0</v>
      </c>
      <c r="I338" s="1"/>
      <c r="J338" s="1"/>
      <c r="K338" s="1">
        <f t="shared" si="44"/>
        <v>19506.554051694919</v>
      </c>
      <c r="M338" s="77">
        <f>VLOOKUP(B338,[1]ბიუჯეტი!$B:$K,3,FALSE)</f>
        <v>751.14648000000022</v>
      </c>
      <c r="N338" s="77">
        <f>VLOOKUP($B338,[1]ბიუჯეტი!$B:$K,4,FALSE)</f>
        <v>9.4067796610169498</v>
      </c>
      <c r="O338" s="77">
        <f>VLOOKUP($B338,[1]ბიუჯეტი!$B:$K,5,FALSE)</f>
        <v>7065.8694305084773</v>
      </c>
      <c r="P338" s="77">
        <f>VLOOKUP($B338,[1]ბიუჯეტი!$B:$K,6,FALSE)</f>
        <v>0</v>
      </c>
      <c r="Q338" s="77">
        <f>VLOOKUP($B338,[1]ბიუჯეტი!$B:$K,7,FALSE)</f>
        <v>0</v>
      </c>
      <c r="R338" s="77">
        <f>VLOOKUP($B338,[1]ბიუჯეტი!$B:$K,8,FALSE)</f>
        <v>0</v>
      </c>
      <c r="S338" s="77">
        <f>VLOOKUP($B338,[1]ბიუჯეტი!$B:$K,9,FALSE)</f>
        <v>0</v>
      </c>
      <c r="T338" s="77">
        <f>VLOOKUP($B338,[1]ბიუჯეტი!$B:$K,10,FALSE)</f>
        <v>7065.8694305084773</v>
      </c>
      <c r="V338" s="78">
        <f t="shared" si="46"/>
        <v>0</v>
      </c>
      <c r="W338" s="78">
        <f t="shared" si="47"/>
        <v>0</v>
      </c>
      <c r="X338" s="78">
        <f t="shared" si="48"/>
        <v>0</v>
      </c>
      <c r="Y338" s="78">
        <f t="shared" si="49"/>
        <v>1322.5232299999998</v>
      </c>
    </row>
    <row r="339" spans="1:25" hidden="1" outlineLevel="1" x14ac:dyDescent="0.35">
      <c r="A339" s="51"/>
      <c r="B339" s="3" t="s">
        <v>97</v>
      </c>
      <c r="C339" s="4" t="s">
        <v>49</v>
      </c>
      <c r="D339" s="1">
        <f>D336*1.4/3*1.05</f>
        <v>1451.5687969999999</v>
      </c>
      <c r="E339" s="1">
        <f>SUMIFS(მასალა!D3:D318,მასალა!B3:B318,ბიუჯეტი!B339)</f>
        <v>6.9491525423728815</v>
      </c>
      <c r="F339" s="1">
        <f t="shared" si="42"/>
        <v>10087.172996101694</v>
      </c>
      <c r="G339" s="1"/>
      <c r="H339" s="1">
        <f t="shared" si="50"/>
        <v>0</v>
      </c>
      <c r="I339" s="1"/>
      <c r="J339" s="1"/>
      <c r="K339" s="1">
        <f t="shared" si="44"/>
        <v>10087.172996101694</v>
      </c>
      <c r="M339" s="77">
        <f>VLOOKUP(B339,[1]ბიუჯეტი!$B:$K,3,FALSE)</f>
        <v>525.80253600000003</v>
      </c>
      <c r="N339" s="77">
        <f>VLOOKUP($B339,[1]ბიუჯეტი!$B:$K,4,FALSE)</f>
        <v>6.9491525423728815</v>
      </c>
      <c r="O339" s="77">
        <f>VLOOKUP($B339,[1]ბიუჯეტი!$B:$K,5,FALSE)</f>
        <v>3653.8820298305086</v>
      </c>
      <c r="P339" s="77">
        <f>VLOOKUP($B339,[1]ბიუჯეტი!$B:$K,6,FALSE)</f>
        <v>0</v>
      </c>
      <c r="Q339" s="77">
        <f>VLOOKUP($B339,[1]ბიუჯეტი!$B:$K,7,FALSE)</f>
        <v>0</v>
      </c>
      <c r="R339" s="77">
        <f>VLOOKUP($B339,[1]ბიუჯეტი!$B:$K,8,FALSE)</f>
        <v>0</v>
      </c>
      <c r="S339" s="77">
        <f>VLOOKUP($B339,[1]ბიუჯეტი!$B:$K,9,FALSE)</f>
        <v>0</v>
      </c>
      <c r="T339" s="77">
        <f>VLOOKUP($B339,[1]ბიუჯეტი!$B:$K,10,FALSE)</f>
        <v>3653.8820298305086</v>
      </c>
      <c r="V339" s="78">
        <f t="shared" si="46"/>
        <v>0</v>
      </c>
      <c r="W339" s="78">
        <f t="shared" si="47"/>
        <v>0</v>
      </c>
      <c r="X339" s="78">
        <f t="shared" si="48"/>
        <v>0</v>
      </c>
      <c r="Y339" s="78">
        <f t="shared" si="49"/>
        <v>925.76626099999987</v>
      </c>
    </row>
    <row r="340" spans="1:25" hidden="1" outlineLevel="1" x14ac:dyDescent="0.35">
      <c r="A340" s="51"/>
      <c r="B340" s="3" t="s">
        <v>98</v>
      </c>
      <c r="C340" s="4" t="s">
        <v>10</v>
      </c>
      <c r="D340" s="1">
        <f>D336*1.02</f>
        <v>3021.633006</v>
      </c>
      <c r="E340" s="1">
        <f>SUMIFS(მასალა!D4:D319,მასალა!B4:B319,ბიუჯეტი!B340)</f>
        <v>2.4576271186440679</v>
      </c>
      <c r="F340" s="1">
        <f t="shared" si="42"/>
        <v>7426.0472181355935</v>
      </c>
      <c r="G340" s="1"/>
      <c r="H340" s="1">
        <f t="shared" si="50"/>
        <v>0</v>
      </c>
      <c r="I340" s="1"/>
      <c r="J340" s="1"/>
      <c r="K340" s="1">
        <f t="shared" si="44"/>
        <v>7426.0472181355935</v>
      </c>
      <c r="M340" s="77">
        <f>VLOOKUP(B340,[1]ბიუჯეტი!$B:$K,3,FALSE)</f>
        <v>1094.5277280000003</v>
      </c>
      <c r="N340" s="77">
        <f>VLOOKUP($B340,[1]ბიუჯეტი!$B:$K,4,FALSE)</f>
        <v>2.4576271186440679</v>
      </c>
      <c r="O340" s="77">
        <f>VLOOKUP($B340,[1]ბიუჯეტი!$B:$K,5,FALSE)</f>
        <v>2689.9410264406788</v>
      </c>
      <c r="P340" s="77">
        <f>VLOOKUP($B340,[1]ბიუჯეტი!$B:$K,6,FALSE)</f>
        <v>0</v>
      </c>
      <c r="Q340" s="77">
        <f>VLOOKUP($B340,[1]ბიუჯეტი!$B:$K,7,FALSE)</f>
        <v>0</v>
      </c>
      <c r="R340" s="77">
        <f>VLOOKUP($B340,[1]ბიუჯეტი!$B:$K,8,FALSE)</f>
        <v>0</v>
      </c>
      <c r="S340" s="77">
        <f>VLOOKUP($B340,[1]ბიუჯეტი!$B:$K,9,FALSE)</f>
        <v>0</v>
      </c>
      <c r="T340" s="77">
        <f>VLOOKUP($B340,[1]ბიუჯეტი!$B:$K,10,FALSE)</f>
        <v>2689.9410264406788</v>
      </c>
      <c r="V340" s="78">
        <f t="shared" si="46"/>
        <v>0</v>
      </c>
      <c r="W340" s="78">
        <f t="shared" si="47"/>
        <v>0</v>
      </c>
      <c r="X340" s="78">
        <f t="shared" si="48"/>
        <v>0</v>
      </c>
      <c r="Y340" s="78">
        <f t="shared" si="49"/>
        <v>1927.1052779999998</v>
      </c>
    </row>
    <row r="341" spans="1:25" hidden="1" outlineLevel="1" x14ac:dyDescent="0.35">
      <c r="A341" s="51"/>
      <c r="B341" s="3" t="s">
        <v>99</v>
      </c>
      <c r="C341" s="4" t="s">
        <v>49</v>
      </c>
      <c r="D341" s="1">
        <f>D336*2.5</f>
        <v>7405.9632499999998</v>
      </c>
      <c r="E341" s="1">
        <f>SUMIFS(მასალა!D5:D320,მასალა!B5:B320,ბიუჯეტი!B341)</f>
        <v>0.81355932203389836</v>
      </c>
      <c r="F341" s="1">
        <f>E341*D341</f>
        <v>6025.1904406779668</v>
      </c>
      <c r="G341" s="1"/>
      <c r="H341" s="1">
        <f t="shared" si="50"/>
        <v>0</v>
      </c>
      <c r="I341" s="1"/>
      <c r="J341" s="1"/>
      <c r="K341" s="1">
        <f t="shared" si="44"/>
        <v>6025.1904406779668</v>
      </c>
      <c r="M341" s="77">
        <f>VLOOKUP(B341,[1]ბიუჯეტი!$B:$K,3,FALSE)</f>
        <v>2682.6660000000002</v>
      </c>
      <c r="N341" s="77">
        <f>VLOOKUP($B341,[1]ბიუჯეტი!$B:$K,4,FALSE)</f>
        <v>0.81355932203389836</v>
      </c>
      <c r="O341" s="77">
        <f>VLOOKUP($B341,[1]ბიუჯეტი!$B:$K,5,FALSE)</f>
        <v>2182.5079322033903</v>
      </c>
      <c r="P341" s="77">
        <f>VLOOKUP($B341,[1]ბიუჯეტი!$B:$K,6,FALSE)</f>
        <v>0</v>
      </c>
      <c r="Q341" s="77">
        <f>VLOOKUP($B341,[1]ბიუჯეტი!$B:$K,7,FALSE)</f>
        <v>0</v>
      </c>
      <c r="R341" s="77">
        <f>VLOOKUP($B341,[1]ბიუჯეტი!$B:$K,8,FALSE)</f>
        <v>0</v>
      </c>
      <c r="S341" s="77">
        <f>VLOOKUP($B341,[1]ბიუჯეტი!$B:$K,9,FALSE)</f>
        <v>0</v>
      </c>
      <c r="T341" s="77">
        <f>VLOOKUP($B341,[1]ბიუჯეტი!$B:$K,10,FALSE)</f>
        <v>2182.5079322033903</v>
      </c>
      <c r="V341" s="78">
        <f t="shared" si="46"/>
        <v>0</v>
      </c>
      <c r="W341" s="78">
        <f t="shared" si="47"/>
        <v>0</v>
      </c>
      <c r="X341" s="78">
        <f t="shared" si="48"/>
        <v>0</v>
      </c>
      <c r="Y341" s="78">
        <f t="shared" si="49"/>
        <v>4723.2972499999996</v>
      </c>
    </row>
    <row r="342" spans="1:25" hidden="1" outlineLevel="1" x14ac:dyDescent="0.35">
      <c r="A342" s="51"/>
      <c r="B342" s="3" t="s">
        <v>100</v>
      </c>
      <c r="C342" s="4" t="s">
        <v>49</v>
      </c>
      <c r="D342" s="1">
        <f>D336*7.6</f>
        <v>22514.128279999997</v>
      </c>
      <c r="E342" s="1">
        <f>SUMIFS(მასალა!D6:D321,მასალა!B6:B321,ბიუჯეტი!B342)</f>
        <v>2.9661016949152547E-2</v>
      </c>
      <c r="F342" s="1">
        <f>E342*D342</f>
        <v>667.79194050847457</v>
      </c>
      <c r="G342" s="1"/>
      <c r="H342" s="1">
        <f t="shared" si="50"/>
        <v>0</v>
      </c>
      <c r="I342" s="1"/>
      <c r="J342" s="1"/>
      <c r="K342" s="1">
        <f t="shared" si="44"/>
        <v>667.79194050847457</v>
      </c>
      <c r="M342" s="77">
        <f>VLOOKUP(B342,[1]ბიუჯეტი!$B:$K,3,FALSE)</f>
        <v>8155.3046400000012</v>
      </c>
      <c r="N342" s="77">
        <f>VLOOKUP($B342,[1]ბიუჯეტი!$B:$K,4,FALSE)</f>
        <v>2.9661016949152547E-2</v>
      </c>
      <c r="O342" s="77">
        <f>VLOOKUP($B342,[1]ბიუჯეტი!$B:$K,5,FALSE)</f>
        <v>241.89462915254245</v>
      </c>
      <c r="P342" s="77">
        <f>VLOOKUP($B342,[1]ბიუჯეტი!$B:$K,6,FALSE)</f>
        <v>0</v>
      </c>
      <c r="Q342" s="77">
        <f>VLOOKUP($B342,[1]ბიუჯეტი!$B:$K,7,FALSE)</f>
        <v>0</v>
      </c>
      <c r="R342" s="77">
        <f>VLOOKUP($B342,[1]ბიუჯეტი!$B:$K,8,FALSE)</f>
        <v>0</v>
      </c>
      <c r="S342" s="77">
        <f>VLOOKUP($B342,[1]ბიუჯეტი!$B:$K,9,FALSE)</f>
        <v>0</v>
      </c>
      <c r="T342" s="77">
        <f>VLOOKUP($B342,[1]ბიუჯეტი!$B:$K,10,FALSE)</f>
        <v>241.89462915254245</v>
      </c>
      <c r="V342" s="78">
        <f t="shared" si="46"/>
        <v>0</v>
      </c>
      <c r="W342" s="78">
        <f t="shared" si="47"/>
        <v>0</v>
      </c>
      <c r="X342" s="78">
        <f t="shared" si="48"/>
        <v>0</v>
      </c>
      <c r="Y342" s="78">
        <f t="shared" si="49"/>
        <v>14358.823639999995</v>
      </c>
    </row>
    <row r="343" spans="1:25" hidden="1" outlineLevel="1" x14ac:dyDescent="0.35">
      <c r="A343" s="51"/>
      <c r="B343" s="3" t="s">
        <v>101</v>
      </c>
      <c r="C343" s="4" t="s">
        <v>49</v>
      </c>
      <c r="D343" s="1">
        <f>D336*14.4</f>
        <v>42658.348319999997</v>
      </c>
      <c r="E343" s="1">
        <f>SUMIFS(მასალა!D7:D322,მასალა!B7:B322,ბიუჯეტი!B343)</f>
        <v>3.8135593220338986E-2</v>
      </c>
      <c r="F343" s="1">
        <f>E343*D343</f>
        <v>1626.8014189830508</v>
      </c>
      <c r="G343" s="1"/>
      <c r="H343" s="1">
        <f t="shared" si="50"/>
        <v>0</v>
      </c>
      <c r="I343" s="1"/>
      <c r="J343" s="1"/>
      <c r="K343" s="1">
        <f t="shared" si="44"/>
        <v>1626.8014189830508</v>
      </c>
      <c r="M343" s="77">
        <f>VLOOKUP(B343,[1]ბიუჯეტი!$B:$K,3,FALSE)</f>
        <v>15452.156160000002</v>
      </c>
      <c r="N343" s="77">
        <f>VLOOKUP($B343,[1]ბიუჯეტი!$B:$K,4,FALSE)</f>
        <v>3.8135593220338986E-2</v>
      </c>
      <c r="O343" s="77">
        <f>VLOOKUP($B343,[1]ბიუჯეტი!$B:$K,5,FALSE)</f>
        <v>589.27714169491537</v>
      </c>
      <c r="P343" s="77">
        <f>VLOOKUP($B343,[1]ბიუჯეტი!$B:$K,6,FALSE)</f>
        <v>0</v>
      </c>
      <c r="Q343" s="77">
        <f>VLOOKUP($B343,[1]ბიუჯეტი!$B:$K,7,FALSE)</f>
        <v>0</v>
      </c>
      <c r="R343" s="77">
        <f>VLOOKUP($B343,[1]ბიუჯეტი!$B:$K,8,FALSE)</f>
        <v>0</v>
      </c>
      <c r="S343" s="77">
        <f>VLOOKUP($B343,[1]ბიუჯეტი!$B:$K,9,FALSE)</f>
        <v>0</v>
      </c>
      <c r="T343" s="77">
        <f>VLOOKUP($B343,[1]ბიუჯეტი!$B:$K,10,FALSE)</f>
        <v>589.27714169491537</v>
      </c>
      <c r="V343" s="78">
        <f t="shared" si="46"/>
        <v>0</v>
      </c>
      <c r="W343" s="78">
        <f t="shared" si="47"/>
        <v>0</v>
      </c>
      <c r="X343" s="78">
        <f t="shared" si="48"/>
        <v>0</v>
      </c>
      <c r="Y343" s="78">
        <f t="shared" si="49"/>
        <v>27206.192159999995</v>
      </c>
    </row>
    <row r="344" spans="1:25" hidden="1" outlineLevel="1" x14ac:dyDescent="0.35">
      <c r="A344" s="51"/>
      <c r="B344" s="3" t="s">
        <v>263</v>
      </c>
      <c r="C344" s="4" t="s">
        <v>49</v>
      </c>
      <c r="D344" s="1">
        <f>D341</f>
        <v>7405.9632499999998</v>
      </c>
      <c r="E344" s="1">
        <f>SUMIFS(მასალა!D8:D323,მასალა!B8:B323,ბიუჯეტი!B344)</f>
        <v>8.0508474576271194E-2</v>
      </c>
      <c r="F344" s="1">
        <f>E344*D344</f>
        <v>596.24280402542377</v>
      </c>
      <c r="G344" s="1"/>
      <c r="H344" s="1">
        <f t="shared" si="50"/>
        <v>0</v>
      </c>
      <c r="I344" s="1"/>
      <c r="J344" s="1"/>
      <c r="K344" s="1">
        <f t="shared" si="44"/>
        <v>596.24280402542377</v>
      </c>
      <c r="M344" s="77">
        <f>VLOOKUP(B344,[1]ბიუჯეტი!$B:$K,3,FALSE)</f>
        <v>2682.6660000000002</v>
      </c>
      <c r="N344" s="77">
        <f>VLOOKUP($B344,[1]ბიუჯეტი!$B:$K,4,FALSE)</f>
        <v>8.0508474576271194E-2</v>
      </c>
      <c r="O344" s="77">
        <f>VLOOKUP($B344,[1]ბიუჯეტი!$B:$K,5,FALSE)</f>
        <v>215.97734745762716</v>
      </c>
      <c r="P344" s="77">
        <f>VLOOKUP($B344,[1]ბიუჯეტი!$B:$K,6,FALSE)</f>
        <v>0</v>
      </c>
      <c r="Q344" s="77">
        <f>VLOOKUP($B344,[1]ბიუჯეტი!$B:$K,7,FALSE)</f>
        <v>0</v>
      </c>
      <c r="R344" s="77">
        <f>VLOOKUP($B344,[1]ბიუჯეტი!$B:$K,8,FALSE)</f>
        <v>0</v>
      </c>
      <c r="S344" s="77">
        <f>VLOOKUP($B344,[1]ბიუჯეტი!$B:$K,9,FALSE)</f>
        <v>0</v>
      </c>
      <c r="T344" s="77">
        <f>VLOOKUP($B344,[1]ბიუჯეტი!$B:$K,10,FALSE)</f>
        <v>215.97734745762716</v>
      </c>
      <c r="V344" s="78">
        <f t="shared" si="46"/>
        <v>0</v>
      </c>
      <c r="W344" s="78">
        <f t="shared" si="47"/>
        <v>0</v>
      </c>
      <c r="X344" s="78">
        <f t="shared" si="48"/>
        <v>0</v>
      </c>
      <c r="Y344" s="78">
        <f t="shared" si="49"/>
        <v>4723.2972499999996</v>
      </c>
    </row>
    <row r="345" spans="1:25" hidden="1" outlineLevel="1" x14ac:dyDescent="0.35">
      <c r="A345" s="51"/>
      <c r="B345" s="3" t="s">
        <v>321</v>
      </c>
      <c r="C345" s="4" t="s">
        <v>49</v>
      </c>
      <c r="D345" s="1">
        <f>D341*2</f>
        <v>14811.9265</v>
      </c>
      <c r="E345" s="1">
        <f>SUMIFS(მასალა!D9:D324,მასალა!B9:B324,ბიუჯეტი!B345)</f>
        <v>3.2203389830508473E-2</v>
      </c>
      <c r="F345" s="1">
        <f>E345*D345</f>
        <v>476.99424322033894</v>
      </c>
      <c r="G345" s="1"/>
      <c r="H345" s="1">
        <f>D345*G345</f>
        <v>0</v>
      </c>
      <c r="I345" s="1"/>
      <c r="J345" s="1"/>
      <c r="K345" s="1">
        <f t="shared" si="44"/>
        <v>476.99424322033894</v>
      </c>
      <c r="M345" s="77">
        <f>VLOOKUP(B345,[1]ბიუჯეტი!$B:$K,3,FALSE)</f>
        <v>5365.3320000000003</v>
      </c>
      <c r="N345" s="77">
        <f>VLOOKUP($B345,[1]ბიუჯეტი!$B:$K,4,FALSE)</f>
        <v>3.2203389830508473E-2</v>
      </c>
      <c r="O345" s="77">
        <f>VLOOKUP($B345,[1]ბიუჯეტი!$B:$K,5,FALSE)</f>
        <v>172.78187796610169</v>
      </c>
      <c r="P345" s="77">
        <f>VLOOKUP($B345,[1]ბიუჯეტი!$B:$K,6,FALSE)</f>
        <v>0</v>
      </c>
      <c r="Q345" s="77">
        <f>VLOOKUP($B345,[1]ბიუჯეტი!$B:$K,7,FALSE)</f>
        <v>0</v>
      </c>
      <c r="R345" s="77">
        <f>VLOOKUP($B345,[1]ბიუჯეტი!$B:$K,8,FALSE)</f>
        <v>0</v>
      </c>
      <c r="S345" s="77">
        <f>VLOOKUP($B345,[1]ბიუჯეტი!$B:$K,9,FALSE)</f>
        <v>0</v>
      </c>
      <c r="T345" s="77">
        <f>VLOOKUP($B345,[1]ბიუჯეტი!$B:$K,10,FALSE)</f>
        <v>172.78187796610169</v>
      </c>
      <c r="V345" s="78">
        <f t="shared" si="46"/>
        <v>0</v>
      </c>
      <c r="W345" s="78">
        <f t="shared" si="47"/>
        <v>0</v>
      </c>
      <c r="X345" s="78">
        <f t="shared" si="48"/>
        <v>0</v>
      </c>
      <c r="Y345" s="78">
        <f t="shared" si="49"/>
        <v>9446.5944999999992</v>
      </c>
    </row>
    <row r="346" spans="1:25" hidden="1" outlineLevel="1" x14ac:dyDescent="0.35">
      <c r="A346" s="51"/>
      <c r="B346" s="3" t="s">
        <v>389</v>
      </c>
      <c r="C346" s="4" t="s">
        <v>10</v>
      </c>
      <c r="D346" s="1">
        <f>D336</f>
        <v>2962.3852999999999</v>
      </c>
      <c r="E346" s="1">
        <f>SUMIFS(მასალა!D10:D325,მასალა!B10:B325,ბიუჯეტი!B346)</f>
        <v>0.84745762711864414</v>
      </c>
      <c r="F346" s="1">
        <f>D346*E346</f>
        <v>2510.4960169491528</v>
      </c>
      <c r="G346" s="1"/>
      <c r="H346" s="1">
        <f t="shared" si="50"/>
        <v>0</v>
      </c>
      <c r="I346" s="1"/>
      <c r="J346" s="1"/>
      <c r="K346" s="1">
        <f t="shared" ref="K346:K409" si="51">F346+H346+J346</f>
        <v>2510.4960169491528</v>
      </c>
      <c r="M346" s="77">
        <f>VLOOKUP(B346,[1]ბიუჯეტი!$B:$K,3,FALSE)</f>
        <v>1073.0664000000002</v>
      </c>
      <c r="N346" s="77">
        <f>VLOOKUP($B346,[1]ბიუჯეტი!$B:$K,4,FALSE)</f>
        <v>0.84745762711864414</v>
      </c>
      <c r="O346" s="77">
        <f>VLOOKUP($B346,[1]ბიუჯეტი!$B:$K,5,FALSE)</f>
        <v>909.37830508474599</v>
      </c>
      <c r="P346" s="77">
        <f>VLOOKUP($B346,[1]ბიუჯეტი!$B:$K,6,FALSE)</f>
        <v>0</v>
      </c>
      <c r="Q346" s="77">
        <f>VLOOKUP($B346,[1]ბიუჯეტი!$B:$K,7,FALSE)</f>
        <v>0</v>
      </c>
      <c r="R346" s="77">
        <f>VLOOKUP($B346,[1]ბიუჯეტი!$B:$K,8,FALSE)</f>
        <v>0</v>
      </c>
      <c r="S346" s="77">
        <f>VLOOKUP($B346,[1]ბიუჯეტი!$B:$K,9,FALSE)</f>
        <v>0</v>
      </c>
      <c r="T346" s="77">
        <f>VLOOKUP($B346,[1]ბიუჯეტი!$B:$K,10,FALSE)</f>
        <v>909.37830508474599</v>
      </c>
      <c r="V346" s="78">
        <f t="shared" si="46"/>
        <v>0</v>
      </c>
      <c r="W346" s="78">
        <f t="shared" si="47"/>
        <v>0</v>
      </c>
      <c r="X346" s="78">
        <f t="shared" si="48"/>
        <v>0</v>
      </c>
      <c r="Y346" s="78">
        <f t="shared" si="49"/>
        <v>1889.3188999999998</v>
      </c>
    </row>
    <row r="347" spans="1:25" collapsed="1" x14ac:dyDescent="0.35">
      <c r="A347" s="51">
        <v>24</v>
      </c>
      <c r="B347" s="23" t="s">
        <v>102</v>
      </c>
      <c r="C347" s="4" t="s">
        <v>10</v>
      </c>
      <c r="D347" s="1">
        <f>SUM(D359,D348,)</f>
        <v>1392.4845</v>
      </c>
      <c r="E347" s="1">
        <f>SUM(K361:K369,K350:K358,)/D347</f>
        <v>28.626637711864419</v>
      </c>
      <c r="F347" s="1">
        <f>D347*E347</f>
        <v>39862.149300886667</v>
      </c>
      <c r="G347" s="1">
        <f>SUM(H348:H369)/D347</f>
        <v>20.399999999999999</v>
      </c>
      <c r="H347" s="1">
        <f>G347*D347</f>
        <v>28406.683799999999</v>
      </c>
      <c r="I347" s="1">
        <v>0</v>
      </c>
      <c r="J347" s="1">
        <v>0</v>
      </c>
      <c r="K347" s="1">
        <f t="shared" si="51"/>
        <v>68268.833100886666</v>
      </c>
      <c r="M347" s="77">
        <f>VLOOKUP(B347,[1]ბიუჯეტი!$B:$K,3,FALSE)</f>
        <v>1342.143</v>
      </c>
      <c r="N347" s="77">
        <f>VLOOKUP($B347,[1]ბიუჯეტი!$B:$K,4,FALSE)</f>
        <v>28.626637711864419</v>
      </c>
      <c r="O347" s="77">
        <f>VLOOKUP($B347,[1]ბიუჯეტი!$B:$K,5,FALSE)</f>
        <v>38421.041418514847</v>
      </c>
      <c r="P347" s="77">
        <f>VLOOKUP($B347,[1]ბიუჯეტი!$B:$K,6,FALSE)</f>
        <v>20.399999999999999</v>
      </c>
      <c r="Q347" s="77">
        <f>VLOOKUP($B347,[1]ბიუჯეტი!$B:$K,7,FALSE)</f>
        <v>27379.717199999999</v>
      </c>
      <c r="R347" s="77">
        <f>VLOOKUP($B347,[1]ბიუჯეტი!$B:$K,8,FALSE)</f>
        <v>0</v>
      </c>
      <c r="S347" s="77">
        <f>VLOOKUP($B347,[1]ბიუჯეტი!$B:$K,9,FALSE)</f>
        <v>0</v>
      </c>
      <c r="T347" s="77">
        <f>VLOOKUP($B347,[1]ბიუჯეტი!$B:$K,10,FALSE)</f>
        <v>65800.758618514839</v>
      </c>
      <c r="V347" s="78">
        <f t="shared" si="46"/>
        <v>0</v>
      </c>
      <c r="W347" s="78">
        <f t="shared" si="47"/>
        <v>0</v>
      </c>
      <c r="X347" s="78">
        <f t="shared" si="48"/>
        <v>0</v>
      </c>
      <c r="Y347" s="78">
        <f t="shared" si="49"/>
        <v>50.341499999999996</v>
      </c>
    </row>
    <row r="348" spans="1:25" hidden="1" outlineLevel="1" x14ac:dyDescent="0.35">
      <c r="A348" s="51">
        <v>0</v>
      </c>
      <c r="B348" s="23" t="s">
        <v>94</v>
      </c>
      <c r="C348" s="4" t="s">
        <v>10</v>
      </c>
      <c r="D348" s="1">
        <f>სამუშაო!E96</f>
        <v>307.24650000000003</v>
      </c>
      <c r="E348" s="1"/>
      <c r="F348" s="1">
        <f t="shared" ref="F348:F353" si="52">D348*E348</f>
        <v>0</v>
      </c>
      <c r="G348" s="1">
        <f>ხელფასი!D19</f>
        <v>20.399999999999999</v>
      </c>
      <c r="H348" s="1">
        <f t="shared" ref="H348:H369" si="53">D348*G348</f>
        <v>6267.8285999999998</v>
      </c>
      <c r="I348" s="1"/>
      <c r="J348" s="1"/>
      <c r="K348" s="1">
        <f t="shared" si="51"/>
        <v>6267.8285999999998</v>
      </c>
      <c r="M348" s="77">
        <f>VLOOKUP(B348,[1]ბიუჯეტი!$B:$K,3,FALSE)</f>
        <v>1090.3464000000001</v>
      </c>
      <c r="N348" s="77">
        <f>VLOOKUP($B348,[1]ბიუჯეტი!$B:$K,4,FALSE)</f>
        <v>0</v>
      </c>
      <c r="O348" s="77">
        <f>VLOOKUP($B348,[1]ბიუჯეტი!$B:$K,5,FALSE)</f>
        <v>0</v>
      </c>
      <c r="P348" s="77">
        <f>VLOOKUP($B348,[1]ბიუჯეტი!$B:$K,6,FALSE)</f>
        <v>15.299999999999999</v>
      </c>
      <c r="Q348" s="77">
        <f>VLOOKUP($B348,[1]ბიუჯეტი!$B:$K,7,FALSE)</f>
        <v>16682.299920000001</v>
      </c>
      <c r="R348" s="77">
        <f>VLOOKUP($B348,[1]ბიუჯეტი!$B:$K,8,FALSE)</f>
        <v>0</v>
      </c>
      <c r="S348" s="77">
        <f>VLOOKUP($B348,[1]ბიუჯეტი!$B:$K,9,FALSE)</f>
        <v>0</v>
      </c>
      <c r="T348" s="77">
        <f>VLOOKUP($B348,[1]ბიუჯეტი!$B:$K,10,FALSE)</f>
        <v>16682.299920000001</v>
      </c>
      <c r="V348" s="78">
        <f t="shared" si="46"/>
        <v>0</v>
      </c>
      <c r="W348" s="78">
        <f t="shared" si="47"/>
        <v>5.0999999999999996</v>
      </c>
      <c r="X348" s="78">
        <f t="shared" si="48"/>
        <v>0</v>
      </c>
      <c r="Y348" s="78">
        <f t="shared" si="49"/>
        <v>-783.09990000000016</v>
      </c>
    </row>
    <row r="349" spans="1:25" hidden="1" outlineLevel="1" x14ac:dyDescent="0.35">
      <c r="A349" s="51">
        <v>0</v>
      </c>
      <c r="B349" s="23" t="s">
        <v>94</v>
      </c>
      <c r="C349" s="4" t="s">
        <v>10</v>
      </c>
      <c r="D349" s="1">
        <f>D348*1.1</f>
        <v>337.97115000000008</v>
      </c>
      <c r="E349" s="1"/>
      <c r="F349" s="1">
        <f t="shared" si="52"/>
        <v>0</v>
      </c>
      <c r="G349" s="1">
        <v>0</v>
      </c>
      <c r="H349" s="1">
        <f t="shared" si="53"/>
        <v>0</v>
      </c>
      <c r="I349" s="1"/>
      <c r="J349" s="1"/>
      <c r="K349" s="1">
        <f t="shared" si="51"/>
        <v>0</v>
      </c>
      <c r="M349" s="77">
        <f>VLOOKUP(B349,[1]ბიუჯეტი!$B:$K,3,FALSE)</f>
        <v>1090.3464000000001</v>
      </c>
      <c r="N349" s="77">
        <f>VLOOKUP($B349,[1]ბიუჯეტი!$B:$K,4,FALSE)</f>
        <v>0</v>
      </c>
      <c r="O349" s="77">
        <f>VLOOKUP($B349,[1]ბიუჯეტი!$B:$K,5,FALSE)</f>
        <v>0</v>
      </c>
      <c r="P349" s="77">
        <f>VLOOKUP($B349,[1]ბიუჯეტი!$B:$K,6,FALSE)</f>
        <v>15.299999999999999</v>
      </c>
      <c r="Q349" s="77">
        <f>VLOOKUP($B349,[1]ბიუჯეტი!$B:$K,7,FALSE)</f>
        <v>16682.299920000001</v>
      </c>
      <c r="R349" s="77">
        <f>VLOOKUP($B349,[1]ბიუჯეტი!$B:$K,8,FALSE)</f>
        <v>0</v>
      </c>
      <c r="S349" s="77">
        <f>VLOOKUP($B349,[1]ბიუჯეტი!$B:$K,9,FALSE)</f>
        <v>0</v>
      </c>
      <c r="T349" s="77">
        <f>VLOOKUP($B349,[1]ბიუჯეტი!$B:$K,10,FALSE)</f>
        <v>16682.299920000001</v>
      </c>
      <c r="V349" s="78">
        <f t="shared" si="46"/>
        <v>0</v>
      </c>
      <c r="W349" s="78">
        <f t="shared" si="47"/>
        <v>-15.299999999999999</v>
      </c>
      <c r="X349" s="78">
        <f t="shared" si="48"/>
        <v>0</v>
      </c>
      <c r="Y349" s="78">
        <f t="shared" si="49"/>
        <v>-752.37525000000005</v>
      </c>
    </row>
    <row r="350" spans="1:25" hidden="1" outlineLevel="1" x14ac:dyDescent="0.35">
      <c r="A350" s="51"/>
      <c r="B350" s="3" t="s">
        <v>95</v>
      </c>
      <c r="C350" s="4" t="s">
        <v>49</v>
      </c>
      <c r="D350" s="1">
        <f>D349/4*3*1.05</f>
        <v>266.15228062500006</v>
      </c>
      <c r="E350" s="1">
        <f>SUMIFS(მასალა!D1:D329,მასალა!B1:B329,ბიუჯეტი!B350)</f>
        <v>12.627118644067798</v>
      </c>
      <c r="F350" s="1">
        <f t="shared" si="52"/>
        <v>3360.7364248411027</v>
      </c>
      <c r="G350" s="1"/>
      <c r="H350" s="1">
        <f t="shared" si="53"/>
        <v>0</v>
      </c>
      <c r="I350" s="1"/>
      <c r="J350" s="1"/>
      <c r="K350" s="1">
        <f t="shared" si="51"/>
        <v>3360.7364248411027</v>
      </c>
      <c r="M350" s="77">
        <f>VLOOKUP(B350,[1]ბიუჯეტი!$B:$K,3,FALSE)</f>
        <v>751.14648000000022</v>
      </c>
      <c r="N350" s="77">
        <f>VLOOKUP($B350,[1]ბიუჯეტი!$B:$K,4,FALSE)</f>
        <v>12.627118644067798</v>
      </c>
      <c r="O350" s="77">
        <f>VLOOKUP($B350,[1]ბიუჯეტი!$B:$K,5,FALSE)</f>
        <v>9484.8157220339017</v>
      </c>
      <c r="P350" s="77">
        <f>VLOOKUP($B350,[1]ბიუჯეტი!$B:$K,6,FALSE)</f>
        <v>0</v>
      </c>
      <c r="Q350" s="77">
        <f>VLOOKUP($B350,[1]ბიუჯეტი!$B:$K,7,FALSE)</f>
        <v>0</v>
      </c>
      <c r="R350" s="77">
        <f>VLOOKUP($B350,[1]ბიუჯეტი!$B:$K,8,FALSE)</f>
        <v>0</v>
      </c>
      <c r="S350" s="77">
        <f>VLOOKUP($B350,[1]ბიუჯეტი!$B:$K,9,FALSE)</f>
        <v>0</v>
      </c>
      <c r="T350" s="77">
        <f>VLOOKUP($B350,[1]ბიუჯეტი!$B:$K,10,FALSE)</f>
        <v>9484.8157220339017</v>
      </c>
      <c r="V350" s="78">
        <f t="shared" si="46"/>
        <v>0</v>
      </c>
      <c r="W350" s="78">
        <f t="shared" si="47"/>
        <v>0</v>
      </c>
      <c r="X350" s="78">
        <f t="shared" si="48"/>
        <v>0</v>
      </c>
      <c r="Y350" s="78">
        <f t="shared" si="49"/>
        <v>-484.99419937500016</v>
      </c>
    </row>
    <row r="351" spans="1:25" hidden="1" outlineLevel="1" x14ac:dyDescent="0.35">
      <c r="A351" s="51"/>
      <c r="B351" s="3" t="s">
        <v>103</v>
      </c>
      <c r="C351" s="4" t="s">
        <v>49</v>
      </c>
      <c r="D351" s="1">
        <f>D349*0.7/3*1.05</f>
        <v>82.802931750000027</v>
      </c>
      <c r="E351" s="1">
        <f>SUMIFS(მასალა!D2:D330,მასალა!B2:B330,ბიუჯეტი!B351)</f>
        <v>12.288135593220339</v>
      </c>
      <c r="F351" s="1">
        <f t="shared" si="52"/>
        <v>1017.4936528601698</v>
      </c>
      <c r="G351" s="1"/>
      <c r="H351" s="1">
        <f t="shared" si="53"/>
        <v>0</v>
      </c>
      <c r="I351" s="1"/>
      <c r="J351" s="1"/>
      <c r="K351" s="1">
        <f t="shared" si="51"/>
        <v>1017.4936528601698</v>
      </c>
      <c r="M351" s="77">
        <f>VLOOKUP(B351,[1]ბიუჯეტი!$B:$K,3,FALSE)</f>
        <v>87.005110500000015</v>
      </c>
      <c r="N351" s="77">
        <f>VLOOKUP($B351,[1]ბიუჯეტი!$B:$K,4,FALSE)</f>
        <v>12.288135593220339</v>
      </c>
      <c r="O351" s="77">
        <f>VLOOKUP($B351,[1]ბიუჯეტი!$B:$K,5,FALSE)</f>
        <v>1069.1305951271188</v>
      </c>
      <c r="P351" s="77">
        <f>VLOOKUP($B351,[1]ბიუჯეტი!$B:$K,6,FALSE)</f>
        <v>0</v>
      </c>
      <c r="Q351" s="77">
        <f>VLOOKUP($B351,[1]ბიუჯეტი!$B:$K,7,FALSE)</f>
        <v>0</v>
      </c>
      <c r="R351" s="77">
        <f>VLOOKUP($B351,[1]ბიუჯეტი!$B:$K,8,FALSE)</f>
        <v>0</v>
      </c>
      <c r="S351" s="77">
        <f>VLOOKUP($B351,[1]ბიუჯეტი!$B:$K,9,FALSE)</f>
        <v>0</v>
      </c>
      <c r="T351" s="77">
        <f>VLOOKUP($B351,[1]ბიუჯეტი!$B:$K,10,FALSE)</f>
        <v>1069.1305951271188</v>
      </c>
      <c r="V351" s="78">
        <f t="shared" si="46"/>
        <v>0</v>
      </c>
      <c r="W351" s="78">
        <f t="shared" si="47"/>
        <v>0</v>
      </c>
      <c r="X351" s="78">
        <f t="shared" si="48"/>
        <v>0</v>
      </c>
      <c r="Y351" s="78">
        <f t="shared" si="49"/>
        <v>-4.2021787499999874</v>
      </c>
    </row>
    <row r="352" spans="1:25" hidden="1" outlineLevel="1" x14ac:dyDescent="0.35">
      <c r="A352" s="51"/>
      <c r="B352" s="3" t="s">
        <v>104</v>
      </c>
      <c r="C352" s="4" t="s">
        <v>49</v>
      </c>
      <c r="D352" s="1">
        <f>D349*2/3*1.05</f>
        <v>236.57980500000008</v>
      </c>
      <c r="E352" s="1">
        <f>SUMIFS(მასალა!D3:D331,მასალა!B3:B331,ბიუჯეტი!B352)</f>
        <v>14.237288135593221</v>
      </c>
      <c r="F352" s="1">
        <f t="shared" si="52"/>
        <v>3368.2548508474592</v>
      </c>
      <c r="G352" s="1"/>
      <c r="H352" s="1">
        <f t="shared" si="53"/>
        <v>0</v>
      </c>
      <c r="I352" s="1"/>
      <c r="J352" s="1"/>
      <c r="K352" s="1">
        <f t="shared" si="51"/>
        <v>3368.2548508474592</v>
      </c>
      <c r="M352" s="77">
        <f>VLOOKUP(B352,[1]ბიუჯეტი!$B:$K,3,FALSE)</f>
        <v>248.58603000000005</v>
      </c>
      <c r="N352" s="77">
        <f>VLOOKUP($B352,[1]ბიუჯეტი!$B:$K,4,FALSE)</f>
        <v>14.237288135593221</v>
      </c>
      <c r="O352" s="77">
        <f>VLOOKUP($B352,[1]ბიუჯეტი!$B:$K,5,FALSE)</f>
        <v>3539.1909355932212</v>
      </c>
      <c r="P352" s="77">
        <f>VLOOKUP($B352,[1]ბიუჯეტი!$B:$K,6,FALSE)</f>
        <v>0</v>
      </c>
      <c r="Q352" s="77">
        <f>VLOOKUP($B352,[1]ბიუჯეტი!$B:$K,7,FALSE)</f>
        <v>0</v>
      </c>
      <c r="R352" s="77">
        <f>VLOOKUP($B352,[1]ბიუჯეტი!$B:$K,8,FALSE)</f>
        <v>0</v>
      </c>
      <c r="S352" s="77">
        <f>VLOOKUP($B352,[1]ბიუჯეტი!$B:$K,9,FALSE)</f>
        <v>0</v>
      </c>
      <c r="T352" s="77">
        <f>VLOOKUP($B352,[1]ბიუჯეტი!$B:$K,10,FALSE)</f>
        <v>3539.1909355932212</v>
      </c>
      <c r="V352" s="78">
        <f t="shared" si="46"/>
        <v>0</v>
      </c>
      <c r="W352" s="78">
        <f t="shared" si="47"/>
        <v>0</v>
      </c>
      <c r="X352" s="78">
        <f t="shared" si="48"/>
        <v>0</v>
      </c>
      <c r="Y352" s="78">
        <f t="shared" si="49"/>
        <v>-12.006224999999972</v>
      </c>
    </row>
    <row r="353" spans="1:25" hidden="1" outlineLevel="1" x14ac:dyDescent="0.35">
      <c r="A353" s="51"/>
      <c r="B353" s="3" t="s">
        <v>98</v>
      </c>
      <c r="C353" s="4" t="s">
        <v>10</v>
      </c>
      <c r="D353" s="1">
        <f>D349/2*1.02</f>
        <v>172.36528650000005</v>
      </c>
      <c r="E353" s="1">
        <f>SUMIFS(მასალა!D4:D332,მასალა!B4:B332,ბიუჯეტი!B353)</f>
        <v>2.4576271186440679</v>
      </c>
      <c r="F353" s="1">
        <f t="shared" si="52"/>
        <v>423.60960241525441</v>
      </c>
      <c r="G353" s="1"/>
      <c r="H353" s="1">
        <f t="shared" si="53"/>
        <v>0</v>
      </c>
      <c r="I353" s="1"/>
      <c r="J353" s="1"/>
      <c r="K353" s="1">
        <f t="shared" si="51"/>
        <v>423.60960241525441</v>
      </c>
      <c r="M353" s="77">
        <f>VLOOKUP(B353,[1]ბიუჯეტი!$B:$K,3,FALSE)</f>
        <v>1094.5277280000003</v>
      </c>
      <c r="N353" s="77">
        <f>VLOOKUP($B353,[1]ბიუჯეტი!$B:$K,4,FALSE)</f>
        <v>2.4576271186440679</v>
      </c>
      <c r="O353" s="77">
        <f>VLOOKUP($B353,[1]ბიუჯეტი!$B:$K,5,FALSE)</f>
        <v>2689.9410264406788</v>
      </c>
      <c r="P353" s="77">
        <f>VLOOKUP($B353,[1]ბიუჯეტი!$B:$K,6,FALSE)</f>
        <v>0</v>
      </c>
      <c r="Q353" s="77">
        <f>VLOOKUP($B353,[1]ბიუჯეტი!$B:$K,7,FALSE)</f>
        <v>0</v>
      </c>
      <c r="R353" s="77">
        <f>VLOOKUP($B353,[1]ბიუჯეტი!$B:$K,8,FALSE)</f>
        <v>0</v>
      </c>
      <c r="S353" s="77">
        <f>VLOOKUP($B353,[1]ბიუჯეტი!$B:$K,9,FALSE)</f>
        <v>0</v>
      </c>
      <c r="T353" s="77">
        <f>VLOOKUP($B353,[1]ბიუჯეტი!$B:$K,10,FALSE)</f>
        <v>2689.9410264406788</v>
      </c>
      <c r="V353" s="78">
        <f t="shared" si="46"/>
        <v>0</v>
      </c>
      <c r="W353" s="78">
        <f t="shared" si="47"/>
        <v>0</v>
      </c>
      <c r="X353" s="78">
        <f t="shared" si="48"/>
        <v>0</v>
      </c>
      <c r="Y353" s="78">
        <f t="shared" si="49"/>
        <v>-922.16244150000023</v>
      </c>
    </row>
    <row r="354" spans="1:25" hidden="1" outlineLevel="1" x14ac:dyDescent="0.35">
      <c r="A354" s="51"/>
      <c r="B354" s="3" t="s">
        <v>100</v>
      </c>
      <c r="C354" s="4" t="s">
        <v>49</v>
      </c>
      <c r="D354" s="1">
        <f>D349*7.6</f>
        <v>2568.5807400000003</v>
      </c>
      <c r="E354" s="1">
        <f>SUMIFS(მასალა!D5:D333,მასალა!B5:B333,ბიუჯეტი!B354)</f>
        <v>2.9661016949152547E-2</v>
      </c>
      <c r="F354" s="1">
        <f>E354*D354</f>
        <v>76.186716864406804</v>
      </c>
      <c r="G354" s="1"/>
      <c r="H354" s="1">
        <f t="shared" si="53"/>
        <v>0</v>
      </c>
      <c r="I354" s="1"/>
      <c r="J354" s="1"/>
      <c r="K354" s="1">
        <f t="shared" si="51"/>
        <v>76.186716864406804</v>
      </c>
      <c r="M354" s="77">
        <f>VLOOKUP(B354,[1]ბიუჯეტი!$B:$K,3,FALSE)</f>
        <v>8155.3046400000012</v>
      </c>
      <c r="N354" s="77">
        <f>VLOOKUP($B354,[1]ბიუჯეტი!$B:$K,4,FALSE)</f>
        <v>2.9661016949152547E-2</v>
      </c>
      <c r="O354" s="77">
        <f>VLOOKUP($B354,[1]ბიუჯეტი!$B:$K,5,FALSE)</f>
        <v>241.89462915254245</v>
      </c>
      <c r="P354" s="77">
        <f>VLOOKUP($B354,[1]ბიუჯეტი!$B:$K,6,FALSE)</f>
        <v>0</v>
      </c>
      <c r="Q354" s="77">
        <f>VLOOKUP($B354,[1]ბიუჯეტი!$B:$K,7,FALSE)</f>
        <v>0</v>
      </c>
      <c r="R354" s="77">
        <f>VLOOKUP($B354,[1]ბიუჯეტი!$B:$K,8,FALSE)</f>
        <v>0</v>
      </c>
      <c r="S354" s="77">
        <f>VLOOKUP($B354,[1]ბიუჯეტი!$B:$K,9,FALSE)</f>
        <v>0</v>
      </c>
      <c r="T354" s="77">
        <f>VLOOKUP($B354,[1]ბიუჯეტი!$B:$K,10,FALSE)</f>
        <v>241.89462915254245</v>
      </c>
      <c r="V354" s="78">
        <f t="shared" si="46"/>
        <v>0</v>
      </c>
      <c r="W354" s="78">
        <f t="shared" si="47"/>
        <v>0</v>
      </c>
      <c r="X354" s="78">
        <f t="shared" si="48"/>
        <v>0</v>
      </c>
      <c r="Y354" s="78">
        <f t="shared" si="49"/>
        <v>-5586.7239000000009</v>
      </c>
    </row>
    <row r="355" spans="1:25" hidden="1" outlineLevel="1" x14ac:dyDescent="0.35">
      <c r="A355" s="51"/>
      <c r="B355" s="3" t="s">
        <v>101</v>
      </c>
      <c r="C355" s="4" t="s">
        <v>49</v>
      </c>
      <c r="D355" s="1">
        <f>D349*14.4</f>
        <v>4866.784560000001</v>
      </c>
      <c r="E355" s="1">
        <f>SUMIFS(მასალა!D6:D334,მასალა!B6:B334,ბიუჯეტი!B355)</f>
        <v>3.8135593220338986E-2</v>
      </c>
      <c r="F355" s="1">
        <f>E355*D355</f>
        <v>185.5977162711865</v>
      </c>
      <c r="G355" s="1"/>
      <c r="H355" s="1">
        <f t="shared" si="53"/>
        <v>0</v>
      </c>
      <c r="I355" s="1"/>
      <c r="J355" s="1"/>
      <c r="K355" s="1">
        <f t="shared" si="51"/>
        <v>185.5977162711865</v>
      </c>
      <c r="M355" s="77">
        <f>VLOOKUP(B355,[1]ბიუჯეტი!$B:$K,3,FALSE)</f>
        <v>15452.156160000002</v>
      </c>
      <c r="N355" s="77">
        <f>VLOOKUP($B355,[1]ბიუჯეტი!$B:$K,4,FALSE)</f>
        <v>3.8135593220338986E-2</v>
      </c>
      <c r="O355" s="77">
        <f>VLOOKUP($B355,[1]ბიუჯეტი!$B:$K,5,FALSE)</f>
        <v>589.27714169491537</v>
      </c>
      <c r="P355" s="77">
        <f>VLOOKUP($B355,[1]ბიუჯეტი!$B:$K,6,FALSE)</f>
        <v>0</v>
      </c>
      <c r="Q355" s="77">
        <f>VLOOKUP($B355,[1]ბიუჯეტი!$B:$K,7,FALSE)</f>
        <v>0</v>
      </c>
      <c r="R355" s="77">
        <f>VLOOKUP($B355,[1]ბიუჯეტი!$B:$K,8,FALSE)</f>
        <v>0</v>
      </c>
      <c r="S355" s="77">
        <f>VLOOKUP($B355,[1]ბიუჯეტი!$B:$K,9,FALSE)</f>
        <v>0</v>
      </c>
      <c r="T355" s="77">
        <f>VLOOKUP($B355,[1]ბიუჯეტი!$B:$K,10,FALSE)</f>
        <v>589.27714169491537</v>
      </c>
      <c r="V355" s="78">
        <f t="shared" si="46"/>
        <v>0</v>
      </c>
      <c r="W355" s="78">
        <f t="shared" si="47"/>
        <v>0</v>
      </c>
      <c r="X355" s="78">
        <f t="shared" si="48"/>
        <v>0</v>
      </c>
      <c r="Y355" s="78">
        <f t="shared" si="49"/>
        <v>-10585.371600000002</v>
      </c>
    </row>
    <row r="356" spans="1:25" hidden="1" outlineLevel="1" x14ac:dyDescent="0.35">
      <c r="A356" s="51"/>
      <c r="B356" s="3" t="s">
        <v>263</v>
      </c>
      <c r="C356" s="4" t="s">
        <v>49</v>
      </c>
      <c r="D356" s="1">
        <f>D351*7</f>
        <v>579.62052225000025</v>
      </c>
      <c r="E356" s="1">
        <f>SUMIFS(მასალა!D7:D335,მასალა!B7:B335,ბიუჯეტი!B356)</f>
        <v>8.0508474576271194E-2</v>
      </c>
      <c r="F356" s="1">
        <f>E356*D356</f>
        <v>46.664364079449179</v>
      </c>
      <c r="G356" s="1"/>
      <c r="H356" s="1">
        <f t="shared" si="53"/>
        <v>0</v>
      </c>
      <c r="I356" s="1"/>
      <c r="J356" s="1"/>
      <c r="K356" s="1">
        <f t="shared" si="51"/>
        <v>46.664364079449179</v>
      </c>
      <c r="M356" s="77">
        <f>VLOOKUP(B356,[1]ბიუჯეტი!$B:$K,3,FALSE)</f>
        <v>2682.6660000000002</v>
      </c>
      <c r="N356" s="77">
        <f>VLOOKUP($B356,[1]ბიუჯეტი!$B:$K,4,FALSE)</f>
        <v>8.0508474576271194E-2</v>
      </c>
      <c r="O356" s="77">
        <f>VLOOKUP($B356,[1]ბიუჯეტი!$B:$K,5,FALSE)</f>
        <v>215.97734745762716</v>
      </c>
      <c r="P356" s="77">
        <f>VLOOKUP($B356,[1]ბიუჯეტი!$B:$K,6,FALSE)</f>
        <v>0</v>
      </c>
      <c r="Q356" s="77">
        <f>VLOOKUP($B356,[1]ბიუჯეტი!$B:$K,7,FALSE)</f>
        <v>0</v>
      </c>
      <c r="R356" s="77">
        <f>VLOOKUP($B356,[1]ბიუჯეტი!$B:$K,8,FALSE)</f>
        <v>0</v>
      </c>
      <c r="S356" s="77">
        <f>VLOOKUP($B356,[1]ბიუჯეტი!$B:$K,9,FALSE)</f>
        <v>0</v>
      </c>
      <c r="T356" s="77">
        <f>VLOOKUP($B356,[1]ბიუჯეტი!$B:$K,10,FALSE)</f>
        <v>215.97734745762716</v>
      </c>
      <c r="V356" s="78">
        <f t="shared" si="46"/>
        <v>0</v>
      </c>
      <c r="W356" s="78">
        <f t="shared" si="47"/>
        <v>0</v>
      </c>
      <c r="X356" s="78">
        <f t="shared" si="48"/>
        <v>0</v>
      </c>
      <c r="Y356" s="78">
        <f t="shared" si="49"/>
        <v>-2103.0454777499999</v>
      </c>
    </row>
    <row r="357" spans="1:25" hidden="1" outlineLevel="1" x14ac:dyDescent="0.35">
      <c r="A357" s="51"/>
      <c r="B357" s="3" t="s">
        <v>321</v>
      </c>
      <c r="C357" s="4" t="s">
        <v>49</v>
      </c>
      <c r="D357" s="1">
        <f>D352*4</f>
        <v>946.31922000000031</v>
      </c>
      <c r="E357" s="1">
        <f>SUMIFS(მასალა!D8:D336,მასალა!B8:B336,ბიუჯეტი!B357)</f>
        <v>3.2203389830508473E-2</v>
      </c>
      <c r="F357" s="1">
        <f>E357*D357</f>
        <v>30.474686745762721</v>
      </c>
      <c r="G357" s="1"/>
      <c r="H357" s="1">
        <f>D357*G357</f>
        <v>0</v>
      </c>
      <c r="I357" s="1"/>
      <c r="J357" s="1"/>
      <c r="K357" s="1">
        <f t="shared" si="51"/>
        <v>30.474686745762721</v>
      </c>
      <c r="M357" s="77">
        <f>VLOOKUP(B357,[1]ბიუჯეტი!$B:$K,3,FALSE)</f>
        <v>5365.3320000000003</v>
      </c>
      <c r="N357" s="77">
        <f>VLOOKUP($B357,[1]ბიუჯეტი!$B:$K,4,FALSE)</f>
        <v>3.2203389830508473E-2</v>
      </c>
      <c r="O357" s="77">
        <f>VLOOKUP($B357,[1]ბიუჯეტი!$B:$K,5,FALSE)</f>
        <v>172.78187796610169</v>
      </c>
      <c r="P357" s="77">
        <f>VLOOKUP($B357,[1]ბიუჯეტი!$B:$K,6,FALSE)</f>
        <v>0</v>
      </c>
      <c r="Q357" s="77">
        <f>VLOOKUP($B357,[1]ბიუჯეტი!$B:$K,7,FALSE)</f>
        <v>0</v>
      </c>
      <c r="R357" s="77">
        <f>VLOOKUP($B357,[1]ბიუჯეტი!$B:$K,8,FALSE)</f>
        <v>0</v>
      </c>
      <c r="S357" s="77">
        <f>VLOOKUP($B357,[1]ბიუჯეტი!$B:$K,9,FALSE)</f>
        <v>0</v>
      </c>
      <c r="T357" s="77">
        <f>VLOOKUP($B357,[1]ბიუჯეტი!$B:$K,10,FALSE)</f>
        <v>172.78187796610169</v>
      </c>
      <c r="V357" s="78">
        <f t="shared" si="46"/>
        <v>0</v>
      </c>
      <c r="W357" s="78">
        <f t="shared" si="47"/>
        <v>0</v>
      </c>
      <c r="X357" s="78">
        <f t="shared" si="48"/>
        <v>0</v>
      </c>
      <c r="Y357" s="78">
        <f t="shared" si="49"/>
        <v>-4419.01278</v>
      </c>
    </row>
    <row r="358" spans="1:25" hidden="1" outlineLevel="1" x14ac:dyDescent="0.35">
      <c r="A358" s="51"/>
      <c r="B358" s="3" t="s">
        <v>389</v>
      </c>
      <c r="C358" s="4" t="s">
        <v>10</v>
      </c>
      <c r="D358" s="1">
        <f>D349</f>
        <v>337.97115000000008</v>
      </c>
      <c r="E358" s="1">
        <f>SUMIFS(მასალა!D9:D337,მასალა!B9:B337,ბიუჯეტი!B358)</f>
        <v>0.84745762711864414</v>
      </c>
      <c r="F358" s="1">
        <f t="shared" ref="F358:F364" si="54">D358*E358</f>
        <v>286.41622881355943</v>
      </c>
      <c r="G358" s="1"/>
      <c r="H358" s="1">
        <f t="shared" si="53"/>
        <v>0</v>
      </c>
      <c r="I358" s="1"/>
      <c r="J358" s="1"/>
      <c r="K358" s="1">
        <f t="shared" si="51"/>
        <v>286.41622881355943</v>
      </c>
      <c r="M358" s="77">
        <f>VLOOKUP(B358,[1]ბიუჯეტი!$B:$K,3,FALSE)</f>
        <v>1073.0664000000002</v>
      </c>
      <c r="N358" s="77">
        <f>VLOOKUP($B358,[1]ბიუჯეტი!$B:$K,4,FALSE)</f>
        <v>0.84745762711864414</v>
      </c>
      <c r="O358" s="77">
        <f>VLOOKUP($B358,[1]ბიუჯეტი!$B:$K,5,FALSE)</f>
        <v>909.37830508474599</v>
      </c>
      <c r="P358" s="77">
        <f>VLOOKUP($B358,[1]ბიუჯეტი!$B:$K,6,FALSE)</f>
        <v>0</v>
      </c>
      <c r="Q358" s="77">
        <f>VLOOKUP($B358,[1]ბიუჯეტი!$B:$K,7,FALSE)</f>
        <v>0</v>
      </c>
      <c r="R358" s="77">
        <f>VLOOKUP($B358,[1]ბიუჯეტი!$B:$K,8,FALSE)</f>
        <v>0</v>
      </c>
      <c r="S358" s="77">
        <f>VLOOKUP($B358,[1]ბიუჯეტი!$B:$K,9,FALSE)</f>
        <v>0</v>
      </c>
      <c r="T358" s="77">
        <f>VLOOKUP($B358,[1]ბიუჯეტი!$B:$K,10,FALSE)</f>
        <v>909.37830508474599</v>
      </c>
      <c r="V358" s="78">
        <f t="shared" si="46"/>
        <v>0</v>
      </c>
      <c r="W358" s="78">
        <f t="shared" si="47"/>
        <v>0</v>
      </c>
      <c r="X358" s="78">
        <f t="shared" si="48"/>
        <v>0</v>
      </c>
      <c r="Y358" s="78">
        <f t="shared" si="49"/>
        <v>-735.09525000000008</v>
      </c>
    </row>
    <row r="359" spans="1:25" hidden="1" outlineLevel="1" x14ac:dyDescent="0.35">
      <c r="A359" s="51">
        <v>1</v>
      </c>
      <c r="B359" s="23" t="s">
        <v>178</v>
      </c>
      <c r="C359" s="4" t="s">
        <v>10</v>
      </c>
      <c r="D359" s="1">
        <f>სამუშაო!E97+სამუშაო!E98+სამუშაო!E99</f>
        <v>1085.2380000000001</v>
      </c>
      <c r="E359" s="1"/>
      <c r="F359" s="1">
        <f t="shared" si="54"/>
        <v>0</v>
      </c>
      <c r="G359" s="1">
        <f>ხელფასი!D19</f>
        <v>20.399999999999999</v>
      </c>
      <c r="H359" s="1">
        <f t="shared" si="53"/>
        <v>22138.855199999998</v>
      </c>
      <c r="I359" s="1"/>
      <c r="J359" s="1"/>
      <c r="K359" s="1">
        <f t="shared" si="51"/>
        <v>22138.855199999998</v>
      </c>
      <c r="M359" s="77">
        <f>VLOOKUP(B359,[1]ბიუჯეტი!$B:$K,3,FALSE)</f>
        <v>3271.0392000000002</v>
      </c>
      <c r="N359" s="77">
        <f>VLOOKUP($B359,[1]ბიუჯეტი!$B:$K,4,FALSE)</f>
        <v>0</v>
      </c>
      <c r="O359" s="77">
        <f>VLOOKUP($B359,[1]ბიუჯეტი!$B:$K,5,FALSE)</f>
        <v>0</v>
      </c>
      <c r="P359" s="77">
        <f>VLOOKUP($B359,[1]ბიუჯეტი!$B:$K,6,FALSE)</f>
        <v>15.299999999999999</v>
      </c>
      <c r="Q359" s="77">
        <f>VLOOKUP($B359,[1]ბიუჯეტი!$B:$K,7,FALSE)</f>
        <v>50046.89976</v>
      </c>
      <c r="R359" s="77">
        <f>VLOOKUP($B359,[1]ბიუჯეტი!$B:$K,8,FALSE)</f>
        <v>0</v>
      </c>
      <c r="S359" s="77">
        <f>VLOOKUP($B359,[1]ბიუჯეტი!$B:$K,9,FALSE)</f>
        <v>0</v>
      </c>
      <c r="T359" s="77">
        <f>VLOOKUP($B359,[1]ბიუჯეტი!$B:$K,10,FALSE)</f>
        <v>50046.89976</v>
      </c>
      <c r="V359" s="78">
        <f t="shared" si="46"/>
        <v>0</v>
      </c>
      <c r="W359" s="78">
        <f t="shared" si="47"/>
        <v>5.0999999999999996</v>
      </c>
      <c r="X359" s="78">
        <f t="shared" si="48"/>
        <v>0</v>
      </c>
      <c r="Y359" s="78">
        <f t="shared" si="49"/>
        <v>-2185.8011999999999</v>
      </c>
    </row>
    <row r="360" spans="1:25" hidden="1" outlineLevel="1" x14ac:dyDescent="0.35">
      <c r="A360" s="51">
        <v>1</v>
      </c>
      <c r="B360" s="23" t="s">
        <v>178</v>
      </c>
      <c r="C360" s="4" t="s">
        <v>10</v>
      </c>
      <c r="D360" s="1">
        <f>D359*1.1</f>
        <v>1193.7618000000002</v>
      </c>
      <c r="E360" s="1"/>
      <c r="F360" s="1">
        <f t="shared" si="54"/>
        <v>0</v>
      </c>
      <c r="G360" s="1">
        <v>0</v>
      </c>
      <c r="H360" s="1">
        <f t="shared" si="53"/>
        <v>0</v>
      </c>
      <c r="I360" s="1"/>
      <c r="J360" s="1"/>
      <c r="K360" s="1">
        <f t="shared" si="51"/>
        <v>0</v>
      </c>
      <c r="M360" s="77">
        <f>VLOOKUP(B360,[1]ბიუჯეტი!$B:$K,3,FALSE)</f>
        <v>3271.0392000000002</v>
      </c>
      <c r="N360" s="77">
        <f>VLOOKUP($B360,[1]ბიუჯეტი!$B:$K,4,FALSE)</f>
        <v>0</v>
      </c>
      <c r="O360" s="77">
        <f>VLOOKUP($B360,[1]ბიუჯეტი!$B:$K,5,FALSE)</f>
        <v>0</v>
      </c>
      <c r="P360" s="77">
        <f>VLOOKUP($B360,[1]ბიუჯეტი!$B:$K,6,FALSE)</f>
        <v>15.299999999999999</v>
      </c>
      <c r="Q360" s="77">
        <f>VLOOKUP($B360,[1]ბიუჯეტი!$B:$K,7,FALSE)</f>
        <v>50046.89976</v>
      </c>
      <c r="R360" s="77">
        <f>VLOOKUP($B360,[1]ბიუჯეტი!$B:$K,8,FALSE)</f>
        <v>0</v>
      </c>
      <c r="S360" s="77">
        <f>VLOOKUP($B360,[1]ბიუჯეტი!$B:$K,9,FALSE)</f>
        <v>0</v>
      </c>
      <c r="T360" s="77">
        <f>VLOOKUP($B360,[1]ბიუჯეტი!$B:$K,10,FALSE)</f>
        <v>50046.89976</v>
      </c>
      <c r="V360" s="78">
        <f t="shared" si="46"/>
        <v>0</v>
      </c>
      <c r="W360" s="78">
        <f t="shared" si="47"/>
        <v>-15.299999999999999</v>
      </c>
      <c r="X360" s="78">
        <f t="shared" si="48"/>
        <v>0</v>
      </c>
      <c r="Y360" s="78">
        <f t="shared" si="49"/>
        <v>-2077.2773999999999</v>
      </c>
    </row>
    <row r="361" spans="1:25" hidden="1" outlineLevel="1" x14ac:dyDescent="0.35">
      <c r="A361" s="51"/>
      <c r="B361" s="3" t="s">
        <v>95</v>
      </c>
      <c r="C361" s="4" t="s">
        <v>49</v>
      </c>
      <c r="D361" s="1">
        <f>D360/4*3*1.05</f>
        <v>940.08741750000024</v>
      </c>
      <c r="E361" s="1">
        <f>SUMIFS(მასალა!D1:D340,მასალა!B1:B340,ბიუჯეტი!B361)</f>
        <v>12.627118644067798</v>
      </c>
      <c r="F361" s="1">
        <f t="shared" si="54"/>
        <v>11870.595356567801</v>
      </c>
      <c r="G361" s="1"/>
      <c r="H361" s="1">
        <f t="shared" si="53"/>
        <v>0</v>
      </c>
      <c r="I361" s="1"/>
      <c r="J361" s="1"/>
      <c r="K361" s="1">
        <f t="shared" si="51"/>
        <v>11870.595356567801</v>
      </c>
      <c r="M361" s="77">
        <f>VLOOKUP(B361,[1]ბიუჯეტი!$B:$K,3,FALSE)</f>
        <v>751.14648000000022</v>
      </c>
      <c r="N361" s="77">
        <f>VLOOKUP($B361,[1]ბიუჯეტი!$B:$K,4,FALSE)</f>
        <v>12.627118644067798</v>
      </c>
      <c r="O361" s="77">
        <f>VLOOKUP($B361,[1]ბიუჯეტი!$B:$K,5,FALSE)</f>
        <v>9484.8157220339017</v>
      </c>
      <c r="P361" s="77">
        <f>VLOOKUP($B361,[1]ბიუჯეტი!$B:$K,6,FALSE)</f>
        <v>0</v>
      </c>
      <c r="Q361" s="77">
        <f>VLOOKUP($B361,[1]ბიუჯეტი!$B:$K,7,FALSE)</f>
        <v>0</v>
      </c>
      <c r="R361" s="77">
        <f>VLOOKUP($B361,[1]ბიუჯეტი!$B:$K,8,FALSE)</f>
        <v>0</v>
      </c>
      <c r="S361" s="77">
        <f>VLOOKUP($B361,[1]ბიუჯეტი!$B:$K,9,FALSE)</f>
        <v>0</v>
      </c>
      <c r="T361" s="77">
        <f>VLOOKUP($B361,[1]ბიუჯეტი!$B:$K,10,FALSE)</f>
        <v>9484.8157220339017</v>
      </c>
      <c r="V361" s="78">
        <f t="shared" si="46"/>
        <v>0</v>
      </c>
      <c r="W361" s="78">
        <f t="shared" si="47"/>
        <v>0</v>
      </c>
      <c r="X361" s="78">
        <f t="shared" si="48"/>
        <v>0</v>
      </c>
      <c r="Y361" s="78">
        <f t="shared" si="49"/>
        <v>188.94093750000002</v>
      </c>
    </row>
    <row r="362" spans="1:25" hidden="1" outlineLevel="1" x14ac:dyDescent="0.35">
      <c r="A362" s="51"/>
      <c r="B362" s="3" t="s">
        <v>103</v>
      </c>
      <c r="C362" s="4" t="s">
        <v>49</v>
      </c>
      <c r="D362" s="1">
        <f>D360*0.7/3*1.05</f>
        <v>292.47164100000003</v>
      </c>
      <c r="E362" s="1">
        <f>SUMIFS(მასალა!D2:D341,მასალა!B2:B341,ბიუჯეტი!B362)</f>
        <v>12.288135593220339</v>
      </c>
      <c r="F362" s="1">
        <f t="shared" si="54"/>
        <v>3593.9311817796615</v>
      </c>
      <c r="G362" s="1"/>
      <c r="H362" s="1">
        <f t="shared" si="53"/>
        <v>0</v>
      </c>
      <c r="I362" s="1"/>
      <c r="J362" s="1"/>
      <c r="K362" s="1">
        <f t="shared" si="51"/>
        <v>3593.9311817796615</v>
      </c>
      <c r="M362" s="77">
        <f>VLOOKUP(B362,[1]ბიუჯეტი!$B:$K,3,FALSE)</f>
        <v>87.005110500000015</v>
      </c>
      <c r="N362" s="77">
        <f>VLOOKUP($B362,[1]ბიუჯეტი!$B:$K,4,FALSE)</f>
        <v>12.288135593220339</v>
      </c>
      <c r="O362" s="77">
        <f>VLOOKUP($B362,[1]ბიუჯეტი!$B:$K,5,FALSE)</f>
        <v>1069.1305951271188</v>
      </c>
      <c r="P362" s="77">
        <f>VLOOKUP($B362,[1]ბიუჯეტი!$B:$K,6,FALSE)</f>
        <v>0</v>
      </c>
      <c r="Q362" s="77">
        <f>VLOOKUP($B362,[1]ბიუჯეტი!$B:$K,7,FALSE)</f>
        <v>0</v>
      </c>
      <c r="R362" s="77">
        <f>VLOOKUP($B362,[1]ბიუჯეტი!$B:$K,8,FALSE)</f>
        <v>0</v>
      </c>
      <c r="S362" s="77">
        <f>VLOOKUP($B362,[1]ბიუჯეტი!$B:$K,9,FALSE)</f>
        <v>0</v>
      </c>
      <c r="T362" s="77">
        <f>VLOOKUP($B362,[1]ბიუჯეტი!$B:$K,10,FALSE)</f>
        <v>1069.1305951271188</v>
      </c>
      <c r="V362" s="78">
        <f t="shared" si="46"/>
        <v>0</v>
      </c>
      <c r="W362" s="78">
        <f t="shared" si="47"/>
        <v>0</v>
      </c>
      <c r="X362" s="78">
        <f t="shared" si="48"/>
        <v>0</v>
      </c>
      <c r="Y362" s="78">
        <f t="shared" si="49"/>
        <v>205.46653050000003</v>
      </c>
    </row>
    <row r="363" spans="1:25" hidden="1" outlineLevel="1" x14ac:dyDescent="0.35">
      <c r="A363" s="51"/>
      <c r="B363" s="3" t="s">
        <v>104</v>
      </c>
      <c r="C363" s="4" t="s">
        <v>49</v>
      </c>
      <c r="D363" s="1">
        <f>D360*2/3*1.05</f>
        <v>835.63326000000018</v>
      </c>
      <c r="E363" s="1">
        <f>SUMIFS(მასალა!D3:D342,მასალა!B3:B342,ბიუჯეტი!B363)</f>
        <v>14.237288135593221</v>
      </c>
      <c r="F363" s="1">
        <f t="shared" si="54"/>
        <v>11897.151498305087</v>
      </c>
      <c r="G363" s="1"/>
      <c r="H363" s="1">
        <f t="shared" si="53"/>
        <v>0</v>
      </c>
      <c r="I363" s="1"/>
      <c r="J363" s="1"/>
      <c r="K363" s="1">
        <f t="shared" si="51"/>
        <v>11897.151498305087</v>
      </c>
      <c r="M363" s="77">
        <f>VLOOKUP(B363,[1]ბიუჯეტი!$B:$K,3,FALSE)</f>
        <v>248.58603000000005</v>
      </c>
      <c r="N363" s="77">
        <f>VLOOKUP($B363,[1]ბიუჯეტი!$B:$K,4,FALSE)</f>
        <v>14.237288135593221</v>
      </c>
      <c r="O363" s="77">
        <f>VLOOKUP($B363,[1]ბიუჯეტი!$B:$K,5,FALSE)</f>
        <v>3539.1909355932212</v>
      </c>
      <c r="P363" s="77">
        <f>VLOOKUP($B363,[1]ბიუჯეტი!$B:$K,6,FALSE)</f>
        <v>0</v>
      </c>
      <c r="Q363" s="77">
        <f>VLOOKUP($B363,[1]ბიუჯეტი!$B:$K,7,FALSE)</f>
        <v>0</v>
      </c>
      <c r="R363" s="77">
        <f>VLOOKUP($B363,[1]ბიუჯეტი!$B:$K,8,FALSE)</f>
        <v>0</v>
      </c>
      <c r="S363" s="77">
        <f>VLOOKUP($B363,[1]ბიუჯეტი!$B:$K,9,FALSE)</f>
        <v>0</v>
      </c>
      <c r="T363" s="77">
        <f>VLOOKUP($B363,[1]ბიუჯეტი!$B:$K,10,FALSE)</f>
        <v>3539.1909355932212</v>
      </c>
      <c r="V363" s="78">
        <f t="shared" si="46"/>
        <v>0</v>
      </c>
      <c r="W363" s="78">
        <f t="shared" si="47"/>
        <v>0</v>
      </c>
      <c r="X363" s="78">
        <f t="shared" si="48"/>
        <v>0</v>
      </c>
      <c r="Y363" s="78">
        <f t="shared" si="49"/>
        <v>587.04723000000013</v>
      </c>
    </row>
    <row r="364" spans="1:25" hidden="1" outlineLevel="1" x14ac:dyDescent="0.35">
      <c r="A364" s="51"/>
      <c r="B364" s="3" t="s">
        <v>98</v>
      </c>
      <c r="C364" s="4" t="s">
        <v>10</v>
      </c>
      <c r="D364" s="1">
        <f>D360/2*1.02</f>
        <v>608.81851800000015</v>
      </c>
      <c r="E364" s="1">
        <f>SUMIFS(მასალა!D4:D343,მასალა!B4:B343,ბიუჯეტი!B364)</f>
        <v>2.4576271186440679</v>
      </c>
      <c r="F364" s="1">
        <f t="shared" si="54"/>
        <v>1496.2489001694919</v>
      </c>
      <c r="G364" s="1"/>
      <c r="H364" s="1">
        <f t="shared" si="53"/>
        <v>0</v>
      </c>
      <c r="I364" s="1"/>
      <c r="J364" s="1"/>
      <c r="K364" s="1">
        <f t="shared" si="51"/>
        <v>1496.2489001694919</v>
      </c>
      <c r="M364" s="77">
        <f>VLOOKUP(B364,[1]ბიუჯეტი!$B:$K,3,FALSE)</f>
        <v>1094.5277280000003</v>
      </c>
      <c r="N364" s="77">
        <f>VLOOKUP($B364,[1]ბიუჯეტი!$B:$K,4,FALSE)</f>
        <v>2.4576271186440679</v>
      </c>
      <c r="O364" s="77">
        <f>VLOOKUP($B364,[1]ბიუჯეტი!$B:$K,5,FALSE)</f>
        <v>2689.9410264406788</v>
      </c>
      <c r="P364" s="77">
        <f>VLOOKUP($B364,[1]ბიუჯეტი!$B:$K,6,FALSE)</f>
        <v>0</v>
      </c>
      <c r="Q364" s="77">
        <f>VLOOKUP($B364,[1]ბიუჯეტი!$B:$K,7,FALSE)</f>
        <v>0</v>
      </c>
      <c r="R364" s="77">
        <f>VLOOKUP($B364,[1]ბიუჯეტი!$B:$K,8,FALSE)</f>
        <v>0</v>
      </c>
      <c r="S364" s="77">
        <f>VLOOKUP($B364,[1]ბიუჯეტი!$B:$K,9,FALSE)</f>
        <v>0</v>
      </c>
      <c r="T364" s="77">
        <f>VLOOKUP($B364,[1]ბიუჯეტი!$B:$K,10,FALSE)</f>
        <v>2689.9410264406788</v>
      </c>
      <c r="V364" s="78">
        <f t="shared" si="46"/>
        <v>0</v>
      </c>
      <c r="W364" s="78">
        <f t="shared" si="47"/>
        <v>0</v>
      </c>
      <c r="X364" s="78">
        <f t="shared" si="48"/>
        <v>0</v>
      </c>
      <c r="Y364" s="78">
        <f t="shared" si="49"/>
        <v>-485.7092100000001</v>
      </c>
    </row>
    <row r="365" spans="1:25" hidden="1" outlineLevel="1" x14ac:dyDescent="0.35">
      <c r="A365" s="51"/>
      <c r="B365" s="3" t="s">
        <v>100</v>
      </c>
      <c r="C365" s="4" t="s">
        <v>49</v>
      </c>
      <c r="D365" s="1">
        <f>D360*7.6</f>
        <v>9072.589680000001</v>
      </c>
      <c r="E365" s="1">
        <f>SUMIFS(მასალა!D5:D344,მასალა!B5:B344,ბიუჯეტი!B365)</f>
        <v>2.9661016949152547E-2</v>
      </c>
      <c r="F365" s="1">
        <f>E365*D365</f>
        <v>269.10223627118648</v>
      </c>
      <c r="G365" s="1"/>
      <c r="H365" s="1">
        <f t="shared" si="53"/>
        <v>0</v>
      </c>
      <c r="I365" s="1"/>
      <c r="J365" s="1"/>
      <c r="K365" s="1">
        <f t="shared" si="51"/>
        <v>269.10223627118648</v>
      </c>
      <c r="M365" s="77">
        <f>VLOOKUP(B365,[1]ბიუჯეტი!$B:$K,3,FALSE)</f>
        <v>8155.3046400000012</v>
      </c>
      <c r="N365" s="77">
        <f>VLOOKUP($B365,[1]ბიუჯეტი!$B:$K,4,FALSE)</f>
        <v>2.9661016949152547E-2</v>
      </c>
      <c r="O365" s="77">
        <f>VLOOKUP($B365,[1]ბიუჯეტი!$B:$K,5,FALSE)</f>
        <v>241.89462915254245</v>
      </c>
      <c r="P365" s="77">
        <f>VLOOKUP($B365,[1]ბიუჯეტი!$B:$K,6,FALSE)</f>
        <v>0</v>
      </c>
      <c r="Q365" s="77">
        <f>VLOOKUP($B365,[1]ბიუჯეტი!$B:$K,7,FALSE)</f>
        <v>0</v>
      </c>
      <c r="R365" s="77">
        <f>VLOOKUP($B365,[1]ბიუჯეტი!$B:$K,8,FALSE)</f>
        <v>0</v>
      </c>
      <c r="S365" s="77">
        <f>VLOOKUP($B365,[1]ბიუჯეტი!$B:$K,9,FALSE)</f>
        <v>0</v>
      </c>
      <c r="T365" s="77">
        <f>VLOOKUP($B365,[1]ბიუჯეტი!$B:$K,10,FALSE)</f>
        <v>241.89462915254245</v>
      </c>
      <c r="V365" s="78">
        <f t="shared" si="46"/>
        <v>0</v>
      </c>
      <c r="W365" s="78">
        <f t="shared" si="47"/>
        <v>0</v>
      </c>
      <c r="X365" s="78">
        <f t="shared" si="48"/>
        <v>0</v>
      </c>
      <c r="Y365" s="78">
        <f t="shared" si="49"/>
        <v>917.28503999999975</v>
      </c>
    </row>
    <row r="366" spans="1:25" hidden="1" outlineLevel="1" x14ac:dyDescent="0.35">
      <c r="A366" s="51"/>
      <c r="B366" s="3" t="s">
        <v>101</v>
      </c>
      <c r="C366" s="4" t="s">
        <v>49</v>
      </c>
      <c r="D366" s="1">
        <f>D360*14.4</f>
        <v>17190.169920000004</v>
      </c>
      <c r="E366" s="1">
        <f>SUMIFS(მასალა!D6:D345,მასალა!B6:B345,ბიუჯეტი!B366)</f>
        <v>3.8135593220338986E-2</v>
      </c>
      <c r="F366" s="1">
        <f>E366*D366</f>
        <v>655.55732745762737</v>
      </c>
      <c r="G366" s="1"/>
      <c r="H366" s="1">
        <f t="shared" si="53"/>
        <v>0</v>
      </c>
      <c r="I366" s="1"/>
      <c r="J366" s="1"/>
      <c r="K366" s="1">
        <f t="shared" si="51"/>
        <v>655.55732745762737</v>
      </c>
      <c r="M366" s="77">
        <f>VLOOKUP(B366,[1]ბიუჯეტი!$B:$K,3,FALSE)</f>
        <v>15452.156160000002</v>
      </c>
      <c r="N366" s="77">
        <f>VLOOKUP($B366,[1]ბიუჯეტი!$B:$K,4,FALSE)</f>
        <v>3.8135593220338986E-2</v>
      </c>
      <c r="O366" s="77">
        <f>VLOOKUP($B366,[1]ბიუჯეტი!$B:$K,5,FALSE)</f>
        <v>589.27714169491537</v>
      </c>
      <c r="P366" s="77">
        <f>VLOOKUP($B366,[1]ბიუჯეტი!$B:$K,6,FALSE)</f>
        <v>0</v>
      </c>
      <c r="Q366" s="77">
        <f>VLOOKUP($B366,[1]ბიუჯეტი!$B:$K,7,FALSE)</f>
        <v>0</v>
      </c>
      <c r="R366" s="77">
        <f>VLOOKUP($B366,[1]ბიუჯეტი!$B:$K,8,FALSE)</f>
        <v>0</v>
      </c>
      <c r="S366" s="77">
        <f>VLOOKUP($B366,[1]ბიუჯეტი!$B:$K,9,FALSE)</f>
        <v>0</v>
      </c>
      <c r="T366" s="77">
        <f>VLOOKUP($B366,[1]ბიუჯეტი!$B:$K,10,FALSE)</f>
        <v>589.27714169491537</v>
      </c>
      <c r="V366" s="78">
        <f t="shared" si="46"/>
        <v>0</v>
      </c>
      <c r="W366" s="78">
        <f t="shared" si="47"/>
        <v>0</v>
      </c>
      <c r="X366" s="78">
        <f t="shared" si="48"/>
        <v>0</v>
      </c>
      <c r="Y366" s="78">
        <f t="shared" si="49"/>
        <v>1738.0137600000016</v>
      </c>
    </row>
    <row r="367" spans="1:25" hidden="1" outlineLevel="1" x14ac:dyDescent="0.35">
      <c r="A367" s="51"/>
      <c r="B367" s="3" t="s">
        <v>263</v>
      </c>
      <c r="C367" s="4" t="s">
        <v>49</v>
      </c>
      <c r="D367" s="1">
        <f>D362*7</f>
        <v>2047.3014870000002</v>
      </c>
      <c r="E367" s="1">
        <f>SUMIFS(მასალა!D7:D346,მასალა!B7:B346,ბიუჯეტი!B367)</f>
        <v>8.0508474576271194E-2</v>
      </c>
      <c r="F367" s="1">
        <f>E367*D367</f>
        <v>164.82511971610174</v>
      </c>
      <c r="G367" s="1"/>
      <c r="H367" s="1">
        <f t="shared" si="53"/>
        <v>0</v>
      </c>
      <c r="I367" s="1"/>
      <c r="J367" s="1"/>
      <c r="K367" s="1">
        <f t="shared" si="51"/>
        <v>164.82511971610174</v>
      </c>
      <c r="M367" s="77">
        <f>VLOOKUP(B367,[1]ბიუჯეტი!$B:$K,3,FALSE)</f>
        <v>2682.6660000000002</v>
      </c>
      <c r="N367" s="77">
        <f>VLOOKUP($B367,[1]ბიუჯეტი!$B:$K,4,FALSE)</f>
        <v>8.0508474576271194E-2</v>
      </c>
      <c r="O367" s="77">
        <f>VLOOKUP($B367,[1]ბიუჯეტი!$B:$K,5,FALSE)</f>
        <v>215.97734745762716</v>
      </c>
      <c r="P367" s="77">
        <f>VLOOKUP($B367,[1]ბიუჯეტი!$B:$K,6,FALSE)</f>
        <v>0</v>
      </c>
      <c r="Q367" s="77">
        <f>VLOOKUP($B367,[1]ბიუჯეტი!$B:$K,7,FALSE)</f>
        <v>0</v>
      </c>
      <c r="R367" s="77">
        <f>VLOOKUP($B367,[1]ბიუჯეტი!$B:$K,8,FALSE)</f>
        <v>0</v>
      </c>
      <c r="S367" s="77">
        <f>VLOOKUP($B367,[1]ბიუჯეტი!$B:$K,9,FALSE)</f>
        <v>0</v>
      </c>
      <c r="T367" s="77">
        <f>VLOOKUP($B367,[1]ბიუჯეტი!$B:$K,10,FALSE)</f>
        <v>215.97734745762716</v>
      </c>
      <c r="V367" s="78">
        <f t="shared" si="46"/>
        <v>0</v>
      </c>
      <c r="W367" s="78">
        <f t="shared" si="47"/>
        <v>0</v>
      </c>
      <c r="X367" s="78">
        <f t="shared" si="48"/>
        <v>0</v>
      </c>
      <c r="Y367" s="78">
        <f t="shared" si="49"/>
        <v>-635.36451299999999</v>
      </c>
    </row>
    <row r="368" spans="1:25" hidden="1" outlineLevel="1" x14ac:dyDescent="0.35">
      <c r="A368" s="51"/>
      <c r="B368" s="3" t="s">
        <v>321</v>
      </c>
      <c r="C368" s="4" t="s">
        <v>49</v>
      </c>
      <c r="D368" s="1">
        <f>D363*4</f>
        <v>3342.5330400000007</v>
      </c>
      <c r="E368" s="1">
        <f>SUMIFS(მასალა!D8:D347,მასალა!B8:B347,ბიუჯეტი!B368)</f>
        <v>3.2203389830508473E-2</v>
      </c>
      <c r="F368" s="1">
        <f>E368*D368</f>
        <v>107.6408945084746</v>
      </c>
      <c r="G368" s="1"/>
      <c r="H368" s="1">
        <f>D368*G368</f>
        <v>0</v>
      </c>
      <c r="I368" s="1"/>
      <c r="J368" s="1"/>
      <c r="K368" s="1">
        <f t="shared" si="51"/>
        <v>107.6408945084746</v>
      </c>
      <c r="M368" s="77">
        <f>VLOOKUP(B368,[1]ბიუჯეტი!$B:$K,3,FALSE)</f>
        <v>5365.3320000000003</v>
      </c>
      <c r="N368" s="77">
        <f>VLOOKUP($B368,[1]ბიუჯეტი!$B:$K,4,FALSE)</f>
        <v>3.2203389830508473E-2</v>
      </c>
      <c r="O368" s="77">
        <f>VLOOKUP($B368,[1]ბიუჯეტი!$B:$K,5,FALSE)</f>
        <v>172.78187796610169</v>
      </c>
      <c r="P368" s="77">
        <f>VLOOKUP($B368,[1]ბიუჯეტი!$B:$K,6,FALSE)</f>
        <v>0</v>
      </c>
      <c r="Q368" s="77">
        <f>VLOOKUP($B368,[1]ბიუჯეტი!$B:$K,7,FALSE)</f>
        <v>0</v>
      </c>
      <c r="R368" s="77">
        <f>VLOOKUP($B368,[1]ბიუჯეტი!$B:$K,8,FALSE)</f>
        <v>0</v>
      </c>
      <c r="S368" s="77">
        <f>VLOOKUP($B368,[1]ბიუჯეტი!$B:$K,9,FALSE)</f>
        <v>0</v>
      </c>
      <c r="T368" s="77">
        <f>VLOOKUP($B368,[1]ბიუჯეტი!$B:$K,10,FALSE)</f>
        <v>172.78187796610169</v>
      </c>
      <c r="V368" s="78">
        <f t="shared" si="46"/>
        <v>0</v>
      </c>
      <c r="W368" s="78">
        <f t="shared" si="47"/>
        <v>0</v>
      </c>
      <c r="X368" s="78">
        <f t="shared" si="48"/>
        <v>0</v>
      </c>
      <c r="Y368" s="78">
        <f t="shared" si="49"/>
        <v>-2022.7989599999996</v>
      </c>
    </row>
    <row r="369" spans="1:25" hidden="1" outlineLevel="1" x14ac:dyDescent="0.35">
      <c r="A369" s="51"/>
      <c r="B369" s="3" t="s">
        <v>389</v>
      </c>
      <c r="C369" s="4" t="s">
        <v>10</v>
      </c>
      <c r="D369" s="1">
        <f>D360</f>
        <v>1193.7618000000002</v>
      </c>
      <c r="E369" s="1">
        <f>SUMIFS(მასალა!D9:D348,მასალა!B9:B348,ბიუჯეტი!B369)</f>
        <v>0.84745762711864414</v>
      </c>
      <c r="F369" s="1">
        <f>D369*E369</f>
        <v>1011.6625423728816</v>
      </c>
      <c r="G369" s="1"/>
      <c r="H369" s="1">
        <f t="shared" si="53"/>
        <v>0</v>
      </c>
      <c r="I369" s="1"/>
      <c r="J369" s="1"/>
      <c r="K369" s="1">
        <f t="shared" si="51"/>
        <v>1011.6625423728816</v>
      </c>
      <c r="M369" s="77">
        <f>VLOOKUP(B369,[1]ბიუჯეტი!$B:$K,3,FALSE)</f>
        <v>1073.0664000000002</v>
      </c>
      <c r="N369" s="77">
        <f>VLOOKUP($B369,[1]ბიუჯეტი!$B:$K,4,FALSE)</f>
        <v>0.84745762711864414</v>
      </c>
      <c r="O369" s="77">
        <f>VLOOKUP($B369,[1]ბიუჯეტი!$B:$K,5,FALSE)</f>
        <v>909.37830508474599</v>
      </c>
      <c r="P369" s="77">
        <f>VLOOKUP($B369,[1]ბიუჯეტი!$B:$K,6,FALSE)</f>
        <v>0</v>
      </c>
      <c r="Q369" s="77">
        <f>VLOOKUP($B369,[1]ბიუჯეტი!$B:$K,7,FALSE)</f>
        <v>0</v>
      </c>
      <c r="R369" s="77">
        <f>VLOOKUP($B369,[1]ბიუჯეტი!$B:$K,8,FALSE)</f>
        <v>0</v>
      </c>
      <c r="S369" s="77">
        <f>VLOOKUP($B369,[1]ბიუჯეტი!$B:$K,9,FALSE)</f>
        <v>0</v>
      </c>
      <c r="T369" s="77">
        <f>VLOOKUP($B369,[1]ბიუჯეტი!$B:$K,10,FALSE)</f>
        <v>909.37830508474599</v>
      </c>
      <c r="V369" s="78">
        <f t="shared" si="46"/>
        <v>0</v>
      </c>
      <c r="W369" s="78">
        <f t="shared" si="47"/>
        <v>0</v>
      </c>
      <c r="X369" s="78">
        <f t="shared" si="48"/>
        <v>0</v>
      </c>
      <c r="Y369" s="78">
        <f t="shared" si="49"/>
        <v>120.69540000000006</v>
      </c>
    </row>
    <row r="370" spans="1:25" collapsed="1" x14ac:dyDescent="0.35">
      <c r="A370" s="51">
        <v>25</v>
      </c>
      <c r="B370" s="23" t="s">
        <v>105</v>
      </c>
      <c r="C370" s="4" t="s">
        <v>55</v>
      </c>
      <c r="D370" s="1">
        <f>SUM(D371:D373)</f>
        <v>72</v>
      </c>
      <c r="E370" s="1">
        <v>0</v>
      </c>
      <c r="F370" s="1">
        <f t="shared" ref="F370:F394" si="55">D370*E370</f>
        <v>0</v>
      </c>
      <c r="G370" s="1">
        <v>0</v>
      </c>
      <c r="H370" s="1">
        <v>0</v>
      </c>
      <c r="I370" s="1">
        <f>SUM(K371:K373)/D370</f>
        <v>960.45197740113008</v>
      </c>
      <c r="J370" s="1">
        <f>D370*I370</f>
        <v>69152.542372881362</v>
      </c>
      <c r="K370" s="1">
        <f t="shared" si="51"/>
        <v>69152.542372881362</v>
      </c>
      <c r="M370" s="77">
        <f>VLOOKUP(B370,[1]ბიუჯეტი!$B:$K,3,FALSE)</f>
        <v>74</v>
      </c>
      <c r="N370" s="77">
        <f>VLOOKUP($B370,[1]ბიუჯეტი!$B:$K,4,FALSE)</f>
        <v>0</v>
      </c>
      <c r="O370" s="77">
        <f>VLOOKUP($B370,[1]ბიუჯეტი!$B:$K,5,FALSE)</f>
        <v>0</v>
      </c>
      <c r="P370" s="77">
        <f>VLOOKUP($B370,[1]ბიუჯეტი!$B:$K,6,FALSE)</f>
        <v>0</v>
      </c>
      <c r="Q370" s="77">
        <f>VLOOKUP($B370,[1]ბიუჯეტი!$B:$K,7,FALSE)</f>
        <v>0</v>
      </c>
      <c r="R370" s="77">
        <f>VLOOKUP($B370,[1]ბიუჯეტი!$B:$K,8,FALSE)</f>
        <v>964.26935409986265</v>
      </c>
      <c r="S370" s="77">
        <f>VLOOKUP($B370,[1]ბიუჯეტი!$B:$K,9,FALSE)</f>
        <v>71355.932203389835</v>
      </c>
      <c r="T370" s="77">
        <f>VLOOKUP($B370,[1]ბიუჯეტი!$B:$K,10,FALSE)</f>
        <v>71355.932203389835</v>
      </c>
      <c r="V370" s="78">
        <f t="shared" si="46"/>
        <v>0</v>
      </c>
      <c r="W370" s="78">
        <f t="shared" si="47"/>
        <v>0</v>
      </c>
      <c r="X370" s="78">
        <f t="shared" si="48"/>
        <v>-3.8173766987325735</v>
      </c>
      <c r="Y370" s="78">
        <f t="shared" si="49"/>
        <v>-2</v>
      </c>
    </row>
    <row r="371" spans="1:25" hidden="1" outlineLevel="1" x14ac:dyDescent="0.35">
      <c r="A371" s="51">
        <v>2</v>
      </c>
      <c r="B371" s="23" t="s">
        <v>180</v>
      </c>
      <c r="C371" s="4" t="s">
        <v>55</v>
      </c>
      <c r="D371" s="1">
        <f>სამუშაო!D55</f>
        <v>30</v>
      </c>
      <c r="E371" s="1"/>
      <c r="F371" s="1">
        <f t="shared" si="55"/>
        <v>0</v>
      </c>
      <c r="G371" s="1"/>
      <c r="H371" s="1">
        <f t="shared" ref="H371:H376" si="56">D371*G371</f>
        <v>0</v>
      </c>
      <c r="I371" s="1">
        <f>მომსახურება!D9</f>
        <v>762.71186440677968</v>
      </c>
      <c r="J371" s="1">
        <f t="shared" ref="J371:J394" si="57">D371*I371</f>
        <v>22881.355932203391</v>
      </c>
      <c r="K371" s="1">
        <f t="shared" si="51"/>
        <v>22881.355932203391</v>
      </c>
      <c r="M371" s="77">
        <f>VLOOKUP(B371,[1]ბიუჯეტი!$B:$K,3,FALSE)</f>
        <v>30</v>
      </c>
      <c r="N371" s="77">
        <f>VLOOKUP($B371,[1]ბიუჯეტი!$B:$K,4,FALSE)</f>
        <v>0</v>
      </c>
      <c r="O371" s="77">
        <f>VLOOKUP($B371,[1]ბიუჯეტი!$B:$K,5,FALSE)</f>
        <v>0</v>
      </c>
      <c r="P371" s="77">
        <f>VLOOKUP($B371,[1]ბიუჯეტი!$B:$K,6,FALSE)</f>
        <v>0</v>
      </c>
      <c r="Q371" s="77">
        <f>VLOOKUP($B371,[1]ბიუჯეტი!$B:$K,7,FALSE)</f>
        <v>0</v>
      </c>
      <c r="R371" s="77">
        <f>VLOOKUP($B371,[1]ბიუჯეტი!$B:$K,8,FALSE)</f>
        <v>762.71186440677968</v>
      </c>
      <c r="S371" s="77">
        <f>VLOOKUP($B371,[1]ბიუჯეტი!$B:$K,9,FALSE)</f>
        <v>22881.355932203391</v>
      </c>
      <c r="T371" s="77">
        <f>VLOOKUP($B371,[1]ბიუჯეტი!$B:$K,10,FALSE)</f>
        <v>22881.355932203391</v>
      </c>
      <c r="V371" s="78">
        <f t="shared" si="46"/>
        <v>0</v>
      </c>
      <c r="W371" s="78">
        <f t="shared" si="47"/>
        <v>0</v>
      </c>
      <c r="X371" s="78">
        <f t="shared" si="48"/>
        <v>0</v>
      </c>
      <c r="Y371" s="78">
        <f t="shared" si="49"/>
        <v>0</v>
      </c>
    </row>
    <row r="372" spans="1:25" hidden="1" outlineLevel="1" x14ac:dyDescent="0.35">
      <c r="A372" s="51">
        <v>3</v>
      </c>
      <c r="B372" s="23" t="s">
        <v>106</v>
      </c>
      <c r="C372" s="4" t="s">
        <v>55</v>
      </c>
      <c r="D372" s="1">
        <f>სამუშაო!D56</f>
        <v>12</v>
      </c>
      <c r="E372" s="1"/>
      <c r="F372" s="1">
        <f t="shared" si="55"/>
        <v>0</v>
      </c>
      <c r="G372" s="1"/>
      <c r="H372" s="1">
        <f t="shared" si="56"/>
        <v>0</v>
      </c>
      <c r="I372" s="1">
        <f>მომსახურება!D8</f>
        <v>1101.6949152542375</v>
      </c>
      <c r="J372" s="1">
        <f t="shared" si="57"/>
        <v>13220.338983050849</v>
      </c>
      <c r="K372" s="1">
        <f t="shared" si="51"/>
        <v>13220.338983050849</v>
      </c>
      <c r="M372" s="77">
        <f>VLOOKUP(B372,[1]ბიუჯეტი!$B:$K,3,FALSE)</f>
        <v>11</v>
      </c>
      <c r="N372" s="77">
        <f>VLOOKUP($B372,[1]ბიუჯეტი!$B:$K,4,FALSE)</f>
        <v>0</v>
      </c>
      <c r="O372" s="77">
        <f>VLOOKUP($B372,[1]ბიუჯეტი!$B:$K,5,FALSE)</f>
        <v>0</v>
      </c>
      <c r="P372" s="77">
        <f>VLOOKUP($B372,[1]ბიუჯეტი!$B:$K,6,FALSE)</f>
        <v>0</v>
      </c>
      <c r="Q372" s="77">
        <f>VLOOKUP($B372,[1]ბიუჯეტი!$B:$K,7,FALSE)</f>
        <v>0</v>
      </c>
      <c r="R372" s="77">
        <f>VLOOKUP($B372,[1]ბიუჯეტი!$B:$K,8,FALSE)</f>
        <v>1101.6949152542375</v>
      </c>
      <c r="S372" s="77">
        <f>VLOOKUP($B372,[1]ბიუჯეტი!$B:$K,9,FALSE)</f>
        <v>12118.644067796613</v>
      </c>
      <c r="T372" s="77">
        <f>VLOOKUP($B372,[1]ბიუჯეტი!$B:$K,10,FALSE)</f>
        <v>12118.644067796613</v>
      </c>
      <c r="V372" s="78">
        <f t="shared" si="46"/>
        <v>0</v>
      </c>
      <c r="W372" s="78">
        <f t="shared" si="47"/>
        <v>0</v>
      </c>
      <c r="X372" s="78">
        <f t="shared" si="48"/>
        <v>0</v>
      </c>
      <c r="Y372" s="78">
        <f t="shared" si="49"/>
        <v>1</v>
      </c>
    </row>
    <row r="373" spans="1:25" hidden="1" outlineLevel="1" x14ac:dyDescent="0.35">
      <c r="A373" s="51">
        <v>4</v>
      </c>
      <c r="B373" s="23" t="s">
        <v>107</v>
      </c>
      <c r="C373" s="4" t="s">
        <v>55</v>
      </c>
      <c r="D373" s="1">
        <f>სამუშაო!D57+სამუშაო!D58+სამუშაო!D59</f>
        <v>30</v>
      </c>
      <c r="E373" s="1"/>
      <c r="F373" s="1">
        <f t="shared" si="55"/>
        <v>0</v>
      </c>
      <c r="G373" s="1"/>
      <c r="H373" s="1">
        <f t="shared" si="56"/>
        <v>0</v>
      </c>
      <c r="I373" s="1">
        <f>მომსახურება!D8</f>
        <v>1101.6949152542375</v>
      </c>
      <c r="J373" s="1">
        <f t="shared" si="57"/>
        <v>33050.847457627126</v>
      </c>
      <c r="K373" s="1">
        <f t="shared" si="51"/>
        <v>33050.847457627126</v>
      </c>
      <c r="M373" s="77">
        <f>VLOOKUP(B373,[1]ბიუჯეტი!$B:$K,3,FALSE)</f>
        <v>33</v>
      </c>
      <c r="N373" s="77">
        <f>VLOOKUP($B373,[1]ბიუჯეტი!$B:$K,4,FALSE)</f>
        <v>0</v>
      </c>
      <c r="O373" s="77">
        <f>VLOOKUP($B373,[1]ბიუჯეტი!$B:$K,5,FALSE)</f>
        <v>0</v>
      </c>
      <c r="P373" s="77">
        <f>VLOOKUP($B373,[1]ბიუჯეტი!$B:$K,6,FALSE)</f>
        <v>0</v>
      </c>
      <c r="Q373" s="77">
        <f>VLOOKUP($B373,[1]ბიუჯეტი!$B:$K,7,FALSE)</f>
        <v>0</v>
      </c>
      <c r="R373" s="77">
        <f>VLOOKUP($B373,[1]ბიუჯეტი!$B:$K,8,FALSE)</f>
        <v>1101.6949152542375</v>
      </c>
      <c r="S373" s="77">
        <f>VLOOKUP($B373,[1]ბიუჯეტი!$B:$K,9,FALSE)</f>
        <v>36355.932203389835</v>
      </c>
      <c r="T373" s="77">
        <f>VLOOKUP($B373,[1]ბიუჯეტი!$B:$K,10,FALSE)</f>
        <v>36355.932203389835</v>
      </c>
      <c r="V373" s="78">
        <f t="shared" si="46"/>
        <v>0</v>
      </c>
      <c r="W373" s="78">
        <f t="shared" si="47"/>
        <v>0</v>
      </c>
      <c r="X373" s="78">
        <f t="shared" si="48"/>
        <v>0</v>
      </c>
      <c r="Y373" s="78">
        <f t="shared" si="49"/>
        <v>-3</v>
      </c>
    </row>
    <row r="374" spans="1:25" collapsed="1" x14ac:dyDescent="0.35">
      <c r="A374" s="51">
        <v>26</v>
      </c>
      <c r="B374" s="23" t="s">
        <v>181</v>
      </c>
      <c r="C374" s="4" t="s">
        <v>10</v>
      </c>
      <c r="D374" s="1">
        <f>D375+D376</f>
        <v>154.26000000000002</v>
      </c>
      <c r="E374" s="1">
        <v>0</v>
      </c>
      <c r="F374" s="1">
        <f t="shared" si="55"/>
        <v>0</v>
      </c>
      <c r="G374" s="1">
        <v>0</v>
      </c>
      <c r="H374" s="1">
        <f t="shared" si="56"/>
        <v>0</v>
      </c>
      <c r="I374" s="1">
        <f>SUM(J375:J376)/D374</f>
        <v>220.33898305084747</v>
      </c>
      <c r="J374" s="1">
        <f>D374*I374</f>
        <v>33989.491525423735</v>
      </c>
      <c r="K374" s="1">
        <f t="shared" si="51"/>
        <v>33989.491525423735</v>
      </c>
      <c r="M374" s="77">
        <f>VLOOKUP(B374,[1]ბიუჯეტი!$B:$K,3,FALSE)</f>
        <v>107.874</v>
      </c>
      <c r="N374" s="77">
        <f>VLOOKUP($B374,[1]ბიუჯეტი!$B:$K,4,FALSE)</f>
        <v>0</v>
      </c>
      <c r="O374" s="77">
        <f>VLOOKUP($B374,[1]ბიუჯეტი!$B:$K,5,FALSE)</f>
        <v>0</v>
      </c>
      <c r="P374" s="77">
        <f>VLOOKUP($B374,[1]ბიუჯეტი!$B:$K,6,FALSE)</f>
        <v>0</v>
      </c>
      <c r="Q374" s="77">
        <f>VLOOKUP($B374,[1]ბიუჯეტი!$B:$K,7,FALSE)</f>
        <v>0</v>
      </c>
      <c r="R374" s="77">
        <f>VLOOKUP($B374,[1]ბიუჯეტი!$B:$K,8,FALSE)</f>
        <v>220.33898305084747</v>
      </c>
      <c r="S374" s="77">
        <f>VLOOKUP($B374,[1]ბიუჯეტი!$B:$K,9,FALSE)</f>
        <v>23768.847457627118</v>
      </c>
      <c r="T374" s="77">
        <f>VLOOKUP($B374,[1]ბიუჯეტი!$B:$K,10,FALSE)</f>
        <v>23768.847457627118</v>
      </c>
      <c r="V374" s="78">
        <f t="shared" si="46"/>
        <v>0</v>
      </c>
      <c r="W374" s="78">
        <f t="shared" si="47"/>
        <v>0</v>
      </c>
      <c r="X374" s="78">
        <f t="shared" si="48"/>
        <v>0</v>
      </c>
      <c r="Y374" s="78">
        <f t="shared" si="49"/>
        <v>46.386000000000024</v>
      </c>
    </row>
    <row r="375" spans="1:25" hidden="1" outlineLevel="1" x14ac:dyDescent="0.35">
      <c r="A375" s="51">
        <v>3</v>
      </c>
      <c r="B375" s="3" t="s">
        <v>323</v>
      </c>
      <c r="C375" s="4" t="s">
        <v>10</v>
      </c>
      <c r="D375" s="1">
        <f>სამუშაო!E66</f>
        <v>9.3600000000000012</v>
      </c>
      <c r="E375" s="1"/>
      <c r="F375" s="1">
        <f t="shared" si="55"/>
        <v>0</v>
      </c>
      <c r="G375" s="1"/>
      <c r="H375" s="1">
        <f t="shared" si="56"/>
        <v>0</v>
      </c>
      <c r="I375" s="1">
        <f>მომსახურება!D15</f>
        <v>220.33898305084747</v>
      </c>
      <c r="J375" s="1">
        <f>D375*I375</f>
        <v>2062.3728813559328</v>
      </c>
      <c r="K375" s="1">
        <f t="shared" si="51"/>
        <v>2062.3728813559328</v>
      </c>
      <c r="M375" s="77">
        <f>VLOOKUP(B375,[1]ბიუჯეტი!$B:$K,3,FALSE)</f>
        <v>12.564</v>
      </c>
      <c r="N375" s="77">
        <f>VLOOKUP($B375,[1]ბიუჯეტი!$B:$K,4,FALSE)</f>
        <v>0</v>
      </c>
      <c r="O375" s="77">
        <f>VLOOKUP($B375,[1]ბიუჯეტი!$B:$K,5,FALSE)</f>
        <v>0</v>
      </c>
      <c r="P375" s="77">
        <f>VLOOKUP($B375,[1]ბიუჯეტი!$B:$K,6,FALSE)</f>
        <v>0</v>
      </c>
      <c r="Q375" s="77">
        <f>VLOOKUP($B375,[1]ბიუჯეტი!$B:$K,7,FALSE)</f>
        <v>0</v>
      </c>
      <c r="R375" s="77">
        <f>VLOOKUP($B375,[1]ბიუჯეტი!$B:$K,8,FALSE)</f>
        <v>220.33898305084747</v>
      </c>
      <c r="S375" s="77">
        <f>VLOOKUP($B375,[1]ბიუჯეტი!$B:$K,9,FALSE)</f>
        <v>2768.3389830508477</v>
      </c>
      <c r="T375" s="77">
        <f>VLOOKUP($B375,[1]ბიუჯეტი!$B:$K,10,FALSE)</f>
        <v>2768.3389830508477</v>
      </c>
      <c r="V375" s="78">
        <f t="shared" si="46"/>
        <v>0</v>
      </c>
      <c r="W375" s="78">
        <f t="shared" si="47"/>
        <v>0</v>
      </c>
      <c r="X375" s="78">
        <f t="shared" si="48"/>
        <v>0</v>
      </c>
      <c r="Y375" s="78">
        <f t="shared" si="49"/>
        <v>-3.2039999999999988</v>
      </c>
    </row>
    <row r="376" spans="1:25" hidden="1" outlineLevel="1" x14ac:dyDescent="0.35">
      <c r="A376" s="51">
        <v>4</v>
      </c>
      <c r="B376" s="3" t="s">
        <v>324</v>
      </c>
      <c r="C376" s="4" t="s">
        <v>10</v>
      </c>
      <c r="D376" s="1">
        <f>სამუშაო!E67+სამუშაო!E68+სამუშაო!E69</f>
        <v>144.9</v>
      </c>
      <c r="E376" s="1"/>
      <c r="F376" s="1">
        <f t="shared" si="55"/>
        <v>0</v>
      </c>
      <c r="G376" s="1"/>
      <c r="H376" s="1">
        <f t="shared" si="56"/>
        <v>0</v>
      </c>
      <c r="I376" s="1">
        <f>მომსახურება!D15</f>
        <v>220.33898305084747</v>
      </c>
      <c r="J376" s="1">
        <f>D376*I376</f>
        <v>31927.118644067799</v>
      </c>
      <c r="K376" s="1">
        <f t="shared" si="51"/>
        <v>31927.118644067799</v>
      </c>
      <c r="M376" s="77">
        <f>VLOOKUP(B376,[1]ბიუჯეტი!$B:$K,3,FALSE)</f>
        <v>95.31</v>
      </c>
      <c r="N376" s="77">
        <f>VLOOKUP($B376,[1]ბიუჯეტი!$B:$K,4,FALSE)</f>
        <v>0</v>
      </c>
      <c r="O376" s="77">
        <f>VLOOKUP($B376,[1]ბიუჯეტი!$B:$K,5,FALSE)</f>
        <v>0</v>
      </c>
      <c r="P376" s="77">
        <f>VLOOKUP($B376,[1]ბიუჯეტი!$B:$K,6,FALSE)</f>
        <v>0</v>
      </c>
      <c r="Q376" s="77">
        <f>VLOOKUP($B376,[1]ბიუჯეტი!$B:$K,7,FALSE)</f>
        <v>0</v>
      </c>
      <c r="R376" s="77">
        <f>VLOOKUP($B376,[1]ბიუჯეტი!$B:$K,8,FALSE)</f>
        <v>220.33898305084747</v>
      </c>
      <c r="S376" s="77">
        <f>VLOOKUP($B376,[1]ბიუჯეტი!$B:$K,9,FALSE)</f>
        <v>21000.508474576272</v>
      </c>
      <c r="T376" s="77">
        <f>VLOOKUP($B376,[1]ბიუჯეტი!$B:$K,10,FALSE)</f>
        <v>21000.508474576272</v>
      </c>
      <c r="V376" s="78">
        <f t="shared" si="46"/>
        <v>0</v>
      </c>
      <c r="W376" s="78">
        <f t="shared" si="47"/>
        <v>0</v>
      </c>
      <c r="X376" s="78">
        <f t="shared" si="48"/>
        <v>0</v>
      </c>
      <c r="Y376" s="78">
        <f t="shared" si="49"/>
        <v>49.59</v>
      </c>
    </row>
    <row r="377" spans="1:25" collapsed="1" x14ac:dyDescent="0.35">
      <c r="A377" s="51">
        <v>27</v>
      </c>
      <c r="B377" s="23" t="s">
        <v>108</v>
      </c>
      <c r="C377" s="4" t="s">
        <v>55</v>
      </c>
      <c r="D377" s="1">
        <f>სამუშაო!F56</f>
        <v>3</v>
      </c>
      <c r="E377" s="1">
        <v>0</v>
      </c>
      <c r="F377" s="1">
        <f t="shared" si="55"/>
        <v>0</v>
      </c>
      <c r="G377" s="1">
        <v>0</v>
      </c>
      <c r="H377" s="1">
        <v>0</v>
      </c>
      <c r="I377" s="1">
        <f>მომსახურება!D11</f>
        <v>3050.8474576271187</v>
      </c>
      <c r="J377" s="1">
        <f>D377*I377</f>
        <v>9152.5423728813566</v>
      </c>
      <c r="K377" s="1">
        <f t="shared" si="51"/>
        <v>9152.5423728813566</v>
      </c>
      <c r="M377" s="77">
        <f>VLOOKUP(B377,[1]ბიუჯეტი!$B:$K,3,FALSE)</f>
        <v>3</v>
      </c>
      <c r="N377" s="77">
        <f>VLOOKUP($B377,[1]ბიუჯეტი!$B:$K,4,FALSE)</f>
        <v>0</v>
      </c>
      <c r="O377" s="77">
        <f>VLOOKUP($B377,[1]ბიუჯეტი!$B:$K,5,FALSE)</f>
        <v>0</v>
      </c>
      <c r="P377" s="77">
        <f>VLOOKUP($B377,[1]ბიუჯეტი!$B:$K,6,FALSE)</f>
        <v>0</v>
      </c>
      <c r="Q377" s="77">
        <f>VLOOKUP($B377,[1]ბიუჯეტი!$B:$K,7,FALSE)</f>
        <v>0</v>
      </c>
      <c r="R377" s="77">
        <f>VLOOKUP($B377,[1]ბიუჯეტი!$B:$K,8,FALSE)</f>
        <v>3050.8474576271187</v>
      </c>
      <c r="S377" s="77">
        <f>VLOOKUP($B377,[1]ბიუჯეტი!$B:$K,9,FALSE)</f>
        <v>9152.5423728813566</v>
      </c>
      <c r="T377" s="77">
        <f>VLOOKUP($B377,[1]ბიუჯეტი!$B:$K,10,FALSE)</f>
        <v>9152.5423728813566</v>
      </c>
      <c r="V377" s="78">
        <f t="shared" si="46"/>
        <v>0</v>
      </c>
      <c r="W377" s="78">
        <f t="shared" si="47"/>
        <v>0</v>
      </c>
      <c r="X377" s="78">
        <f t="shared" si="48"/>
        <v>0</v>
      </c>
      <c r="Y377" s="78">
        <f t="shared" si="49"/>
        <v>0</v>
      </c>
    </row>
    <row r="378" spans="1:25" hidden="1" outlineLevel="1" x14ac:dyDescent="0.35">
      <c r="A378" s="51">
        <v>1</v>
      </c>
      <c r="B378" s="3" t="s">
        <v>109</v>
      </c>
      <c r="C378" s="4" t="s">
        <v>55</v>
      </c>
      <c r="D378" s="1">
        <f>D377</f>
        <v>3</v>
      </c>
      <c r="E378" s="1"/>
      <c r="F378" s="1">
        <f t="shared" si="55"/>
        <v>0</v>
      </c>
      <c r="G378" s="1"/>
      <c r="H378" s="1">
        <f>D378*G378</f>
        <v>0</v>
      </c>
      <c r="I378" s="1">
        <f>მომსახურება!D11</f>
        <v>3050.8474576271187</v>
      </c>
      <c r="J378" s="1">
        <f t="shared" si="57"/>
        <v>9152.5423728813566</v>
      </c>
      <c r="K378" s="1">
        <f t="shared" si="51"/>
        <v>9152.5423728813566</v>
      </c>
      <c r="M378" s="77">
        <f>VLOOKUP(B378,[1]ბიუჯეტი!$B:$K,3,FALSE)</f>
        <v>3</v>
      </c>
      <c r="N378" s="77">
        <f>VLOOKUP($B378,[1]ბიუჯეტი!$B:$K,4,FALSE)</f>
        <v>0</v>
      </c>
      <c r="O378" s="77">
        <f>VLOOKUP($B378,[1]ბიუჯეტი!$B:$K,5,FALSE)</f>
        <v>0</v>
      </c>
      <c r="P378" s="77">
        <f>VLOOKUP($B378,[1]ბიუჯეტი!$B:$K,6,FALSE)</f>
        <v>0</v>
      </c>
      <c r="Q378" s="77">
        <f>VLOOKUP($B378,[1]ბიუჯეტი!$B:$K,7,FALSE)</f>
        <v>0</v>
      </c>
      <c r="R378" s="77">
        <f>VLOOKUP($B378,[1]ბიუჯეტი!$B:$K,8,FALSE)</f>
        <v>3050.8474576271187</v>
      </c>
      <c r="S378" s="77">
        <f>VLOOKUP($B378,[1]ბიუჯეტი!$B:$K,9,FALSE)</f>
        <v>9152.5423728813566</v>
      </c>
      <c r="T378" s="77">
        <f>VLOOKUP($B378,[1]ბიუჯეტი!$B:$K,10,FALSE)</f>
        <v>9152.5423728813566</v>
      </c>
      <c r="V378" s="78">
        <f t="shared" si="46"/>
        <v>0</v>
      </c>
      <c r="W378" s="78">
        <f t="shared" si="47"/>
        <v>0</v>
      </c>
      <c r="X378" s="78">
        <f t="shared" si="48"/>
        <v>0</v>
      </c>
      <c r="Y378" s="78">
        <f t="shared" si="49"/>
        <v>0</v>
      </c>
    </row>
    <row r="379" spans="1:25" collapsed="1" x14ac:dyDescent="0.35">
      <c r="A379" s="51">
        <v>28</v>
      </c>
      <c r="B379" s="23" t="s">
        <v>110</v>
      </c>
      <c r="C379" s="4" t="s">
        <v>55</v>
      </c>
      <c r="D379" s="1">
        <v>3</v>
      </c>
      <c r="E379" s="1">
        <v>0</v>
      </c>
      <c r="F379" s="1">
        <f t="shared" si="55"/>
        <v>0</v>
      </c>
      <c r="G379" s="1">
        <v>0</v>
      </c>
      <c r="H379" s="1">
        <v>0</v>
      </c>
      <c r="I379" s="1">
        <f>მომსახურება!D12</f>
        <v>144.06779661016949</v>
      </c>
      <c r="J379" s="1">
        <f>D379*I379</f>
        <v>432.20338983050851</v>
      </c>
      <c r="K379" s="1">
        <f t="shared" si="51"/>
        <v>432.20338983050851</v>
      </c>
      <c r="M379" s="77">
        <f>VLOOKUP(B379,[1]ბიუჯეტი!$B:$K,3,FALSE)</f>
        <v>3</v>
      </c>
      <c r="N379" s="77">
        <f>VLOOKUP($B379,[1]ბიუჯეტი!$B:$K,4,FALSE)</f>
        <v>0</v>
      </c>
      <c r="O379" s="77">
        <f>VLOOKUP($B379,[1]ბიუჯეტი!$B:$K,5,FALSE)</f>
        <v>0</v>
      </c>
      <c r="P379" s="77">
        <f>VLOOKUP($B379,[1]ბიუჯეტი!$B:$K,6,FALSE)</f>
        <v>0</v>
      </c>
      <c r="Q379" s="77">
        <f>VLOOKUP($B379,[1]ბიუჯეტი!$B:$K,7,FALSE)</f>
        <v>0</v>
      </c>
      <c r="R379" s="77">
        <f>VLOOKUP($B379,[1]ბიუჯეტი!$B:$K,8,FALSE)</f>
        <v>144.06779661016949</v>
      </c>
      <c r="S379" s="77">
        <f>VLOOKUP($B379,[1]ბიუჯეტი!$B:$K,9,FALSE)</f>
        <v>432.20338983050851</v>
      </c>
      <c r="T379" s="77">
        <f>VLOOKUP($B379,[1]ბიუჯეტი!$B:$K,10,FALSE)</f>
        <v>432.20338983050851</v>
      </c>
      <c r="V379" s="78">
        <f t="shared" si="46"/>
        <v>0</v>
      </c>
      <c r="W379" s="78">
        <f t="shared" si="47"/>
        <v>0</v>
      </c>
      <c r="X379" s="78">
        <f t="shared" si="48"/>
        <v>0</v>
      </c>
      <c r="Y379" s="78">
        <f t="shared" si="49"/>
        <v>0</v>
      </c>
    </row>
    <row r="380" spans="1:25" hidden="1" outlineLevel="1" x14ac:dyDescent="0.35">
      <c r="A380" s="51">
        <v>1</v>
      </c>
      <c r="B380" s="3" t="s">
        <v>111</v>
      </c>
      <c r="C380" s="4" t="s">
        <v>55</v>
      </c>
      <c r="D380" s="1">
        <v>3</v>
      </c>
      <c r="E380" s="1"/>
      <c r="F380" s="1">
        <f t="shared" si="55"/>
        <v>0</v>
      </c>
      <c r="G380" s="1"/>
      <c r="H380" s="1">
        <f>D380*G380</f>
        <v>0</v>
      </c>
      <c r="I380" s="1">
        <f>მომსახურება!D12</f>
        <v>144.06779661016949</v>
      </c>
      <c r="J380" s="1">
        <f t="shared" si="57"/>
        <v>432.20338983050851</v>
      </c>
      <c r="K380" s="1">
        <f t="shared" si="51"/>
        <v>432.20338983050851</v>
      </c>
      <c r="M380" s="77">
        <f>VLOOKUP(B380,[1]ბიუჯეტი!$B:$K,3,FALSE)</f>
        <v>3</v>
      </c>
      <c r="N380" s="77">
        <f>VLOOKUP($B380,[1]ბიუჯეტი!$B:$K,4,FALSE)</f>
        <v>0</v>
      </c>
      <c r="O380" s="77">
        <f>VLOOKUP($B380,[1]ბიუჯეტი!$B:$K,5,FALSE)</f>
        <v>0</v>
      </c>
      <c r="P380" s="77">
        <f>VLOOKUP($B380,[1]ბიუჯეტი!$B:$K,6,FALSE)</f>
        <v>0</v>
      </c>
      <c r="Q380" s="77">
        <f>VLOOKUP($B380,[1]ბიუჯეტი!$B:$K,7,FALSE)</f>
        <v>0</v>
      </c>
      <c r="R380" s="77">
        <f>VLOOKUP($B380,[1]ბიუჯეტი!$B:$K,8,FALSE)</f>
        <v>144.06779661016949</v>
      </c>
      <c r="S380" s="77">
        <f>VLOOKUP($B380,[1]ბიუჯეტი!$B:$K,9,FALSE)</f>
        <v>432.20338983050851</v>
      </c>
      <c r="T380" s="77">
        <f>VLOOKUP($B380,[1]ბიუჯეტი!$B:$K,10,FALSE)</f>
        <v>432.20338983050851</v>
      </c>
      <c r="V380" s="78">
        <f t="shared" si="46"/>
        <v>0</v>
      </c>
      <c r="W380" s="78">
        <f t="shared" si="47"/>
        <v>0</v>
      </c>
      <c r="X380" s="78">
        <f t="shared" si="48"/>
        <v>0</v>
      </c>
      <c r="Y380" s="78">
        <f t="shared" si="49"/>
        <v>0</v>
      </c>
    </row>
    <row r="381" spans="1:25" collapsed="1" x14ac:dyDescent="0.35">
      <c r="A381" s="51">
        <v>29</v>
      </c>
      <c r="B381" s="23" t="s">
        <v>112</v>
      </c>
      <c r="C381" s="4" t="s">
        <v>55</v>
      </c>
      <c r="D381" s="1">
        <f>SUM(D383:D384)</f>
        <v>12</v>
      </c>
      <c r="E381" s="1">
        <v>0</v>
      </c>
      <c r="F381" s="1">
        <f t="shared" si="55"/>
        <v>0</v>
      </c>
      <c r="G381" s="1">
        <v>0</v>
      </c>
      <c r="H381" s="1">
        <v>0</v>
      </c>
      <c r="I381" s="1">
        <f>1750/1.18</f>
        <v>1483.0508474576272</v>
      </c>
      <c r="J381" s="1">
        <f>D381*I381</f>
        <v>17796.610169491527</v>
      </c>
      <c r="K381" s="1">
        <f t="shared" si="51"/>
        <v>17796.610169491527</v>
      </c>
      <c r="M381" s="77">
        <f>VLOOKUP(B381,[1]ბიუჯეტი!$B:$K,3,FALSE)</f>
        <v>12</v>
      </c>
      <c r="N381" s="77">
        <f>VLOOKUP($B381,[1]ბიუჯეტი!$B:$K,4,FALSE)</f>
        <v>0</v>
      </c>
      <c r="O381" s="77">
        <f>VLOOKUP($B381,[1]ბიუჯეტი!$B:$K,5,FALSE)</f>
        <v>0</v>
      </c>
      <c r="P381" s="77">
        <f>VLOOKUP($B381,[1]ბიუჯეტი!$B:$K,6,FALSE)</f>
        <v>0</v>
      </c>
      <c r="Q381" s="77">
        <f>VLOOKUP($B381,[1]ბიუჯეტი!$B:$K,7,FALSE)</f>
        <v>0</v>
      </c>
      <c r="R381" s="77">
        <f>VLOOKUP($B381,[1]ბიუჯეტი!$B:$K,8,FALSE)</f>
        <v>1483.0508474576272</v>
      </c>
      <c r="S381" s="77">
        <f>VLOOKUP($B381,[1]ბიუჯეტი!$B:$K,9,FALSE)</f>
        <v>17796.610169491527</v>
      </c>
      <c r="T381" s="77">
        <f>VLOOKUP($B381,[1]ბიუჯეტი!$B:$K,10,FALSE)</f>
        <v>17796.610169491527</v>
      </c>
      <c r="V381" s="78">
        <f t="shared" si="46"/>
        <v>0</v>
      </c>
      <c r="W381" s="78">
        <f t="shared" si="47"/>
        <v>0</v>
      </c>
      <c r="X381" s="78">
        <f t="shared" si="48"/>
        <v>0</v>
      </c>
      <c r="Y381" s="78">
        <f t="shared" si="49"/>
        <v>0</v>
      </c>
    </row>
    <row r="382" spans="1:25" hidden="1" outlineLevel="1" x14ac:dyDescent="0.35">
      <c r="A382" s="51"/>
      <c r="B382" s="3" t="s">
        <v>326</v>
      </c>
      <c r="C382" s="4" t="s">
        <v>55</v>
      </c>
      <c r="D382" s="1">
        <v>0</v>
      </c>
      <c r="E382" s="1"/>
      <c r="F382" s="1">
        <f>D382*E382</f>
        <v>0</v>
      </c>
      <c r="G382" s="1"/>
      <c r="H382" s="1"/>
      <c r="I382" s="1">
        <f>მომსახურება!D13</f>
        <v>1440.6779661016949</v>
      </c>
      <c r="J382" s="1">
        <f>D382*I382</f>
        <v>0</v>
      </c>
      <c r="K382" s="1">
        <f t="shared" si="51"/>
        <v>0</v>
      </c>
      <c r="M382" s="77">
        <f>VLOOKUP(B382,[1]ბიუჯეტი!$B:$K,3,FALSE)</f>
        <v>0</v>
      </c>
      <c r="N382" s="77">
        <f>VLOOKUP($B382,[1]ბიუჯეტი!$B:$K,4,FALSE)</f>
        <v>0</v>
      </c>
      <c r="O382" s="77">
        <f>VLOOKUP($B382,[1]ბიუჯეტი!$B:$K,5,FALSE)</f>
        <v>0</v>
      </c>
      <c r="P382" s="77">
        <f>VLOOKUP($B382,[1]ბიუჯეტი!$B:$K,6,FALSE)</f>
        <v>0</v>
      </c>
      <c r="Q382" s="77">
        <f>VLOOKUP($B382,[1]ბიუჯეტი!$B:$K,7,FALSE)</f>
        <v>0</v>
      </c>
      <c r="R382" s="77">
        <f>VLOOKUP($B382,[1]ბიუჯეტი!$B:$K,8,FALSE)</f>
        <v>1440.6779661016949</v>
      </c>
      <c r="S382" s="77">
        <f>VLOOKUP($B382,[1]ბიუჯეტი!$B:$K,9,FALSE)</f>
        <v>0</v>
      </c>
      <c r="T382" s="77">
        <f>VLOOKUP($B382,[1]ბიუჯეტი!$B:$K,10,FALSE)</f>
        <v>0</v>
      </c>
      <c r="V382" s="78">
        <f t="shared" si="46"/>
        <v>0</v>
      </c>
      <c r="W382" s="78">
        <f t="shared" si="47"/>
        <v>0</v>
      </c>
      <c r="X382" s="78">
        <f t="shared" si="48"/>
        <v>0</v>
      </c>
      <c r="Y382" s="78">
        <f t="shared" si="49"/>
        <v>0</v>
      </c>
    </row>
    <row r="383" spans="1:25" hidden="1" outlineLevel="1" x14ac:dyDescent="0.35">
      <c r="A383" s="51"/>
      <c r="B383" s="3" t="s">
        <v>106</v>
      </c>
      <c r="C383" s="4" t="s">
        <v>55</v>
      </c>
      <c r="D383" s="1">
        <f>სამუშაო!G57</f>
        <v>3</v>
      </c>
      <c r="E383" s="1"/>
      <c r="F383" s="1">
        <f t="shared" si="55"/>
        <v>0</v>
      </c>
      <c r="G383" s="1"/>
      <c r="H383" s="1"/>
      <c r="I383" s="1">
        <f>მომსახურება!D13</f>
        <v>1440.6779661016949</v>
      </c>
      <c r="J383" s="1">
        <f t="shared" si="57"/>
        <v>4322.0338983050842</v>
      </c>
      <c r="K383" s="1">
        <f t="shared" si="51"/>
        <v>4322.0338983050842</v>
      </c>
      <c r="M383" s="77">
        <f>VLOOKUP(B383,[1]ბიუჯეტი!$B:$K,3,FALSE)</f>
        <v>11</v>
      </c>
      <c r="N383" s="77">
        <f>VLOOKUP($B383,[1]ბიუჯეტი!$B:$K,4,FALSE)</f>
        <v>0</v>
      </c>
      <c r="O383" s="77">
        <f>VLOOKUP($B383,[1]ბიუჯეტი!$B:$K,5,FALSE)</f>
        <v>0</v>
      </c>
      <c r="P383" s="77">
        <f>VLOOKUP($B383,[1]ბიუჯეტი!$B:$K,6,FALSE)</f>
        <v>0</v>
      </c>
      <c r="Q383" s="77">
        <f>VLOOKUP($B383,[1]ბიუჯეტი!$B:$K,7,FALSE)</f>
        <v>0</v>
      </c>
      <c r="R383" s="77">
        <f>VLOOKUP($B383,[1]ბიუჯეტი!$B:$K,8,FALSE)</f>
        <v>1101.6949152542375</v>
      </c>
      <c r="S383" s="77">
        <f>VLOOKUP($B383,[1]ბიუჯეტი!$B:$K,9,FALSE)</f>
        <v>12118.644067796613</v>
      </c>
      <c r="T383" s="77">
        <f>VLOOKUP($B383,[1]ბიუჯეტი!$B:$K,10,FALSE)</f>
        <v>12118.644067796613</v>
      </c>
      <c r="V383" s="78">
        <f t="shared" ref="V383:V446" si="58">E383-N383</f>
        <v>0</v>
      </c>
      <c r="W383" s="78">
        <f t="shared" ref="W383:W446" si="59">G383-P383</f>
        <v>0</v>
      </c>
      <c r="X383" s="78">
        <f t="shared" ref="X383:X446" si="60">I383-R383</f>
        <v>338.98305084745743</v>
      </c>
      <c r="Y383" s="78">
        <f t="shared" ref="Y383:Y446" si="61">D383-M383</f>
        <v>-8</v>
      </c>
    </row>
    <row r="384" spans="1:25" hidden="1" outlineLevel="1" x14ac:dyDescent="0.35">
      <c r="A384" s="51"/>
      <c r="B384" s="3" t="s">
        <v>107</v>
      </c>
      <c r="C384" s="4" t="s">
        <v>55</v>
      </c>
      <c r="D384" s="1">
        <f>სამუშაო!G58+სამუშაო!G59+სამუშაო!G59</f>
        <v>9</v>
      </c>
      <c r="E384" s="1"/>
      <c r="F384" s="1">
        <f t="shared" si="55"/>
        <v>0</v>
      </c>
      <c r="G384" s="1"/>
      <c r="H384" s="1"/>
      <c r="I384" s="1">
        <f>მომსახურება!D13</f>
        <v>1440.6779661016949</v>
      </c>
      <c r="J384" s="1">
        <f t="shared" si="57"/>
        <v>12966.101694915254</v>
      </c>
      <c r="K384" s="1">
        <f t="shared" si="51"/>
        <v>12966.101694915254</v>
      </c>
      <c r="M384" s="77">
        <f>VLOOKUP(B384,[1]ბიუჯეტი!$B:$K,3,FALSE)</f>
        <v>33</v>
      </c>
      <c r="N384" s="77">
        <f>VLOOKUP($B384,[1]ბიუჯეტი!$B:$K,4,FALSE)</f>
        <v>0</v>
      </c>
      <c r="O384" s="77">
        <f>VLOOKUP($B384,[1]ბიუჯეტი!$B:$K,5,FALSE)</f>
        <v>0</v>
      </c>
      <c r="P384" s="77">
        <f>VLOOKUP($B384,[1]ბიუჯეტი!$B:$K,6,FALSE)</f>
        <v>0</v>
      </c>
      <c r="Q384" s="77">
        <f>VLOOKUP($B384,[1]ბიუჯეტი!$B:$K,7,FALSE)</f>
        <v>0</v>
      </c>
      <c r="R384" s="77">
        <f>VLOOKUP($B384,[1]ბიუჯეტი!$B:$K,8,FALSE)</f>
        <v>1101.6949152542375</v>
      </c>
      <c r="S384" s="77">
        <f>VLOOKUP($B384,[1]ბიუჯეტი!$B:$K,9,FALSE)</f>
        <v>36355.932203389835</v>
      </c>
      <c r="T384" s="77">
        <f>VLOOKUP($B384,[1]ბიუჯეტი!$B:$K,10,FALSE)</f>
        <v>36355.932203389835</v>
      </c>
      <c r="V384" s="78">
        <f t="shared" si="58"/>
        <v>0</v>
      </c>
      <c r="W384" s="78">
        <f t="shared" si="59"/>
        <v>0</v>
      </c>
      <c r="X384" s="78">
        <f t="shared" si="60"/>
        <v>338.98305084745743</v>
      </c>
      <c r="Y384" s="78">
        <f t="shared" si="61"/>
        <v>-24</v>
      </c>
    </row>
    <row r="385" spans="1:25" collapsed="1" x14ac:dyDescent="0.35">
      <c r="A385" s="51">
        <v>30</v>
      </c>
      <c r="B385" s="23" t="s">
        <v>113</v>
      </c>
      <c r="C385" s="4" t="s">
        <v>40</v>
      </c>
      <c r="D385" s="1">
        <f>SUM(D386,D387)</f>
        <v>313.50000000000006</v>
      </c>
      <c r="E385" s="1">
        <v>0</v>
      </c>
      <c r="F385" s="1">
        <f t="shared" si="55"/>
        <v>0</v>
      </c>
      <c r="G385" s="1">
        <v>0</v>
      </c>
      <c r="H385" s="1">
        <v>0</v>
      </c>
      <c r="I385" s="1">
        <f>SUM(K386:K387)/D385</f>
        <v>220.3389830508475</v>
      </c>
      <c r="J385" s="1">
        <f>D385*I385</f>
        <v>69076.271186440703</v>
      </c>
      <c r="K385" s="1">
        <f t="shared" si="51"/>
        <v>69076.271186440703</v>
      </c>
      <c r="M385" s="77">
        <f>VLOOKUP(B385,[1]ბიუჯეტი!$B:$K,3,FALSE)</f>
        <v>263.10000000000002</v>
      </c>
      <c r="N385" s="77">
        <f>VLOOKUP($B385,[1]ბიუჯეტი!$B:$K,4,FALSE)</f>
        <v>0</v>
      </c>
      <c r="O385" s="77">
        <f>VLOOKUP($B385,[1]ბიუჯეტი!$B:$K,5,FALSE)</f>
        <v>0</v>
      </c>
      <c r="P385" s="77">
        <f>VLOOKUP($B385,[1]ბიუჯეტი!$B:$K,6,FALSE)</f>
        <v>0</v>
      </c>
      <c r="Q385" s="77">
        <f>VLOOKUP($B385,[1]ბიუჯეტი!$B:$K,7,FALSE)</f>
        <v>0</v>
      </c>
      <c r="R385" s="77">
        <f>VLOOKUP($B385,[1]ბიუჯეტი!$B:$K,8,FALSE)</f>
        <v>220.33898305084747</v>
      </c>
      <c r="S385" s="77">
        <f>VLOOKUP($B385,[1]ბიუჯეტი!$B:$K,9,FALSE)</f>
        <v>57971.186440677979</v>
      </c>
      <c r="T385" s="77">
        <f>VLOOKUP($B385,[1]ბიუჯეტი!$B:$K,10,FALSE)</f>
        <v>57971.186440677979</v>
      </c>
      <c r="V385" s="78">
        <f t="shared" si="58"/>
        <v>0</v>
      </c>
      <c r="W385" s="78">
        <f t="shared" si="59"/>
        <v>0</v>
      </c>
      <c r="X385" s="78">
        <f t="shared" si="60"/>
        <v>0</v>
      </c>
      <c r="Y385" s="78">
        <f t="shared" si="61"/>
        <v>50.400000000000034</v>
      </c>
    </row>
    <row r="386" spans="1:25" hidden="1" outlineLevel="1" x14ac:dyDescent="0.35">
      <c r="A386" s="51">
        <v>1</v>
      </c>
      <c r="B386" s="3" t="s">
        <v>114</v>
      </c>
      <c r="C386" s="4" t="s">
        <v>40</v>
      </c>
      <c r="D386" s="1">
        <f>სამუშაო!D66</f>
        <v>57.9</v>
      </c>
      <c r="E386" s="1"/>
      <c r="F386" s="1">
        <f t="shared" si="55"/>
        <v>0</v>
      </c>
      <c r="G386" s="1"/>
      <c r="H386" s="1">
        <f>D386*G386</f>
        <v>0</v>
      </c>
      <c r="I386" s="1">
        <f>მომსახურება!D14</f>
        <v>220.33898305084747</v>
      </c>
      <c r="J386" s="1">
        <f t="shared" si="57"/>
        <v>12757.627118644068</v>
      </c>
      <c r="K386" s="1">
        <f t="shared" si="51"/>
        <v>12757.627118644068</v>
      </c>
      <c r="M386" s="77">
        <f>VLOOKUP(B386,[1]ბიუჯეტი!$B:$K,3,FALSE)</f>
        <v>45</v>
      </c>
      <c r="N386" s="77">
        <f>VLOOKUP($B386,[1]ბიუჯეტი!$B:$K,4,FALSE)</f>
        <v>0</v>
      </c>
      <c r="O386" s="77">
        <f>VLOOKUP($B386,[1]ბიუჯეტი!$B:$K,5,FALSE)</f>
        <v>0</v>
      </c>
      <c r="P386" s="77">
        <f>VLOOKUP($B386,[1]ბიუჯეტი!$B:$K,6,FALSE)</f>
        <v>0</v>
      </c>
      <c r="Q386" s="77">
        <f>VLOOKUP($B386,[1]ბიუჯეტი!$B:$K,7,FALSE)</f>
        <v>0</v>
      </c>
      <c r="R386" s="77">
        <f>VLOOKUP($B386,[1]ბიუჯეტი!$B:$K,8,FALSE)</f>
        <v>220.33898305084747</v>
      </c>
      <c r="S386" s="77">
        <f>VLOOKUP($B386,[1]ბიუჯეტი!$B:$K,9,FALSE)</f>
        <v>9915.2542372881362</v>
      </c>
      <c r="T386" s="77">
        <f>VLOOKUP($B386,[1]ბიუჯეტი!$B:$K,10,FALSE)</f>
        <v>9915.2542372881362</v>
      </c>
      <c r="V386" s="78">
        <f t="shared" si="58"/>
        <v>0</v>
      </c>
      <c r="W386" s="78">
        <f t="shared" si="59"/>
        <v>0</v>
      </c>
      <c r="X386" s="78">
        <f t="shared" si="60"/>
        <v>0</v>
      </c>
      <c r="Y386" s="78">
        <f t="shared" si="61"/>
        <v>12.899999999999999</v>
      </c>
    </row>
    <row r="387" spans="1:25" hidden="1" outlineLevel="1" x14ac:dyDescent="0.35">
      <c r="A387" s="51">
        <v>2</v>
      </c>
      <c r="B387" s="3" t="s">
        <v>117</v>
      </c>
      <c r="C387" s="4" t="s">
        <v>40</v>
      </c>
      <c r="D387" s="1">
        <f>სამუშაო!D67+სამუშაო!D68+სამუშაო!D69</f>
        <v>255.60000000000008</v>
      </c>
      <c r="E387" s="1"/>
      <c r="F387" s="1">
        <f t="shared" si="55"/>
        <v>0</v>
      </c>
      <c r="G387" s="1"/>
      <c r="H387" s="1">
        <f>D387*G387</f>
        <v>0</v>
      </c>
      <c r="I387" s="1">
        <f>მომსახურება!D14</f>
        <v>220.33898305084747</v>
      </c>
      <c r="J387" s="1">
        <f t="shared" si="57"/>
        <v>56318.644067796631</v>
      </c>
      <c r="K387" s="1">
        <f t="shared" si="51"/>
        <v>56318.644067796631</v>
      </c>
      <c r="M387" s="77">
        <f>VLOOKUP(B387,[1]ბიუჯეტი!$B:$K,3,FALSE)</f>
        <v>218.10000000000005</v>
      </c>
      <c r="N387" s="77">
        <f>VLOOKUP($B387,[1]ბიუჯეტი!$B:$K,4,FALSE)</f>
        <v>0</v>
      </c>
      <c r="O387" s="77">
        <f>VLOOKUP($B387,[1]ბიუჯეტი!$B:$K,5,FALSE)</f>
        <v>0</v>
      </c>
      <c r="P387" s="77">
        <f>VLOOKUP($B387,[1]ბიუჯეტი!$B:$K,6,FALSE)</f>
        <v>0</v>
      </c>
      <c r="Q387" s="77">
        <f>VLOOKUP($B387,[1]ბიუჯეტი!$B:$K,7,FALSE)</f>
        <v>0</v>
      </c>
      <c r="R387" s="77">
        <f>VLOOKUP($B387,[1]ბიუჯეტი!$B:$K,8,FALSE)</f>
        <v>220.33898305084747</v>
      </c>
      <c r="S387" s="77">
        <f>VLOOKUP($B387,[1]ბიუჯეტი!$B:$K,9,FALSE)</f>
        <v>48055.932203389842</v>
      </c>
      <c r="T387" s="77">
        <f>VLOOKUP($B387,[1]ბიუჯეტი!$B:$K,10,FALSE)</f>
        <v>48055.932203389842</v>
      </c>
      <c r="V387" s="78">
        <f t="shared" si="58"/>
        <v>0</v>
      </c>
      <c r="W387" s="78">
        <f t="shared" si="59"/>
        <v>0</v>
      </c>
      <c r="X387" s="78">
        <f t="shared" si="60"/>
        <v>0</v>
      </c>
      <c r="Y387" s="78">
        <f t="shared" si="61"/>
        <v>37.500000000000028</v>
      </c>
    </row>
    <row r="388" spans="1:25" collapsed="1" x14ac:dyDescent="0.35">
      <c r="A388" s="51">
        <v>31</v>
      </c>
      <c r="B388" s="23" t="s">
        <v>115</v>
      </c>
      <c r="C388" s="4" t="s">
        <v>40</v>
      </c>
      <c r="D388" s="1">
        <f>SUM(D389:D391)</f>
        <v>102.00000000000001</v>
      </c>
      <c r="E388" s="1">
        <v>0</v>
      </c>
      <c r="F388" s="1">
        <f t="shared" si="55"/>
        <v>0</v>
      </c>
      <c r="G388" s="1">
        <v>0</v>
      </c>
      <c r="H388" s="1">
        <v>0</v>
      </c>
      <c r="I388" s="1">
        <f>მომსახურება!D17</f>
        <v>72.033898305084747</v>
      </c>
      <c r="J388" s="1">
        <f>D388*I388</f>
        <v>7347.4576271186452</v>
      </c>
      <c r="K388" s="1">
        <f t="shared" si="51"/>
        <v>7347.4576271186452</v>
      </c>
      <c r="M388" s="77">
        <f>VLOOKUP(B388,[1]ბიუჯეტი!$B:$K,3,FALSE)</f>
        <v>102.00000000000001</v>
      </c>
      <c r="N388" s="77">
        <f>VLOOKUP($B388,[1]ბიუჯეტი!$B:$K,4,FALSE)</f>
        <v>0</v>
      </c>
      <c r="O388" s="77">
        <f>VLOOKUP($B388,[1]ბიუჯეტი!$B:$K,5,FALSE)</f>
        <v>0</v>
      </c>
      <c r="P388" s="77">
        <f>VLOOKUP($B388,[1]ბიუჯეტი!$B:$K,6,FALSE)</f>
        <v>0</v>
      </c>
      <c r="Q388" s="77">
        <f>VLOOKUP($B388,[1]ბიუჯეტი!$B:$K,7,FALSE)</f>
        <v>0</v>
      </c>
      <c r="R388" s="77">
        <f>VLOOKUP($B388,[1]ბიუჯეტი!$B:$K,8,FALSE)</f>
        <v>72.033898305084747</v>
      </c>
      <c r="S388" s="77">
        <f>VLOOKUP($B388,[1]ბიუჯეტი!$B:$K,9,FALSE)</f>
        <v>7347.4576271186452</v>
      </c>
      <c r="T388" s="77">
        <f>VLOOKUP($B388,[1]ბიუჯეტი!$B:$K,10,FALSE)</f>
        <v>7347.4576271186452</v>
      </c>
      <c r="V388" s="78">
        <f t="shared" si="58"/>
        <v>0</v>
      </c>
      <c r="W388" s="78">
        <f t="shared" si="59"/>
        <v>0</v>
      </c>
      <c r="X388" s="78">
        <f t="shared" si="60"/>
        <v>0</v>
      </c>
      <c r="Y388" s="78">
        <f t="shared" si="61"/>
        <v>0</v>
      </c>
    </row>
    <row r="389" spans="1:25" hidden="1" outlineLevel="1" x14ac:dyDescent="0.35">
      <c r="A389" s="51"/>
      <c r="B389" s="3" t="s">
        <v>329</v>
      </c>
      <c r="C389" s="4" t="s">
        <v>40</v>
      </c>
      <c r="D389" s="1">
        <f>სამუშაო!F65</f>
        <v>16.8</v>
      </c>
      <c r="E389" s="1"/>
      <c r="F389" s="1">
        <f t="shared" si="55"/>
        <v>0</v>
      </c>
      <c r="G389" s="1">
        <v>0</v>
      </c>
      <c r="H389" s="1"/>
      <c r="I389" s="1">
        <f>მომსახურება!D16</f>
        <v>220.33898305084747</v>
      </c>
      <c r="J389" s="1">
        <f t="shared" si="57"/>
        <v>3701.6949152542379</v>
      </c>
      <c r="K389" s="1">
        <f t="shared" si="51"/>
        <v>3701.6949152542379</v>
      </c>
      <c r="M389" s="77">
        <f>VLOOKUP(B389,[1]ბიუჯეტი!$B:$K,3,FALSE)</f>
        <v>16.8</v>
      </c>
      <c r="N389" s="77">
        <f>VLOOKUP($B389,[1]ბიუჯეტი!$B:$K,4,FALSE)</f>
        <v>0</v>
      </c>
      <c r="O389" s="77">
        <f>VLOOKUP($B389,[1]ბიუჯეტი!$B:$K,5,FALSE)</f>
        <v>0</v>
      </c>
      <c r="P389" s="77">
        <f>VLOOKUP($B389,[1]ბიუჯეტი!$B:$K,6,FALSE)</f>
        <v>0</v>
      </c>
      <c r="Q389" s="77">
        <f>VLOOKUP($B389,[1]ბიუჯეტი!$B:$K,7,FALSE)</f>
        <v>0</v>
      </c>
      <c r="R389" s="77">
        <f>VLOOKUP($B389,[1]ბიუჯეტი!$B:$K,8,FALSE)</f>
        <v>220.33898305084747</v>
      </c>
      <c r="S389" s="77">
        <f>VLOOKUP($B389,[1]ბიუჯეტი!$B:$K,9,FALSE)</f>
        <v>3701.6949152542379</v>
      </c>
      <c r="T389" s="77">
        <f>VLOOKUP($B389,[1]ბიუჯეტი!$B:$K,10,FALSE)</f>
        <v>3701.6949152542379</v>
      </c>
      <c r="V389" s="78">
        <f t="shared" si="58"/>
        <v>0</v>
      </c>
      <c r="W389" s="78">
        <f t="shared" si="59"/>
        <v>0</v>
      </c>
      <c r="X389" s="78">
        <f t="shared" si="60"/>
        <v>0</v>
      </c>
      <c r="Y389" s="78">
        <f t="shared" si="61"/>
        <v>0</v>
      </c>
    </row>
    <row r="390" spans="1:25" hidden="1" outlineLevel="1" x14ac:dyDescent="0.35">
      <c r="A390" s="51"/>
      <c r="B390" s="3" t="s">
        <v>114</v>
      </c>
      <c r="C390" s="4" t="s">
        <v>40</v>
      </c>
      <c r="D390" s="1">
        <f>სამუშაო!F66</f>
        <v>20.100000000000001</v>
      </c>
      <c r="E390" s="1"/>
      <c r="F390" s="1">
        <f>D390*E390</f>
        <v>0</v>
      </c>
      <c r="G390" s="1">
        <v>0</v>
      </c>
      <c r="H390" s="1"/>
      <c r="I390" s="1">
        <f>მომსახურება!D16</f>
        <v>220.33898305084747</v>
      </c>
      <c r="J390" s="1">
        <f>D390*I390</f>
        <v>4428.813559322035</v>
      </c>
      <c r="K390" s="1">
        <f t="shared" si="51"/>
        <v>4428.813559322035</v>
      </c>
      <c r="M390" s="77">
        <f>VLOOKUP(B390,[1]ბიუჯეტი!$B:$K,3,FALSE)</f>
        <v>45</v>
      </c>
      <c r="N390" s="77">
        <f>VLOOKUP($B390,[1]ბიუჯეტი!$B:$K,4,FALSE)</f>
        <v>0</v>
      </c>
      <c r="O390" s="77">
        <f>VLOOKUP($B390,[1]ბიუჯეტი!$B:$K,5,FALSE)</f>
        <v>0</v>
      </c>
      <c r="P390" s="77">
        <f>VLOOKUP($B390,[1]ბიუჯეტი!$B:$K,6,FALSE)</f>
        <v>0</v>
      </c>
      <c r="Q390" s="77">
        <f>VLOOKUP($B390,[1]ბიუჯეტი!$B:$K,7,FALSE)</f>
        <v>0</v>
      </c>
      <c r="R390" s="77">
        <f>VLOOKUP($B390,[1]ბიუჯეტი!$B:$K,8,FALSE)</f>
        <v>220.33898305084747</v>
      </c>
      <c r="S390" s="77">
        <f>VLOOKUP($B390,[1]ბიუჯეტი!$B:$K,9,FALSE)</f>
        <v>9915.2542372881362</v>
      </c>
      <c r="T390" s="77">
        <f>VLOOKUP($B390,[1]ბიუჯეტი!$B:$K,10,FALSE)</f>
        <v>9915.2542372881362</v>
      </c>
      <c r="V390" s="78">
        <f t="shared" si="58"/>
        <v>0</v>
      </c>
      <c r="W390" s="78">
        <f t="shared" si="59"/>
        <v>0</v>
      </c>
      <c r="X390" s="78">
        <f t="shared" si="60"/>
        <v>0</v>
      </c>
      <c r="Y390" s="78">
        <f t="shared" si="61"/>
        <v>-24.9</v>
      </c>
    </row>
    <row r="391" spans="1:25" hidden="1" outlineLevel="1" x14ac:dyDescent="0.35">
      <c r="A391" s="51"/>
      <c r="B391" s="3" t="s">
        <v>117</v>
      </c>
      <c r="C391" s="4" t="s">
        <v>40</v>
      </c>
      <c r="D391" s="1">
        <f>სამუშაო!F67+სამუშაო!F68+სამუშაო!F69</f>
        <v>65.100000000000009</v>
      </c>
      <c r="E391" s="1"/>
      <c r="F391" s="1">
        <f t="shared" si="55"/>
        <v>0</v>
      </c>
      <c r="G391" s="1">
        <v>0</v>
      </c>
      <c r="H391" s="1"/>
      <c r="I391" s="1">
        <f>მომსახურება!D16</f>
        <v>220.33898305084747</v>
      </c>
      <c r="J391" s="1">
        <f t="shared" si="57"/>
        <v>14344.067796610172</v>
      </c>
      <c r="K391" s="1">
        <f t="shared" si="51"/>
        <v>14344.067796610172</v>
      </c>
      <c r="M391" s="77">
        <f>VLOOKUP(B391,[1]ბიუჯეტი!$B:$K,3,FALSE)</f>
        <v>218.10000000000005</v>
      </c>
      <c r="N391" s="77">
        <f>VLOOKUP($B391,[1]ბიუჯეტი!$B:$K,4,FALSE)</f>
        <v>0</v>
      </c>
      <c r="O391" s="77">
        <f>VLOOKUP($B391,[1]ბიუჯეტი!$B:$K,5,FALSE)</f>
        <v>0</v>
      </c>
      <c r="P391" s="77">
        <f>VLOOKUP($B391,[1]ბიუჯეტი!$B:$K,6,FALSE)</f>
        <v>0</v>
      </c>
      <c r="Q391" s="77">
        <f>VLOOKUP($B391,[1]ბიუჯეტი!$B:$K,7,FALSE)</f>
        <v>0</v>
      </c>
      <c r="R391" s="77">
        <f>VLOOKUP($B391,[1]ბიუჯეტი!$B:$K,8,FALSE)</f>
        <v>220.33898305084747</v>
      </c>
      <c r="S391" s="77">
        <f>VLOOKUP($B391,[1]ბიუჯეტი!$B:$K,9,FALSE)</f>
        <v>48055.932203389842</v>
      </c>
      <c r="T391" s="77">
        <f>VLOOKUP($B391,[1]ბიუჯეტი!$B:$K,10,FALSE)</f>
        <v>48055.932203389842</v>
      </c>
      <c r="V391" s="78">
        <f t="shared" si="58"/>
        <v>0</v>
      </c>
      <c r="W391" s="78">
        <f t="shared" si="59"/>
        <v>0</v>
      </c>
      <c r="X391" s="78">
        <f t="shared" si="60"/>
        <v>0</v>
      </c>
      <c r="Y391" s="78">
        <f t="shared" si="61"/>
        <v>-153.00000000000006</v>
      </c>
    </row>
    <row r="392" spans="1:25" collapsed="1" x14ac:dyDescent="0.35">
      <c r="A392" s="51">
        <v>32</v>
      </c>
      <c r="B392" s="23" t="s">
        <v>116</v>
      </c>
      <c r="C392" s="4" t="s">
        <v>40</v>
      </c>
      <c r="D392" s="1">
        <f>SUM(D393:D394)</f>
        <v>92.700000000000017</v>
      </c>
      <c r="E392" s="1">
        <v>0</v>
      </c>
      <c r="F392" s="1">
        <f t="shared" si="55"/>
        <v>0</v>
      </c>
      <c r="G392" s="1">
        <v>0</v>
      </c>
      <c r="H392" s="1">
        <v>0</v>
      </c>
      <c r="I392" s="1">
        <f>მომსახურება!D17</f>
        <v>72.033898305084747</v>
      </c>
      <c r="J392" s="1">
        <f>D392*I392</f>
        <v>6677.5423728813576</v>
      </c>
      <c r="K392" s="1">
        <f t="shared" si="51"/>
        <v>6677.5423728813576</v>
      </c>
      <c r="M392" s="77">
        <f>VLOOKUP(B392,[1]ბიუჯეტი!$B:$K,3,FALSE)</f>
        <v>92.700000000000017</v>
      </c>
      <c r="N392" s="77">
        <f>VLOOKUP($B392,[1]ბიუჯეტი!$B:$K,4,FALSE)</f>
        <v>0</v>
      </c>
      <c r="O392" s="77">
        <f>VLOOKUP($B392,[1]ბიუჯეტი!$B:$K,5,FALSE)</f>
        <v>0</v>
      </c>
      <c r="P392" s="77">
        <f>VLOOKUP($B392,[1]ბიუჯეტი!$B:$K,6,FALSE)</f>
        <v>0</v>
      </c>
      <c r="Q392" s="77">
        <f>VLOOKUP($B392,[1]ბიუჯეტი!$B:$K,7,FALSE)</f>
        <v>0</v>
      </c>
      <c r="R392" s="77">
        <f>VLOOKUP($B392,[1]ბიუჯეტი!$B:$K,8,FALSE)</f>
        <v>72.033898305084747</v>
      </c>
      <c r="S392" s="77">
        <f>VLOOKUP($B392,[1]ბიუჯეტი!$B:$K,9,FALSE)</f>
        <v>6677.5423728813576</v>
      </c>
      <c r="T392" s="77">
        <f>VLOOKUP($B392,[1]ბიუჯეტი!$B:$K,10,FALSE)</f>
        <v>6677.5423728813576</v>
      </c>
      <c r="V392" s="78">
        <f t="shared" si="58"/>
        <v>0</v>
      </c>
      <c r="W392" s="78">
        <f t="shared" si="59"/>
        <v>0</v>
      </c>
      <c r="X392" s="78">
        <f t="shared" si="60"/>
        <v>0</v>
      </c>
      <c r="Y392" s="78">
        <f t="shared" si="61"/>
        <v>0</v>
      </c>
    </row>
    <row r="393" spans="1:25" hidden="1" outlineLevel="1" x14ac:dyDescent="0.35">
      <c r="A393" s="51"/>
      <c r="B393" s="3" t="s">
        <v>330</v>
      </c>
      <c r="C393" s="4" t="s">
        <v>40</v>
      </c>
      <c r="D393" s="1">
        <f>სამუშაო!G65+სამუშაო!G66</f>
        <v>35.100000000000009</v>
      </c>
      <c r="E393" s="1"/>
      <c r="F393" s="1">
        <f t="shared" si="55"/>
        <v>0</v>
      </c>
      <c r="G393" s="1">
        <v>0</v>
      </c>
      <c r="H393" s="1"/>
      <c r="I393" s="1">
        <f>მომსახურება!D17</f>
        <v>72.033898305084747</v>
      </c>
      <c r="J393" s="1">
        <f t="shared" si="57"/>
        <v>2528.3898305084754</v>
      </c>
      <c r="K393" s="1">
        <f t="shared" si="51"/>
        <v>2528.3898305084754</v>
      </c>
      <c r="M393" s="77">
        <f>VLOOKUP(B393,[1]ბიუჯეტი!$B:$K,3,FALSE)</f>
        <v>35.100000000000009</v>
      </c>
      <c r="N393" s="77">
        <f>VLOOKUP($B393,[1]ბიუჯეტი!$B:$K,4,FALSE)</f>
        <v>0</v>
      </c>
      <c r="O393" s="77">
        <f>VLOOKUP($B393,[1]ბიუჯეტი!$B:$K,5,FALSE)</f>
        <v>0</v>
      </c>
      <c r="P393" s="77">
        <f>VLOOKUP($B393,[1]ბიუჯეტი!$B:$K,6,FALSE)</f>
        <v>0</v>
      </c>
      <c r="Q393" s="77">
        <f>VLOOKUP($B393,[1]ბიუჯეტი!$B:$K,7,FALSE)</f>
        <v>0</v>
      </c>
      <c r="R393" s="77">
        <f>VLOOKUP($B393,[1]ბიუჯეტი!$B:$K,8,FALSE)</f>
        <v>72.033898305084747</v>
      </c>
      <c r="S393" s="77">
        <f>VLOOKUP($B393,[1]ბიუჯეტი!$B:$K,9,FALSE)</f>
        <v>2528.3898305084754</v>
      </c>
      <c r="T393" s="77">
        <f>VLOOKUP($B393,[1]ბიუჯეტი!$B:$K,10,FALSE)</f>
        <v>2528.3898305084754</v>
      </c>
      <c r="V393" s="78">
        <f t="shared" si="58"/>
        <v>0</v>
      </c>
      <c r="W393" s="78">
        <f t="shared" si="59"/>
        <v>0</v>
      </c>
      <c r="X393" s="78">
        <f t="shared" si="60"/>
        <v>0</v>
      </c>
      <c r="Y393" s="78">
        <f t="shared" si="61"/>
        <v>0</v>
      </c>
    </row>
    <row r="394" spans="1:25" hidden="1" outlineLevel="1" x14ac:dyDescent="0.35">
      <c r="A394" s="51"/>
      <c r="B394" s="3" t="s">
        <v>117</v>
      </c>
      <c r="C394" s="4" t="s">
        <v>40</v>
      </c>
      <c r="D394" s="1">
        <f>სამუშაო!G67+სამუშაო!G68+სამუშაო!G69</f>
        <v>57.600000000000009</v>
      </c>
      <c r="E394" s="1"/>
      <c r="F394" s="1">
        <f t="shared" si="55"/>
        <v>0</v>
      </c>
      <c r="G394" s="1">
        <v>0</v>
      </c>
      <c r="H394" s="1"/>
      <c r="I394" s="1">
        <f>მომსახურება!D17</f>
        <v>72.033898305084747</v>
      </c>
      <c r="J394" s="1">
        <f t="shared" si="57"/>
        <v>4149.1525423728817</v>
      </c>
      <c r="K394" s="1">
        <f t="shared" si="51"/>
        <v>4149.1525423728817</v>
      </c>
      <c r="M394" s="77">
        <f>VLOOKUP(B394,[1]ბიუჯეტი!$B:$K,3,FALSE)</f>
        <v>218.10000000000005</v>
      </c>
      <c r="N394" s="77">
        <f>VLOOKUP($B394,[1]ბიუჯეტი!$B:$K,4,FALSE)</f>
        <v>0</v>
      </c>
      <c r="O394" s="77">
        <f>VLOOKUP($B394,[1]ბიუჯეტი!$B:$K,5,FALSE)</f>
        <v>0</v>
      </c>
      <c r="P394" s="77">
        <f>VLOOKUP($B394,[1]ბიუჯეტი!$B:$K,6,FALSE)</f>
        <v>0</v>
      </c>
      <c r="Q394" s="77">
        <f>VLOOKUP($B394,[1]ბიუჯეტი!$B:$K,7,FALSE)</f>
        <v>0</v>
      </c>
      <c r="R394" s="77">
        <f>VLOOKUP($B394,[1]ბიუჯეტი!$B:$K,8,FALSE)</f>
        <v>220.33898305084747</v>
      </c>
      <c r="S394" s="77">
        <f>VLOOKUP($B394,[1]ბიუჯეტი!$B:$K,9,FALSE)</f>
        <v>48055.932203389842</v>
      </c>
      <c r="T394" s="77">
        <f>VLOOKUP($B394,[1]ბიუჯეტი!$B:$K,10,FALSE)</f>
        <v>48055.932203389842</v>
      </c>
      <c r="V394" s="78">
        <f t="shared" si="58"/>
        <v>0</v>
      </c>
      <c r="W394" s="78">
        <f t="shared" si="59"/>
        <v>0</v>
      </c>
      <c r="X394" s="78">
        <f t="shared" si="60"/>
        <v>-148.30508474576271</v>
      </c>
      <c r="Y394" s="78">
        <f t="shared" si="61"/>
        <v>-160.50000000000006</v>
      </c>
    </row>
    <row r="395" spans="1:25" collapsed="1" x14ac:dyDescent="0.35">
      <c r="A395" s="63">
        <v>33</v>
      </c>
      <c r="B395" s="64" t="s">
        <v>189</v>
      </c>
      <c r="C395" s="65" t="s">
        <v>55</v>
      </c>
      <c r="D395" s="66">
        <f>D396+D397+D398</f>
        <v>42</v>
      </c>
      <c r="E395" s="66">
        <v>0</v>
      </c>
      <c r="F395" s="66">
        <v>0</v>
      </c>
      <c r="G395" s="66">
        <v>0</v>
      </c>
      <c r="H395" s="66">
        <v>0</v>
      </c>
      <c r="I395" s="66">
        <f>SUM(J396:J398)/D395</f>
        <v>1483.0508474576272</v>
      </c>
      <c r="J395" s="66">
        <f>D395*I395</f>
        <v>62288.135593220344</v>
      </c>
      <c r="K395" s="1">
        <f t="shared" si="51"/>
        <v>62288.135593220344</v>
      </c>
      <c r="M395" s="77">
        <f>VLOOKUP(B395,[1]ბიუჯეტი!$B:$K,3,FALSE)</f>
        <v>44</v>
      </c>
      <c r="N395" s="77">
        <f>VLOOKUP($B395,[1]ბიუჯეტი!$B:$K,4,FALSE)</f>
        <v>0</v>
      </c>
      <c r="O395" s="77">
        <f>VLOOKUP($B395,[1]ბიუჯეტი!$B:$K,5,FALSE)</f>
        <v>0</v>
      </c>
      <c r="P395" s="77">
        <f>VLOOKUP($B395,[1]ბიუჯეტი!$B:$K,6,FALSE)</f>
        <v>0</v>
      </c>
      <c r="Q395" s="77">
        <f>VLOOKUP($B395,[1]ბიუჯეტი!$B:$K,7,FALSE)</f>
        <v>0</v>
      </c>
      <c r="R395" s="77">
        <f>VLOOKUP($B395,[1]ბიუჯეტი!$B:$K,8,FALSE)</f>
        <v>1483.0508474576272</v>
      </c>
      <c r="S395" s="77">
        <f>VLOOKUP($B395,[1]ბიუჯეტი!$B:$K,9,FALSE)</f>
        <v>65254.237288135599</v>
      </c>
      <c r="T395" s="77">
        <f>VLOOKUP($B395,[1]ბიუჯეტი!$B:$K,10,FALSE)</f>
        <v>65254.237288135599</v>
      </c>
      <c r="V395" s="78">
        <f t="shared" si="58"/>
        <v>0</v>
      </c>
      <c r="W395" s="78">
        <f t="shared" si="59"/>
        <v>0</v>
      </c>
      <c r="X395" s="78">
        <f t="shared" si="60"/>
        <v>0</v>
      </c>
      <c r="Y395" s="78">
        <f t="shared" si="61"/>
        <v>-2</v>
      </c>
    </row>
    <row r="396" spans="1:25" hidden="1" outlineLevel="1" x14ac:dyDescent="0.35">
      <c r="A396" s="51">
        <v>1</v>
      </c>
      <c r="B396" s="3" t="s">
        <v>332</v>
      </c>
      <c r="C396" s="4" t="s">
        <v>55</v>
      </c>
      <c r="D396" s="1">
        <v>0</v>
      </c>
      <c r="E396" s="1"/>
      <c r="F396" s="1">
        <f t="shared" ref="F396:F433" si="62">D396*E396</f>
        <v>0</v>
      </c>
      <c r="G396" s="1"/>
      <c r="H396" s="1">
        <f>D396*G396</f>
        <v>0</v>
      </c>
      <c r="I396" s="1">
        <f>მომსახურება!D10</f>
        <v>1483.0508474576272</v>
      </c>
      <c r="J396" s="1">
        <f>D396*I396</f>
        <v>0</v>
      </c>
      <c r="K396" s="1">
        <f t="shared" si="51"/>
        <v>0</v>
      </c>
      <c r="M396" s="77">
        <f>VLOOKUP(B396,[1]ბიუჯეტი!$B:$K,3,FALSE)</f>
        <v>0</v>
      </c>
      <c r="N396" s="77">
        <f>VLOOKUP($B396,[1]ბიუჯეტი!$B:$K,4,FALSE)</f>
        <v>0</v>
      </c>
      <c r="O396" s="77">
        <f>VLOOKUP($B396,[1]ბიუჯეტი!$B:$K,5,FALSE)</f>
        <v>0</v>
      </c>
      <c r="P396" s="77">
        <f>VLOOKUP($B396,[1]ბიუჯეტი!$B:$K,6,FALSE)</f>
        <v>0</v>
      </c>
      <c r="Q396" s="77">
        <f>VLOOKUP($B396,[1]ბიუჯეტი!$B:$K,7,FALSE)</f>
        <v>0</v>
      </c>
      <c r="R396" s="77">
        <f>VLOOKUP($B396,[1]ბიუჯეტი!$B:$K,8,FALSE)</f>
        <v>1483.0508474576272</v>
      </c>
      <c r="S396" s="77">
        <f>VLOOKUP($B396,[1]ბიუჯეტი!$B:$K,9,FALSE)</f>
        <v>0</v>
      </c>
      <c r="T396" s="77">
        <f>VLOOKUP($B396,[1]ბიუჯეტი!$B:$K,10,FALSE)</f>
        <v>0</v>
      </c>
      <c r="V396" s="78">
        <f t="shared" si="58"/>
        <v>0</v>
      </c>
      <c r="W396" s="78">
        <f t="shared" si="59"/>
        <v>0</v>
      </c>
      <c r="X396" s="78">
        <f t="shared" si="60"/>
        <v>0</v>
      </c>
      <c r="Y396" s="78">
        <f t="shared" si="61"/>
        <v>0</v>
      </c>
    </row>
    <row r="397" spans="1:25" hidden="1" outlineLevel="1" x14ac:dyDescent="0.35">
      <c r="A397" s="51">
        <v>2</v>
      </c>
      <c r="B397" s="3" t="s">
        <v>118</v>
      </c>
      <c r="C397" s="4" t="s">
        <v>55</v>
      </c>
      <c r="D397" s="1">
        <f>სამუშაო!H56</f>
        <v>12</v>
      </c>
      <c r="E397" s="1"/>
      <c r="F397" s="1">
        <f t="shared" si="62"/>
        <v>0</v>
      </c>
      <c r="G397" s="1"/>
      <c r="H397" s="1">
        <f>D397*G397</f>
        <v>0</v>
      </c>
      <c r="I397" s="1">
        <f>მომსახურება!D10</f>
        <v>1483.0508474576272</v>
      </c>
      <c r="J397" s="1">
        <f>D397*I397</f>
        <v>17796.610169491527</v>
      </c>
      <c r="K397" s="1">
        <f t="shared" si="51"/>
        <v>17796.610169491527</v>
      </c>
      <c r="M397" s="77">
        <f>VLOOKUP(B397,[1]ბიუჯეტი!$B:$K,3,FALSE)</f>
        <v>11</v>
      </c>
      <c r="N397" s="77">
        <f>VLOOKUP($B397,[1]ბიუჯეტი!$B:$K,4,FALSE)</f>
        <v>0</v>
      </c>
      <c r="O397" s="77">
        <f>VLOOKUP($B397,[1]ბიუჯეტი!$B:$K,5,FALSE)</f>
        <v>0</v>
      </c>
      <c r="P397" s="77">
        <f>VLOOKUP($B397,[1]ბიუჯეტი!$B:$K,6,FALSE)</f>
        <v>0</v>
      </c>
      <c r="Q397" s="77">
        <f>VLOOKUP($B397,[1]ბიუჯეტი!$B:$K,7,FALSE)</f>
        <v>0</v>
      </c>
      <c r="R397" s="77">
        <f>VLOOKUP($B397,[1]ბიუჯეტი!$B:$K,8,FALSE)</f>
        <v>1483.0508474576272</v>
      </c>
      <c r="S397" s="77">
        <f>VLOOKUP($B397,[1]ბიუჯეტი!$B:$K,9,FALSE)</f>
        <v>16313.5593220339</v>
      </c>
      <c r="T397" s="77">
        <f>VLOOKUP($B397,[1]ბიუჯეტი!$B:$K,10,FALSE)</f>
        <v>16313.5593220339</v>
      </c>
      <c r="V397" s="78">
        <f t="shared" si="58"/>
        <v>0</v>
      </c>
      <c r="W397" s="78">
        <f t="shared" si="59"/>
        <v>0</v>
      </c>
      <c r="X397" s="78">
        <f t="shared" si="60"/>
        <v>0</v>
      </c>
      <c r="Y397" s="78">
        <f t="shared" si="61"/>
        <v>1</v>
      </c>
    </row>
    <row r="398" spans="1:25" hidden="1" outlineLevel="1" x14ac:dyDescent="0.35">
      <c r="A398" s="51">
        <v>3</v>
      </c>
      <c r="B398" s="3" t="s">
        <v>119</v>
      </c>
      <c r="C398" s="4" t="s">
        <v>55</v>
      </c>
      <c r="D398" s="1">
        <f>სამუშაო!H57+სამუშაო!H58+სამუშაო!H59</f>
        <v>30</v>
      </c>
      <c r="E398" s="1"/>
      <c r="F398" s="1">
        <f t="shared" si="62"/>
        <v>0</v>
      </c>
      <c r="G398" s="1"/>
      <c r="H398" s="1">
        <f>D398*G398</f>
        <v>0</v>
      </c>
      <c r="I398" s="1">
        <f>მომსახურება!D10</f>
        <v>1483.0508474576272</v>
      </c>
      <c r="J398" s="1">
        <f>D398*I398</f>
        <v>44491.525423728817</v>
      </c>
      <c r="K398" s="1">
        <f t="shared" si="51"/>
        <v>44491.525423728817</v>
      </c>
      <c r="M398" s="77">
        <f>VLOOKUP(B398,[1]ბიუჯეტი!$B:$K,3,FALSE)</f>
        <v>33</v>
      </c>
      <c r="N398" s="77">
        <f>VLOOKUP($B398,[1]ბიუჯეტი!$B:$K,4,FALSE)</f>
        <v>0</v>
      </c>
      <c r="O398" s="77">
        <f>VLOOKUP($B398,[1]ბიუჯეტი!$B:$K,5,FALSE)</f>
        <v>0</v>
      </c>
      <c r="P398" s="77">
        <f>VLOOKUP($B398,[1]ბიუჯეტი!$B:$K,6,FALSE)</f>
        <v>0</v>
      </c>
      <c r="Q398" s="77">
        <f>VLOOKUP($B398,[1]ბიუჯეტი!$B:$K,7,FALSE)</f>
        <v>0</v>
      </c>
      <c r="R398" s="77">
        <f>VLOOKUP($B398,[1]ბიუჯეტი!$B:$K,8,FALSE)</f>
        <v>1483.0508474576272</v>
      </c>
      <c r="S398" s="77">
        <f>VLOOKUP($B398,[1]ბიუჯეტი!$B:$K,9,FALSE)</f>
        <v>48940.677966101699</v>
      </c>
      <c r="T398" s="77">
        <f>VLOOKUP($B398,[1]ბიუჯეტი!$B:$K,10,FALSE)</f>
        <v>48940.677966101699</v>
      </c>
      <c r="V398" s="78">
        <f t="shared" si="58"/>
        <v>0</v>
      </c>
      <c r="W398" s="78">
        <f t="shared" si="59"/>
        <v>0</v>
      </c>
      <c r="X398" s="78">
        <f t="shared" si="60"/>
        <v>0</v>
      </c>
      <c r="Y398" s="78">
        <f t="shared" si="61"/>
        <v>-3</v>
      </c>
    </row>
    <row r="399" spans="1:25" collapsed="1" x14ac:dyDescent="0.35">
      <c r="A399" s="51">
        <v>34</v>
      </c>
      <c r="B399" s="23" t="s">
        <v>120</v>
      </c>
      <c r="C399" s="4" t="s">
        <v>121</v>
      </c>
      <c r="D399" s="1">
        <f>SUM(D402,D400)</f>
        <v>42</v>
      </c>
      <c r="E399" s="1">
        <f>SUM(K403:K403,K401,)/D399</f>
        <v>474.57627118644069</v>
      </c>
      <c r="F399" s="1">
        <f t="shared" si="62"/>
        <v>19932.203389830509</v>
      </c>
      <c r="G399" s="1">
        <f>SUM(H400:H403)/D399</f>
        <v>195.75</v>
      </c>
      <c r="H399" s="1">
        <f>G399*D399</f>
        <v>8221.5</v>
      </c>
      <c r="I399" s="1">
        <v>0</v>
      </c>
      <c r="J399" s="1">
        <v>0</v>
      </c>
      <c r="K399" s="1">
        <f t="shared" si="51"/>
        <v>28153.703389830509</v>
      </c>
      <c r="M399" s="77">
        <f>VLOOKUP(B399,[1]ბიუჯეტი!$B:$K,3,FALSE)</f>
        <v>44</v>
      </c>
      <c r="N399" s="77">
        <f>VLOOKUP($B399,[1]ბიუჯეტი!$B:$K,4,FALSE)</f>
        <v>541.31355932203394</v>
      </c>
      <c r="O399" s="77">
        <f>VLOOKUP($B399,[1]ბიუჯეტი!$B:$K,5,FALSE)</f>
        <v>23817.796610169495</v>
      </c>
      <c r="P399" s="77">
        <f>VLOOKUP($B399,[1]ბიუჯეტი!$B:$K,6,FALSE)</f>
        <v>195.75</v>
      </c>
      <c r="Q399" s="77">
        <f>VLOOKUP($B399,[1]ბიუჯეტი!$B:$K,7,FALSE)</f>
        <v>8613</v>
      </c>
      <c r="R399" s="77">
        <f>VLOOKUP($B399,[1]ბიუჯეტი!$B:$K,8,FALSE)</f>
        <v>0</v>
      </c>
      <c r="S399" s="77">
        <f>VLOOKUP($B399,[1]ბიუჯეტი!$B:$K,9,FALSE)</f>
        <v>0</v>
      </c>
      <c r="T399" s="77">
        <f>VLOOKUP($B399,[1]ბიუჯეტი!$B:$K,10,FALSE)</f>
        <v>32430.796610169495</v>
      </c>
      <c r="V399" s="78">
        <f t="shared" si="58"/>
        <v>-66.737288135593246</v>
      </c>
      <c r="W399" s="78">
        <f t="shared" si="59"/>
        <v>0</v>
      </c>
      <c r="X399" s="78">
        <f t="shared" si="60"/>
        <v>0</v>
      </c>
      <c r="Y399" s="78">
        <f t="shared" si="61"/>
        <v>-2</v>
      </c>
    </row>
    <row r="400" spans="1:25" hidden="1" outlineLevel="1" x14ac:dyDescent="0.35">
      <c r="A400" s="51">
        <v>1</v>
      </c>
      <c r="B400" s="23" t="s">
        <v>122</v>
      </c>
      <c r="C400" s="4" t="s">
        <v>121</v>
      </c>
      <c r="D400" s="1">
        <f>D372</f>
        <v>12</v>
      </c>
      <c r="E400" s="1"/>
      <c r="F400" s="1">
        <f t="shared" si="62"/>
        <v>0</v>
      </c>
      <c r="G400" s="1">
        <f>ხელფასი!D20+30</f>
        <v>195.75</v>
      </c>
      <c r="H400" s="1">
        <f>G400*D400</f>
        <v>2349</v>
      </c>
      <c r="I400" s="1"/>
      <c r="J400" s="1"/>
      <c r="K400" s="1">
        <f t="shared" si="51"/>
        <v>2349</v>
      </c>
      <c r="M400" s="77">
        <f>VLOOKUP(B400,[1]ბიუჯეტი!$B:$K,3,FALSE)</f>
        <v>11</v>
      </c>
      <c r="N400" s="77">
        <f>VLOOKUP($B400,[1]ბიუჯეტი!$B:$K,4,FALSE)</f>
        <v>0</v>
      </c>
      <c r="O400" s="77">
        <f>VLOOKUP($B400,[1]ბიუჯეტი!$B:$K,5,FALSE)</f>
        <v>0</v>
      </c>
      <c r="P400" s="77">
        <f>VLOOKUP($B400,[1]ბიუჯეტი!$B:$K,6,FALSE)</f>
        <v>195.75</v>
      </c>
      <c r="Q400" s="77">
        <f>VLOOKUP($B400,[1]ბიუჯეტი!$B:$K,7,FALSE)</f>
        <v>2153.25</v>
      </c>
      <c r="R400" s="77">
        <f>VLOOKUP($B400,[1]ბიუჯეტი!$B:$K,8,FALSE)</f>
        <v>0</v>
      </c>
      <c r="S400" s="77">
        <f>VLOOKUP($B400,[1]ბიუჯეტი!$B:$K,9,FALSE)</f>
        <v>0</v>
      </c>
      <c r="T400" s="77">
        <f>VLOOKUP($B400,[1]ბიუჯეტი!$B:$K,10,FALSE)</f>
        <v>2153.25</v>
      </c>
      <c r="V400" s="78">
        <f t="shared" si="58"/>
        <v>0</v>
      </c>
      <c r="W400" s="78">
        <f t="shared" si="59"/>
        <v>0</v>
      </c>
      <c r="X400" s="78">
        <f t="shared" si="60"/>
        <v>0</v>
      </c>
      <c r="Y400" s="78">
        <f t="shared" si="61"/>
        <v>1</v>
      </c>
    </row>
    <row r="401" spans="1:25" hidden="1" outlineLevel="1" x14ac:dyDescent="0.35">
      <c r="A401" s="51"/>
      <c r="B401" s="3" t="s">
        <v>123</v>
      </c>
      <c r="C401" s="4" t="s">
        <v>40</v>
      </c>
      <c r="D401" s="1">
        <f>D400*160</f>
        <v>1920</v>
      </c>
      <c r="E401" s="1">
        <f>მასალა!D44</f>
        <v>2.9661016949152543</v>
      </c>
      <c r="F401" s="1">
        <f t="shared" si="62"/>
        <v>5694.9152542372885</v>
      </c>
      <c r="G401" s="1"/>
      <c r="H401" s="1">
        <f>D401*G401</f>
        <v>0</v>
      </c>
      <c r="I401" s="1"/>
      <c r="J401" s="1"/>
      <c r="K401" s="1">
        <f t="shared" si="51"/>
        <v>5694.9152542372885</v>
      </c>
      <c r="M401" s="77">
        <f>VLOOKUP(B401,[1]ბიუჯეტი!$B:$K,3,FALSE)</f>
        <v>2750</v>
      </c>
      <c r="N401" s="77">
        <f>VLOOKUP($B401,[1]ბიუჯეტი!$B:$K,4,FALSE)</f>
        <v>2.9661016949152543</v>
      </c>
      <c r="O401" s="77">
        <f>VLOOKUP($B401,[1]ბიუჯეტი!$B:$K,5,FALSE)</f>
        <v>8156.7796610169498</v>
      </c>
      <c r="P401" s="77">
        <f>VLOOKUP($B401,[1]ბიუჯეტი!$B:$K,6,FALSE)</f>
        <v>0</v>
      </c>
      <c r="Q401" s="77">
        <f>VLOOKUP($B401,[1]ბიუჯეტი!$B:$K,7,FALSE)</f>
        <v>0</v>
      </c>
      <c r="R401" s="77">
        <f>VLOOKUP($B401,[1]ბიუჯეტი!$B:$K,8,FALSE)</f>
        <v>0</v>
      </c>
      <c r="S401" s="77">
        <f>VLOOKUP($B401,[1]ბიუჯეტი!$B:$K,9,FALSE)</f>
        <v>0</v>
      </c>
      <c r="T401" s="77">
        <f>VLOOKUP($B401,[1]ბიუჯეტი!$B:$K,10,FALSE)</f>
        <v>8156.7796610169498</v>
      </c>
      <c r="V401" s="78">
        <f t="shared" si="58"/>
        <v>0</v>
      </c>
      <c r="W401" s="78">
        <f t="shared" si="59"/>
        <v>0</v>
      </c>
      <c r="X401" s="78">
        <f t="shared" si="60"/>
        <v>0</v>
      </c>
      <c r="Y401" s="78">
        <f t="shared" si="61"/>
        <v>-830</v>
      </c>
    </row>
    <row r="402" spans="1:25" hidden="1" outlineLevel="1" x14ac:dyDescent="0.35">
      <c r="A402" s="51">
        <v>2</v>
      </c>
      <c r="B402" s="23" t="s">
        <v>182</v>
      </c>
      <c r="C402" s="4" t="s">
        <v>121</v>
      </c>
      <c r="D402" s="1">
        <f>D373</f>
        <v>30</v>
      </c>
      <c r="E402" s="1"/>
      <c r="F402" s="1">
        <f t="shared" si="62"/>
        <v>0</v>
      </c>
      <c r="G402" s="1">
        <f>ხელფასი!D20+30</f>
        <v>195.75</v>
      </c>
      <c r="H402" s="1">
        <f>G402*D402</f>
        <v>5872.5</v>
      </c>
      <c r="I402" s="1"/>
      <c r="J402" s="1"/>
      <c r="K402" s="1">
        <f t="shared" si="51"/>
        <v>5872.5</v>
      </c>
      <c r="M402" s="77">
        <f>VLOOKUP(B402,[1]ბიუჯეტი!$B:$K,3,FALSE)</f>
        <v>33</v>
      </c>
      <c r="N402" s="77">
        <f>VLOOKUP($B402,[1]ბიუჯეტი!$B:$K,4,FALSE)</f>
        <v>0</v>
      </c>
      <c r="O402" s="77">
        <f>VLOOKUP($B402,[1]ბიუჯეტი!$B:$K,5,FALSE)</f>
        <v>0</v>
      </c>
      <c r="P402" s="77">
        <f>VLOOKUP($B402,[1]ბიუჯეტი!$B:$K,6,FALSE)</f>
        <v>195.75</v>
      </c>
      <c r="Q402" s="77">
        <f>VLOOKUP($B402,[1]ბიუჯეტი!$B:$K,7,FALSE)</f>
        <v>6459.75</v>
      </c>
      <c r="R402" s="77">
        <f>VLOOKUP($B402,[1]ბიუჯეტი!$B:$K,8,FALSE)</f>
        <v>0</v>
      </c>
      <c r="S402" s="77">
        <f>VLOOKUP($B402,[1]ბიუჯეტი!$B:$K,9,FALSE)</f>
        <v>0</v>
      </c>
      <c r="T402" s="77">
        <f>VLOOKUP($B402,[1]ბიუჯეტი!$B:$K,10,FALSE)</f>
        <v>6459.75</v>
      </c>
      <c r="V402" s="78">
        <f t="shared" si="58"/>
        <v>0</v>
      </c>
      <c r="W402" s="78">
        <f t="shared" si="59"/>
        <v>0</v>
      </c>
      <c r="X402" s="78">
        <f t="shared" si="60"/>
        <v>0</v>
      </c>
      <c r="Y402" s="78">
        <f t="shared" si="61"/>
        <v>-3</v>
      </c>
    </row>
    <row r="403" spans="1:25" hidden="1" outlineLevel="1" x14ac:dyDescent="0.35">
      <c r="A403" s="51"/>
      <c r="B403" s="3" t="s">
        <v>123</v>
      </c>
      <c r="C403" s="4" t="s">
        <v>40</v>
      </c>
      <c r="D403" s="1">
        <f>D402*160</f>
        <v>4800</v>
      </c>
      <c r="E403" s="1">
        <f>მასალა!D44</f>
        <v>2.9661016949152543</v>
      </c>
      <c r="F403" s="1">
        <f t="shared" si="62"/>
        <v>14237.28813559322</v>
      </c>
      <c r="G403" s="1"/>
      <c r="H403" s="1">
        <f>D403*G403</f>
        <v>0</v>
      </c>
      <c r="I403" s="1"/>
      <c r="J403" s="1"/>
      <c r="K403" s="1">
        <f t="shared" si="51"/>
        <v>14237.28813559322</v>
      </c>
      <c r="M403" s="77">
        <f>VLOOKUP(B403,[1]ბიუჯეტი!$B:$K,3,FALSE)</f>
        <v>2750</v>
      </c>
      <c r="N403" s="77">
        <f>VLOOKUP($B403,[1]ბიუჯეტი!$B:$K,4,FALSE)</f>
        <v>2.9661016949152543</v>
      </c>
      <c r="O403" s="77">
        <f>VLOOKUP($B403,[1]ბიუჯეტი!$B:$K,5,FALSE)</f>
        <v>8156.7796610169498</v>
      </c>
      <c r="P403" s="77">
        <f>VLOOKUP($B403,[1]ბიუჯეტი!$B:$K,6,FALSE)</f>
        <v>0</v>
      </c>
      <c r="Q403" s="77">
        <f>VLOOKUP($B403,[1]ბიუჯეტი!$B:$K,7,FALSE)</f>
        <v>0</v>
      </c>
      <c r="R403" s="77">
        <f>VLOOKUP($B403,[1]ბიუჯეტი!$B:$K,8,FALSE)</f>
        <v>0</v>
      </c>
      <c r="S403" s="77">
        <f>VLOOKUP($B403,[1]ბიუჯეტი!$B:$K,9,FALSE)</f>
        <v>0</v>
      </c>
      <c r="T403" s="77">
        <f>VLOOKUP($B403,[1]ბიუჯეტი!$B:$K,10,FALSE)</f>
        <v>8156.7796610169498</v>
      </c>
      <c r="V403" s="78">
        <f t="shared" si="58"/>
        <v>0</v>
      </c>
      <c r="W403" s="78">
        <f t="shared" si="59"/>
        <v>0</v>
      </c>
      <c r="X403" s="78">
        <f t="shared" si="60"/>
        <v>0</v>
      </c>
      <c r="Y403" s="78">
        <f t="shared" si="61"/>
        <v>2050</v>
      </c>
    </row>
    <row r="404" spans="1:25" collapsed="1" x14ac:dyDescent="0.35">
      <c r="A404" s="51">
        <v>35</v>
      </c>
      <c r="B404" s="23" t="s">
        <v>124</v>
      </c>
      <c r="C404" s="4" t="s">
        <v>49</v>
      </c>
      <c r="D404" s="1">
        <v>176</v>
      </c>
      <c r="E404" s="1">
        <f>მასალა!D87</f>
        <v>110.16949152542374</v>
      </c>
      <c r="F404" s="1">
        <f t="shared" si="62"/>
        <v>19389.830508474577</v>
      </c>
      <c r="G404" s="1">
        <f>ხელფასი!D21</f>
        <v>31.874999999999996</v>
      </c>
      <c r="H404" s="1">
        <f>G404*D404</f>
        <v>5609.9999999999991</v>
      </c>
      <c r="I404" s="1">
        <v>0</v>
      </c>
      <c r="J404" s="1">
        <f>I404*D404</f>
        <v>0</v>
      </c>
      <c r="K404" s="1">
        <f t="shared" si="51"/>
        <v>24999.830508474577</v>
      </c>
      <c r="M404" s="77">
        <f>VLOOKUP(B404,[1]ბიუჯეტი!$B:$K,3,FALSE)</f>
        <v>161</v>
      </c>
      <c r="N404" s="77">
        <f>VLOOKUP($B404,[1]ბიუჯეტი!$B:$K,4,FALSE)</f>
        <v>110.16949152542374</v>
      </c>
      <c r="O404" s="77">
        <f>VLOOKUP($B404,[1]ბიუჯეტი!$B:$K,5,FALSE)</f>
        <v>17737.288135593222</v>
      </c>
      <c r="P404" s="77">
        <f>VLOOKUP($B404,[1]ბიუჯეტი!$B:$K,6,FALSE)</f>
        <v>31.874999999999996</v>
      </c>
      <c r="Q404" s="77">
        <f>VLOOKUP($B404,[1]ბიუჯეტი!$B:$K,7,FALSE)</f>
        <v>5131.8749999999991</v>
      </c>
      <c r="R404" s="77">
        <f>VLOOKUP($B404,[1]ბიუჯეტი!$B:$K,8,FALSE)</f>
        <v>0</v>
      </c>
      <c r="S404" s="77">
        <f>VLOOKUP($B404,[1]ბიუჯეტი!$B:$K,9,FALSE)</f>
        <v>0</v>
      </c>
      <c r="T404" s="77">
        <f>VLOOKUP($B404,[1]ბიუჯეტი!$B:$K,10,FALSE)</f>
        <v>22869.163135593222</v>
      </c>
      <c r="V404" s="78">
        <f t="shared" si="58"/>
        <v>0</v>
      </c>
      <c r="W404" s="78">
        <f t="shared" si="59"/>
        <v>0</v>
      </c>
      <c r="X404" s="78">
        <f t="shared" si="60"/>
        <v>0</v>
      </c>
      <c r="Y404" s="78">
        <f t="shared" si="61"/>
        <v>15</v>
      </c>
    </row>
    <row r="405" spans="1:25" collapsed="1" x14ac:dyDescent="0.35">
      <c r="A405" s="51">
        <v>36</v>
      </c>
      <c r="B405" s="23" t="s">
        <v>338</v>
      </c>
      <c r="C405" s="4" t="s">
        <v>49</v>
      </c>
      <c r="D405" s="1">
        <f>სამუშაო!D56+სამუშაო!D57+სამუშაო!D58+სამუშაო!D59</f>
        <v>42</v>
      </c>
      <c r="E405" s="1">
        <f>მასალა!D88</f>
        <v>42.372881355932208</v>
      </c>
      <c r="F405" s="1">
        <f>D405*E405</f>
        <v>1779.6610169491528</v>
      </c>
      <c r="G405" s="1">
        <f>ხელფასი!D22</f>
        <v>57.374999999999993</v>
      </c>
      <c r="H405" s="1">
        <f>G405*D405</f>
        <v>2409.7499999999995</v>
      </c>
      <c r="I405" s="1">
        <v>0</v>
      </c>
      <c r="J405" s="1">
        <f>I405*D405</f>
        <v>0</v>
      </c>
      <c r="K405" s="1">
        <f t="shared" si="51"/>
        <v>4189.4110169491523</v>
      </c>
      <c r="M405" s="77">
        <f>VLOOKUP(B405,[1]ბიუჯეტი!$B:$K,3,FALSE)</f>
        <v>44</v>
      </c>
      <c r="N405" s="77">
        <f>VLOOKUP($B405,[1]ბიუჯეტი!$B:$K,4,FALSE)</f>
        <v>42.372881355932208</v>
      </c>
      <c r="O405" s="77">
        <f>VLOOKUP($B405,[1]ბიუჯეტი!$B:$K,5,FALSE)</f>
        <v>1864.406779661017</v>
      </c>
      <c r="P405" s="77">
        <f>VLOOKUP($B405,[1]ბიუჯეტი!$B:$K,6,FALSE)</f>
        <v>57.374999999999993</v>
      </c>
      <c r="Q405" s="77">
        <f>VLOOKUP($B405,[1]ბიუჯეტი!$B:$K,7,FALSE)</f>
        <v>2524.4999999999995</v>
      </c>
      <c r="R405" s="77">
        <f>VLOOKUP($B405,[1]ბიუჯეტი!$B:$K,8,FALSE)</f>
        <v>0</v>
      </c>
      <c r="S405" s="77">
        <f>VLOOKUP($B405,[1]ბიუჯეტი!$B:$K,9,FALSE)</f>
        <v>0</v>
      </c>
      <c r="T405" s="77">
        <f>VLOOKUP($B405,[1]ბიუჯეტი!$B:$K,10,FALSE)</f>
        <v>4388.9067796610161</v>
      </c>
      <c r="V405" s="78">
        <f t="shared" si="58"/>
        <v>0</v>
      </c>
      <c r="W405" s="78">
        <f t="shared" si="59"/>
        <v>0</v>
      </c>
      <c r="X405" s="78">
        <f t="shared" si="60"/>
        <v>0</v>
      </c>
      <c r="Y405" s="78">
        <f t="shared" si="61"/>
        <v>-2</v>
      </c>
    </row>
    <row r="406" spans="1:25" x14ac:dyDescent="0.35">
      <c r="A406" s="51">
        <v>37</v>
      </c>
      <c r="B406" s="23" t="s">
        <v>125</v>
      </c>
      <c r="C406" s="4" t="s">
        <v>49</v>
      </c>
      <c r="D406" s="1">
        <v>90</v>
      </c>
      <c r="E406" s="1">
        <f>მასალა!D89</f>
        <v>25.423728813559322</v>
      </c>
      <c r="F406" s="1">
        <f t="shared" si="62"/>
        <v>2288.1355932203392</v>
      </c>
      <c r="G406" s="1">
        <f>ხელფასი!D23</f>
        <v>31.874999999999996</v>
      </c>
      <c r="H406" s="1">
        <f>G406*D406</f>
        <v>2868.7499999999995</v>
      </c>
      <c r="I406" s="1">
        <v>0</v>
      </c>
      <c r="J406" s="1">
        <f>I406*D406</f>
        <v>0</v>
      </c>
      <c r="K406" s="1">
        <f t="shared" si="51"/>
        <v>5156.8855932203387</v>
      </c>
      <c r="M406" s="77">
        <f>VLOOKUP(B406,[1]ბიუჯეტი!$B:$K,3,FALSE)</f>
        <v>96</v>
      </c>
      <c r="N406" s="77">
        <f>VLOOKUP($B406,[1]ბიუჯეტი!$B:$K,4,FALSE)</f>
        <v>25.423728813559322</v>
      </c>
      <c r="O406" s="77">
        <f>VLOOKUP($B406,[1]ბიუჯეტი!$B:$K,5,FALSE)</f>
        <v>2440.6779661016949</v>
      </c>
      <c r="P406" s="77">
        <f>VLOOKUP($B406,[1]ბიუჯეტი!$B:$K,6,FALSE)</f>
        <v>31.874999999999996</v>
      </c>
      <c r="Q406" s="77">
        <f>VLOOKUP($B406,[1]ბიუჯეტი!$B:$K,7,FALSE)</f>
        <v>3059.9999999999995</v>
      </c>
      <c r="R406" s="77">
        <f>VLOOKUP($B406,[1]ბიუჯეტი!$B:$K,8,FALSE)</f>
        <v>0</v>
      </c>
      <c r="S406" s="77">
        <f>VLOOKUP($B406,[1]ბიუჯეტი!$B:$K,9,FALSE)</f>
        <v>0</v>
      </c>
      <c r="T406" s="77">
        <f>VLOOKUP($B406,[1]ბიუჯეტი!$B:$K,10,FALSE)</f>
        <v>5500.6779661016944</v>
      </c>
      <c r="V406" s="78">
        <f t="shared" si="58"/>
        <v>0</v>
      </c>
      <c r="W406" s="78">
        <f t="shared" si="59"/>
        <v>0</v>
      </c>
      <c r="X406" s="78">
        <f t="shared" si="60"/>
        <v>0</v>
      </c>
      <c r="Y406" s="78">
        <f t="shared" si="61"/>
        <v>-6</v>
      </c>
    </row>
    <row r="407" spans="1:25" x14ac:dyDescent="0.35">
      <c r="A407" s="51">
        <v>38</v>
      </c>
      <c r="B407" s="23" t="s">
        <v>126</v>
      </c>
      <c r="C407" s="4" t="s">
        <v>127</v>
      </c>
      <c r="D407" s="1">
        <f>SUM(D414,D408,)</f>
        <v>3780</v>
      </c>
      <c r="E407" s="1">
        <f>SUM(K415:K419,K409:K413)/D407</f>
        <v>14.558898305084746</v>
      </c>
      <c r="F407" s="1">
        <f t="shared" si="62"/>
        <v>55032.635593220337</v>
      </c>
      <c r="G407" s="1">
        <f>SUM(H408:H419)/D407</f>
        <v>10.199999999999999</v>
      </c>
      <c r="H407" s="1">
        <f>G407*D407</f>
        <v>38556</v>
      </c>
      <c r="I407" s="1">
        <v>0</v>
      </c>
      <c r="J407" s="1">
        <v>0</v>
      </c>
      <c r="K407" s="1">
        <f t="shared" si="51"/>
        <v>93588.63559322033</v>
      </c>
      <c r="M407" s="77">
        <f>VLOOKUP(B407,[1]ბიუჯეტი!$B:$K,3,FALSE)</f>
        <v>3960</v>
      </c>
      <c r="N407" s="77">
        <f>VLOOKUP($B407,[1]ბიუჯეტი!$B:$K,4,FALSE)</f>
        <v>12.906673728813558</v>
      </c>
      <c r="O407" s="77">
        <f>VLOOKUP($B407,[1]ბიუჯეტი!$B:$K,5,FALSE)</f>
        <v>51110.427966101692</v>
      </c>
      <c r="P407" s="77">
        <f>VLOOKUP($B407,[1]ბიუჯეტი!$B:$K,6,FALSE)</f>
        <v>10.199999999999999</v>
      </c>
      <c r="Q407" s="77">
        <f>VLOOKUP($B407,[1]ბიუჯეტი!$B:$K,7,FALSE)</f>
        <v>40392</v>
      </c>
      <c r="R407" s="77">
        <f>VLOOKUP($B407,[1]ბიუჯეტი!$B:$K,8,FALSE)</f>
        <v>0</v>
      </c>
      <c r="S407" s="77">
        <f>VLOOKUP($B407,[1]ბიუჯეტი!$B:$K,9,FALSE)</f>
        <v>0</v>
      </c>
      <c r="T407" s="77">
        <f>VLOOKUP($B407,[1]ბიუჯეტი!$B:$K,10,FALSE)</f>
        <v>91502.427966101692</v>
      </c>
      <c r="V407" s="78">
        <f t="shared" si="58"/>
        <v>1.6522245762711876</v>
      </c>
      <c r="W407" s="78">
        <f t="shared" si="59"/>
        <v>0</v>
      </c>
      <c r="X407" s="78">
        <f t="shared" si="60"/>
        <v>0</v>
      </c>
      <c r="Y407" s="78">
        <f t="shared" si="61"/>
        <v>-180</v>
      </c>
    </row>
    <row r="408" spans="1:25" hidden="1" outlineLevel="1" x14ac:dyDescent="0.35">
      <c r="A408" s="51">
        <v>0</v>
      </c>
      <c r="B408" s="23" t="s">
        <v>128</v>
      </c>
      <c r="C408" s="4" t="s">
        <v>127</v>
      </c>
      <c r="D408" s="1">
        <f>სამუშაო!D56*90</f>
        <v>1080</v>
      </c>
      <c r="E408" s="1"/>
      <c r="F408" s="1">
        <f t="shared" si="62"/>
        <v>0</v>
      </c>
      <c r="G408" s="1">
        <f>ხელფასი!D24</f>
        <v>10.199999999999999</v>
      </c>
      <c r="H408" s="1">
        <f>D408*G408</f>
        <v>11016</v>
      </c>
      <c r="I408" s="1"/>
      <c r="J408" s="1"/>
      <c r="K408" s="1">
        <f t="shared" si="51"/>
        <v>11016</v>
      </c>
      <c r="M408" s="77">
        <f>VLOOKUP(B408,[1]ბიუჯეტი!$B:$K,3,FALSE)</f>
        <v>990</v>
      </c>
      <c r="N408" s="77">
        <f>VLOOKUP($B408,[1]ბიუჯეტი!$B:$K,4,FALSE)</f>
        <v>0</v>
      </c>
      <c r="O408" s="77">
        <f>VLOOKUP($B408,[1]ბიუჯეტი!$B:$K,5,FALSE)</f>
        <v>0</v>
      </c>
      <c r="P408" s="77">
        <f>VLOOKUP($B408,[1]ბიუჯეტი!$B:$K,6,FALSE)</f>
        <v>10.199999999999999</v>
      </c>
      <c r="Q408" s="77">
        <f>VLOOKUP($B408,[1]ბიუჯეტი!$B:$K,7,FALSE)</f>
        <v>10098</v>
      </c>
      <c r="R408" s="77">
        <f>VLOOKUP($B408,[1]ბიუჯეტი!$B:$K,8,FALSE)</f>
        <v>0</v>
      </c>
      <c r="S408" s="77">
        <f>VLOOKUP($B408,[1]ბიუჯეტი!$B:$K,9,FALSE)</f>
        <v>0</v>
      </c>
      <c r="T408" s="77">
        <f>VLOOKUP($B408,[1]ბიუჯეტი!$B:$K,10,FALSE)</f>
        <v>10098</v>
      </c>
      <c r="V408" s="78">
        <f t="shared" si="58"/>
        <v>0</v>
      </c>
      <c r="W408" s="78">
        <f t="shared" si="59"/>
        <v>0</v>
      </c>
      <c r="X408" s="78">
        <f t="shared" si="60"/>
        <v>0</v>
      </c>
      <c r="Y408" s="78">
        <f t="shared" si="61"/>
        <v>90</v>
      </c>
    </row>
    <row r="409" spans="1:25" hidden="1" outlineLevel="1" x14ac:dyDescent="0.35">
      <c r="A409" s="51"/>
      <c r="B409" s="3" t="s">
        <v>129</v>
      </c>
      <c r="C409" s="4" t="s">
        <v>40</v>
      </c>
      <c r="D409" s="1">
        <f>D408*3.2*1.05</f>
        <v>3628.8</v>
      </c>
      <c r="E409" s="1">
        <f>მასალა!D50</f>
        <v>2.7118644067796613</v>
      </c>
      <c r="F409" s="1">
        <f t="shared" si="62"/>
        <v>9840.8135593220359</v>
      </c>
      <c r="G409" s="1"/>
      <c r="H409" s="1"/>
      <c r="I409" s="1"/>
      <c r="J409" s="1"/>
      <c r="K409" s="1">
        <f t="shared" si="51"/>
        <v>9840.8135593220359</v>
      </c>
      <c r="M409" s="77">
        <f>VLOOKUP(B409,[1]ბიუჯეტი!$B:$K,3,FALSE)</f>
        <v>3118.5</v>
      </c>
      <c r="N409" s="77">
        <f>VLOOKUP($B409,[1]ბიუჯეტი!$B:$K,4,FALSE)</f>
        <v>2.5423728813559325</v>
      </c>
      <c r="O409" s="77">
        <f>VLOOKUP($B409,[1]ბიუჯეტი!$B:$K,5,FALSE)</f>
        <v>7928.3898305084758</v>
      </c>
      <c r="P409" s="77">
        <f>VLOOKUP($B409,[1]ბიუჯეტი!$B:$K,6,FALSE)</f>
        <v>0</v>
      </c>
      <c r="Q409" s="77">
        <f>VLOOKUP($B409,[1]ბიუჯეტი!$B:$K,7,FALSE)</f>
        <v>0</v>
      </c>
      <c r="R409" s="77">
        <f>VLOOKUP($B409,[1]ბიუჯეტი!$B:$K,8,FALSE)</f>
        <v>0</v>
      </c>
      <c r="S409" s="77">
        <f>VLOOKUP($B409,[1]ბიუჯეტი!$B:$K,9,FALSE)</f>
        <v>0</v>
      </c>
      <c r="T409" s="77">
        <f>VLOOKUP($B409,[1]ბიუჯეტი!$B:$K,10,FALSE)</f>
        <v>7928.3898305084758</v>
      </c>
      <c r="V409" s="78">
        <f t="shared" si="58"/>
        <v>0.16949152542372881</v>
      </c>
      <c r="W409" s="78">
        <f t="shared" si="59"/>
        <v>0</v>
      </c>
      <c r="X409" s="78">
        <f t="shared" si="60"/>
        <v>0</v>
      </c>
      <c r="Y409" s="78">
        <f t="shared" si="61"/>
        <v>510.30000000000018</v>
      </c>
    </row>
    <row r="410" spans="1:25" hidden="1" outlineLevel="1" x14ac:dyDescent="0.35">
      <c r="A410" s="51"/>
      <c r="B410" s="3" t="s">
        <v>130</v>
      </c>
      <c r="C410" s="4" t="s">
        <v>40</v>
      </c>
      <c r="D410" s="1">
        <f>D408*1*1.05</f>
        <v>1134</v>
      </c>
      <c r="E410" s="1">
        <f>მასალა!D51</f>
        <v>1.652542372881356</v>
      </c>
      <c r="F410" s="1">
        <f t="shared" si="62"/>
        <v>1873.9830508474577</v>
      </c>
      <c r="G410" s="1"/>
      <c r="H410" s="1"/>
      <c r="I410" s="1"/>
      <c r="J410" s="1"/>
      <c r="K410" s="1">
        <f t="shared" ref="K410:K473" si="63">F410+H410+J410</f>
        <v>1873.9830508474577</v>
      </c>
      <c r="M410" s="77">
        <f>VLOOKUP(B410,[1]ბიუჯეტი!$B:$K,3,FALSE)</f>
        <v>883.57500000000005</v>
      </c>
      <c r="N410" s="77">
        <f>VLOOKUP($B410,[1]ბიუჯეტი!$B:$K,4,FALSE)</f>
        <v>1.6101694915254237</v>
      </c>
      <c r="O410" s="77">
        <f>VLOOKUP($B410,[1]ბიუჯეტი!$B:$K,5,FALSE)</f>
        <v>1422.7055084745764</v>
      </c>
      <c r="P410" s="77">
        <f>VLOOKUP($B410,[1]ბიუჯეტი!$B:$K,6,FALSE)</f>
        <v>0</v>
      </c>
      <c r="Q410" s="77">
        <f>VLOOKUP($B410,[1]ბიუჯეტი!$B:$K,7,FALSE)</f>
        <v>0</v>
      </c>
      <c r="R410" s="77">
        <f>VLOOKUP($B410,[1]ბიუჯეტი!$B:$K,8,FALSE)</f>
        <v>0</v>
      </c>
      <c r="S410" s="77">
        <f>VLOOKUP($B410,[1]ბიუჯეტი!$B:$K,9,FALSE)</f>
        <v>0</v>
      </c>
      <c r="T410" s="77">
        <f>VLOOKUP($B410,[1]ბიუჯეტი!$B:$K,10,FALSE)</f>
        <v>1422.7055084745764</v>
      </c>
      <c r="V410" s="78">
        <f t="shared" si="58"/>
        <v>4.2372881355932313E-2</v>
      </c>
      <c r="W410" s="78">
        <f t="shared" si="59"/>
        <v>0</v>
      </c>
      <c r="X410" s="78">
        <f t="shared" si="60"/>
        <v>0</v>
      </c>
      <c r="Y410" s="78">
        <f t="shared" si="61"/>
        <v>250.42499999999995</v>
      </c>
    </row>
    <row r="411" spans="1:25" hidden="1" outlineLevel="1" x14ac:dyDescent="0.35">
      <c r="A411" s="51"/>
      <c r="B411" s="3" t="s">
        <v>131</v>
      </c>
      <c r="C411" s="4" t="s">
        <v>40</v>
      </c>
      <c r="D411" s="1">
        <f>D408*2*1.05</f>
        <v>2268</v>
      </c>
      <c r="E411" s="1">
        <f>მასალა!D52</f>
        <v>1.1016949152542375</v>
      </c>
      <c r="F411" s="1">
        <f t="shared" si="62"/>
        <v>2498.6440677966107</v>
      </c>
      <c r="G411" s="1"/>
      <c r="H411" s="1"/>
      <c r="I411" s="1"/>
      <c r="J411" s="1"/>
      <c r="K411" s="1">
        <f t="shared" si="63"/>
        <v>2498.6440677966107</v>
      </c>
      <c r="M411" s="77">
        <f>VLOOKUP(B411,[1]ბიუჯეტი!$B:$K,3,FALSE)</f>
        <v>1819.125</v>
      </c>
      <c r="N411" s="77">
        <f>VLOOKUP($B411,[1]ბიუჯეტი!$B:$K,4,FALSE)</f>
        <v>1.1016949152542375</v>
      </c>
      <c r="O411" s="77">
        <f>VLOOKUP($B411,[1]ბიუჯეტი!$B:$K,5,FALSE)</f>
        <v>2004.1207627118647</v>
      </c>
      <c r="P411" s="77">
        <f>VLOOKUP($B411,[1]ბიუჯეტი!$B:$K,6,FALSE)</f>
        <v>0</v>
      </c>
      <c r="Q411" s="77">
        <f>VLOOKUP($B411,[1]ბიუჯეტი!$B:$K,7,FALSE)</f>
        <v>0</v>
      </c>
      <c r="R411" s="77">
        <f>VLOOKUP($B411,[1]ბიუჯეტი!$B:$K,8,FALSE)</f>
        <v>0</v>
      </c>
      <c r="S411" s="77">
        <f>VLOOKUP($B411,[1]ბიუჯეტი!$B:$K,9,FALSE)</f>
        <v>0</v>
      </c>
      <c r="T411" s="77">
        <f>VLOOKUP($B411,[1]ბიუჯეტი!$B:$K,10,FALSE)</f>
        <v>2004.1207627118647</v>
      </c>
      <c r="V411" s="78">
        <f t="shared" si="58"/>
        <v>0</v>
      </c>
      <c r="W411" s="78">
        <f t="shared" si="59"/>
        <v>0</v>
      </c>
      <c r="X411" s="78">
        <f t="shared" si="60"/>
        <v>0</v>
      </c>
      <c r="Y411" s="78">
        <f t="shared" si="61"/>
        <v>448.875</v>
      </c>
    </row>
    <row r="412" spans="1:25" hidden="1" outlineLevel="1" x14ac:dyDescent="0.35">
      <c r="A412" s="51"/>
      <c r="B412" s="3" t="s">
        <v>132</v>
      </c>
      <c r="C412" s="4" t="s">
        <v>40</v>
      </c>
      <c r="D412" s="1">
        <f>D408*0.5</f>
        <v>540</v>
      </c>
      <c r="E412" s="1">
        <f>მასალა!D53</f>
        <v>1.1016949152542375</v>
      </c>
      <c r="F412" s="1">
        <f t="shared" si="62"/>
        <v>594.9152542372882</v>
      </c>
      <c r="G412" s="1"/>
      <c r="H412" s="1"/>
      <c r="I412" s="1"/>
      <c r="J412" s="1"/>
      <c r="K412" s="1">
        <f t="shared" si="63"/>
        <v>594.9152542372882</v>
      </c>
      <c r="M412" s="77">
        <f>VLOOKUP(B412,[1]ბიუჯეტი!$B:$K,3,FALSE)</f>
        <v>643.5</v>
      </c>
      <c r="N412" s="77">
        <f>VLOOKUP($B412,[1]ბიუჯეტი!$B:$K,4,FALSE)</f>
        <v>1.1016949152542375</v>
      </c>
      <c r="O412" s="77">
        <f>VLOOKUP($B412,[1]ბიუჯეტი!$B:$K,5,FALSE)</f>
        <v>708.94067796610182</v>
      </c>
      <c r="P412" s="77">
        <f>VLOOKUP($B412,[1]ბიუჯეტი!$B:$K,6,FALSE)</f>
        <v>0</v>
      </c>
      <c r="Q412" s="77">
        <f>VLOOKUP($B412,[1]ბიუჯეტი!$B:$K,7,FALSE)</f>
        <v>0</v>
      </c>
      <c r="R412" s="77">
        <f>VLOOKUP($B412,[1]ბიუჯეტი!$B:$K,8,FALSE)</f>
        <v>0</v>
      </c>
      <c r="S412" s="77">
        <f>VLOOKUP($B412,[1]ბიუჯეტი!$B:$K,9,FALSE)</f>
        <v>0</v>
      </c>
      <c r="T412" s="77">
        <f>VLOOKUP($B412,[1]ბიუჯეტი!$B:$K,10,FALSE)</f>
        <v>708.94067796610182</v>
      </c>
      <c r="V412" s="78">
        <f t="shared" si="58"/>
        <v>0</v>
      </c>
      <c r="W412" s="78">
        <f t="shared" si="59"/>
        <v>0</v>
      </c>
      <c r="X412" s="78">
        <f t="shared" si="60"/>
        <v>0</v>
      </c>
      <c r="Y412" s="78">
        <f t="shared" si="61"/>
        <v>-103.5</v>
      </c>
    </row>
    <row r="413" spans="1:25" hidden="1" outlineLevel="1" x14ac:dyDescent="0.35">
      <c r="A413" s="51"/>
      <c r="B413" s="3" t="s">
        <v>390</v>
      </c>
      <c r="C413" s="4" t="s">
        <v>127</v>
      </c>
      <c r="D413" s="1">
        <f>D408</f>
        <v>1080</v>
      </c>
      <c r="E413" s="1">
        <f>SUMIFS(მასალა!D3:D392,მასალა!B3:B392,ბიუჯეტი!B413)</f>
        <v>0.84745762711864414</v>
      </c>
      <c r="F413" s="1">
        <f t="shared" si="62"/>
        <v>915.25423728813564</v>
      </c>
      <c r="G413" s="1"/>
      <c r="H413" s="1"/>
      <c r="I413" s="1"/>
      <c r="J413" s="1"/>
      <c r="K413" s="1">
        <f t="shared" si="63"/>
        <v>915.25423728813564</v>
      </c>
      <c r="M413" s="77">
        <f>VLOOKUP(B413,[1]ბიუჯეტი!$B:$K,3,FALSE)</f>
        <v>990</v>
      </c>
      <c r="N413" s="77">
        <f>VLOOKUP($B413,[1]ბიუჯეტი!$B:$K,4,FALSE)</f>
        <v>0.84745762711864414</v>
      </c>
      <c r="O413" s="77">
        <f>VLOOKUP($B413,[1]ბიუჯეტი!$B:$K,5,FALSE)</f>
        <v>838.98305084745766</v>
      </c>
      <c r="P413" s="77">
        <f>VLOOKUP($B413,[1]ბიუჯეტი!$B:$K,6,FALSE)</f>
        <v>0</v>
      </c>
      <c r="Q413" s="77">
        <f>VLOOKUP($B413,[1]ბიუჯეტი!$B:$K,7,FALSE)</f>
        <v>0</v>
      </c>
      <c r="R413" s="77">
        <f>VLOOKUP($B413,[1]ბიუჯეტი!$B:$K,8,FALSE)</f>
        <v>0</v>
      </c>
      <c r="S413" s="77">
        <f>VLOOKUP($B413,[1]ბიუჯეტი!$B:$K,9,FALSE)</f>
        <v>0</v>
      </c>
      <c r="T413" s="77">
        <f>VLOOKUP($B413,[1]ბიუჯეტი!$B:$K,10,FALSE)</f>
        <v>838.98305084745766</v>
      </c>
      <c r="V413" s="78">
        <f t="shared" si="58"/>
        <v>0</v>
      </c>
      <c r="W413" s="78">
        <f t="shared" si="59"/>
        <v>0</v>
      </c>
      <c r="X413" s="78">
        <f t="shared" si="60"/>
        <v>0</v>
      </c>
      <c r="Y413" s="78">
        <f t="shared" si="61"/>
        <v>90</v>
      </c>
    </row>
    <row r="414" spans="1:25" hidden="1" outlineLevel="1" x14ac:dyDescent="0.35">
      <c r="A414" s="51">
        <v>1</v>
      </c>
      <c r="B414" s="23" t="s">
        <v>348</v>
      </c>
      <c r="C414" s="4" t="s">
        <v>127</v>
      </c>
      <c r="D414" s="1">
        <f>(სამუშაო!D57+სამუშაო!D58+სამუშაო!D59)*90</f>
        <v>2700</v>
      </c>
      <c r="E414" s="1"/>
      <c r="F414" s="1">
        <f t="shared" si="62"/>
        <v>0</v>
      </c>
      <c r="G414" s="1">
        <f>ხელფასი!D24</f>
        <v>10.199999999999999</v>
      </c>
      <c r="H414" s="1">
        <f>G414*D414</f>
        <v>27539.999999999996</v>
      </c>
      <c r="I414" s="1"/>
      <c r="J414" s="1"/>
      <c r="K414" s="1">
        <f t="shared" si="63"/>
        <v>27539.999999999996</v>
      </c>
      <c r="M414" s="77">
        <f>VLOOKUP(B414,[1]ბიუჯეტი!$B:$K,3,FALSE)</f>
        <v>2970</v>
      </c>
      <c r="N414" s="77">
        <f>VLOOKUP($B414,[1]ბიუჯეტი!$B:$K,4,FALSE)</f>
        <v>0</v>
      </c>
      <c r="O414" s="77">
        <f>VLOOKUP($B414,[1]ბიუჯეტი!$B:$K,5,FALSE)</f>
        <v>0</v>
      </c>
      <c r="P414" s="77">
        <f>VLOOKUP($B414,[1]ბიუჯეტი!$B:$K,6,FALSE)</f>
        <v>10.199999999999999</v>
      </c>
      <c r="Q414" s="77">
        <f>VLOOKUP($B414,[1]ბიუჯეტი!$B:$K,7,FALSE)</f>
        <v>30293.999999999996</v>
      </c>
      <c r="R414" s="77">
        <f>VLOOKUP($B414,[1]ბიუჯეტი!$B:$K,8,FALSE)</f>
        <v>0</v>
      </c>
      <c r="S414" s="77">
        <f>VLOOKUP($B414,[1]ბიუჯეტი!$B:$K,9,FALSE)</f>
        <v>0</v>
      </c>
      <c r="T414" s="77">
        <f>VLOOKUP($B414,[1]ბიუჯეტი!$B:$K,10,FALSE)</f>
        <v>30293.999999999996</v>
      </c>
      <c r="V414" s="78">
        <f t="shared" si="58"/>
        <v>0</v>
      </c>
      <c r="W414" s="78">
        <f t="shared" si="59"/>
        <v>0</v>
      </c>
      <c r="X414" s="78">
        <f t="shared" si="60"/>
        <v>0</v>
      </c>
      <c r="Y414" s="78">
        <f t="shared" si="61"/>
        <v>-270</v>
      </c>
    </row>
    <row r="415" spans="1:25" hidden="1" outlineLevel="1" x14ac:dyDescent="0.35">
      <c r="A415" s="51"/>
      <c r="B415" s="3" t="s">
        <v>129</v>
      </c>
      <c r="C415" s="4" t="s">
        <v>40</v>
      </c>
      <c r="D415" s="1">
        <f>D414*3.2*1.05</f>
        <v>9072</v>
      </c>
      <c r="E415" s="1">
        <f>მასალა!D50</f>
        <v>2.7118644067796613</v>
      </c>
      <c r="F415" s="1">
        <f t="shared" si="62"/>
        <v>24602.033898305086</v>
      </c>
      <c r="G415" s="1"/>
      <c r="H415" s="1"/>
      <c r="I415" s="1"/>
      <c r="J415" s="1"/>
      <c r="K415" s="1">
        <f t="shared" si="63"/>
        <v>24602.033898305086</v>
      </c>
      <c r="M415" s="77">
        <f>VLOOKUP(B415,[1]ბიუჯეტი!$B:$K,3,FALSE)</f>
        <v>3118.5</v>
      </c>
      <c r="N415" s="77">
        <f>VLOOKUP($B415,[1]ბიუჯეტი!$B:$K,4,FALSE)</f>
        <v>2.5423728813559325</v>
      </c>
      <c r="O415" s="77">
        <f>VLOOKUP($B415,[1]ბიუჯეტი!$B:$K,5,FALSE)</f>
        <v>7928.3898305084758</v>
      </c>
      <c r="P415" s="77">
        <f>VLOOKUP($B415,[1]ბიუჯეტი!$B:$K,6,FALSE)</f>
        <v>0</v>
      </c>
      <c r="Q415" s="77">
        <f>VLOOKUP($B415,[1]ბიუჯეტი!$B:$K,7,FALSE)</f>
        <v>0</v>
      </c>
      <c r="R415" s="77">
        <f>VLOOKUP($B415,[1]ბიუჯეტი!$B:$K,8,FALSE)</f>
        <v>0</v>
      </c>
      <c r="S415" s="77">
        <f>VLOOKUP($B415,[1]ბიუჯეტი!$B:$K,9,FALSE)</f>
        <v>0</v>
      </c>
      <c r="T415" s="77">
        <f>VLOOKUP($B415,[1]ბიუჯეტი!$B:$K,10,FALSE)</f>
        <v>7928.3898305084758</v>
      </c>
      <c r="V415" s="78">
        <f t="shared" si="58"/>
        <v>0.16949152542372881</v>
      </c>
      <c r="W415" s="78">
        <f t="shared" si="59"/>
        <v>0</v>
      </c>
      <c r="X415" s="78">
        <f t="shared" si="60"/>
        <v>0</v>
      </c>
      <c r="Y415" s="78">
        <f t="shared" si="61"/>
        <v>5953.5</v>
      </c>
    </row>
    <row r="416" spans="1:25" hidden="1" outlineLevel="1" x14ac:dyDescent="0.35">
      <c r="A416" s="51"/>
      <c r="B416" s="3" t="s">
        <v>130</v>
      </c>
      <c r="C416" s="4" t="s">
        <v>40</v>
      </c>
      <c r="D416" s="1">
        <f>D414*1*1.05</f>
        <v>2835</v>
      </c>
      <c r="E416" s="1">
        <f>მასალა!D51</f>
        <v>1.652542372881356</v>
      </c>
      <c r="F416" s="1">
        <f t="shared" si="62"/>
        <v>4684.9576271186443</v>
      </c>
      <c r="G416" s="1"/>
      <c r="H416" s="1"/>
      <c r="I416" s="1"/>
      <c r="J416" s="1"/>
      <c r="K416" s="1">
        <f t="shared" si="63"/>
        <v>4684.9576271186443</v>
      </c>
      <c r="M416" s="77">
        <f>VLOOKUP(B416,[1]ბიუჯეტი!$B:$K,3,FALSE)</f>
        <v>883.57500000000005</v>
      </c>
      <c r="N416" s="77">
        <f>VLOOKUP($B416,[1]ბიუჯეტი!$B:$K,4,FALSE)</f>
        <v>1.6101694915254237</v>
      </c>
      <c r="O416" s="77">
        <f>VLOOKUP($B416,[1]ბიუჯეტი!$B:$K,5,FALSE)</f>
        <v>1422.7055084745764</v>
      </c>
      <c r="P416" s="77">
        <f>VLOOKUP($B416,[1]ბიუჯეტი!$B:$K,6,FALSE)</f>
        <v>0</v>
      </c>
      <c r="Q416" s="77">
        <f>VLOOKUP($B416,[1]ბიუჯეტი!$B:$K,7,FALSE)</f>
        <v>0</v>
      </c>
      <c r="R416" s="77">
        <f>VLOOKUP($B416,[1]ბიუჯეტი!$B:$K,8,FALSE)</f>
        <v>0</v>
      </c>
      <c r="S416" s="77">
        <f>VLOOKUP($B416,[1]ბიუჯეტი!$B:$K,9,FALSE)</f>
        <v>0</v>
      </c>
      <c r="T416" s="77">
        <f>VLOOKUP($B416,[1]ბიუჯეტი!$B:$K,10,FALSE)</f>
        <v>1422.7055084745764</v>
      </c>
      <c r="V416" s="78">
        <f t="shared" si="58"/>
        <v>4.2372881355932313E-2</v>
      </c>
      <c r="W416" s="78">
        <f t="shared" si="59"/>
        <v>0</v>
      </c>
      <c r="X416" s="78">
        <f t="shared" si="60"/>
        <v>0</v>
      </c>
      <c r="Y416" s="78">
        <f t="shared" si="61"/>
        <v>1951.425</v>
      </c>
    </row>
    <row r="417" spans="1:25" hidden="1" outlineLevel="1" x14ac:dyDescent="0.35">
      <c r="A417" s="51"/>
      <c r="B417" s="3" t="s">
        <v>131</v>
      </c>
      <c r="C417" s="4" t="s">
        <v>40</v>
      </c>
      <c r="D417" s="1">
        <f>D414*2*1.05</f>
        <v>5670</v>
      </c>
      <c r="E417" s="1">
        <f>მასალა!D52</f>
        <v>1.1016949152542375</v>
      </c>
      <c r="F417" s="1">
        <f t="shared" si="62"/>
        <v>6246.610169491526</v>
      </c>
      <c r="G417" s="1"/>
      <c r="H417" s="1"/>
      <c r="I417" s="1"/>
      <c r="J417" s="1"/>
      <c r="K417" s="1">
        <f t="shared" si="63"/>
        <v>6246.610169491526</v>
      </c>
      <c r="M417" s="77">
        <f>VLOOKUP(B417,[1]ბიუჯეტი!$B:$K,3,FALSE)</f>
        <v>1819.125</v>
      </c>
      <c r="N417" s="77">
        <f>VLOOKUP($B417,[1]ბიუჯეტი!$B:$K,4,FALSE)</f>
        <v>1.1016949152542375</v>
      </c>
      <c r="O417" s="77">
        <f>VLOOKUP($B417,[1]ბიუჯეტი!$B:$K,5,FALSE)</f>
        <v>2004.1207627118647</v>
      </c>
      <c r="P417" s="77">
        <f>VLOOKUP($B417,[1]ბიუჯეტი!$B:$K,6,FALSE)</f>
        <v>0</v>
      </c>
      <c r="Q417" s="77">
        <f>VLOOKUP($B417,[1]ბიუჯეტი!$B:$K,7,FALSE)</f>
        <v>0</v>
      </c>
      <c r="R417" s="77">
        <f>VLOOKUP($B417,[1]ბიუჯეტი!$B:$K,8,FALSE)</f>
        <v>0</v>
      </c>
      <c r="S417" s="77">
        <f>VLOOKUP($B417,[1]ბიუჯეტი!$B:$K,9,FALSE)</f>
        <v>0</v>
      </c>
      <c r="T417" s="77">
        <f>VLOOKUP($B417,[1]ბიუჯეტი!$B:$K,10,FALSE)</f>
        <v>2004.1207627118647</v>
      </c>
      <c r="V417" s="78">
        <f t="shared" si="58"/>
        <v>0</v>
      </c>
      <c r="W417" s="78">
        <f t="shared" si="59"/>
        <v>0</v>
      </c>
      <c r="X417" s="78">
        <f t="shared" si="60"/>
        <v>0</v>
      </c>
      <c r="Y417" s="78">
        <f t="shared" si="61"/>
        <v>3850.875</v>
      </c>
    </row>
    <row r="418" spans="1:25" hidden="1" outlineLevel="1" x14ac:dyDescent="0.35">
      <c r="A418" s="51"/>
      <c r="B418" s="3" t="s">
        <v>132</v>
      </c>
      <c r="C418" s="4" t="s">
        <v>40</v>
      </c>
      <c r="D418" s="1">
        <f>D414*0.5</f>
        <v>1350</v>
      </c>
      <c r="E418" s="1">
        <f>მასალა!D53</f>
        <v>1.1016949152542375</v>
      </c>
      <c r="F418" s="1">
        <f t="shared" si="62"/>
        <v>1487.2881355932207</v>
      </c>
      <c r="G418" s="1"/>
      <c r="H418" s="1"/>
      <c r="I418" s="1"/>
      <c r="J418" s="1"/>
      <c r="K418" s="1">
        <f t="shared" si="63"/>
        <v>1487.2881355932207</v>
      </c>
      <c r="M418" s="77">
        <f>VLOOKUP(B418,[1]ბიუჯეტი!$B:$K,3,FALSE)</f>
        <v>643.5</v>
      </c>
      <c r="N418" s="77">
        <f>VLOOKUP($B418,[1]ბიუჯეტი!$B:$K,4,FALSE)</f>
        <v>1.1016949152542375</v>
      </c>
      <c r="O418" s="77">
        <f>VLOOKUP($B418,[1]ბიუჯეტი!$B:$K,5,FALSE)</f>
        <v>708.94067796610182</v>
      </c>
      <c r="P418" s="77">
        <f>VLOOKUP($B418,[1]ბიუჯეტი!$B:$K,6,FALSE)</f>
        <v>0</v>
      </c>
      <c r="Q418" s="77">
        <f>VLOOKUP($B418,[1]ბიუჯეტი!$B:$K,7,FALSE)</f>
        <v>0</v>
      </c>
      <c r="R418" s="77">
        <f>VLOOKUP($B418,[1]ბიუჯეტი!$B:$K,8,FALSE)</f>
        <v>0</v>
      </c>
      <c r="S418" s="77">
        <f>VLOOKUP($B418,[1]ბიუჯეტი!$B:$K,9,FALSE)</f>
        <v>0</v>
      </c>
      <c r="T418" s="77">
        <f>VLOOKUP($B418,[1]ბიუჯეტი!$B:$K,10,FALSE)</f>
        <v>708.94067796610182</v>
      </c>
      <c r="V418" s="78">
        <f t="shared" si="58"/>
        <v>0</v>
      </c>
      <c r="W418" s="78">
        <f t="shared" si="59"/>
        <v>0</v>
      </c>
      <c r="X418" s="78">
        <f t="shared" si="60"/>
        <v>0</v>
      </c>
      <c r="Y418" s="78">
        <f t="shared" si="61"/>
        <v>706.5</v>
      </c>
    </row>
    <row r="419" spans="1:25" hidden="1" outlineLevel="1" x14ac:dyDescent="0.35">
      <c r="A419" s="51"/>
      <c r="B419" s="3" t="s">
        <v>390</v>
      </c>
      <c r="C419" s="4" t="s">
        <v>127</v>
      </c>
      <c r="D419" s="1">
        <f>D414</f>
        <v>2700</v>
      </c>
      <c r="E419" s="1">
        <f>SUMIFS(მასალა!D3:D398,მასალა!B3:B398,ბიუჯეტი!B419)</f>
        <v>0.84745762711864414</v>
      </c>
      <c r="F419" s="1">
        <f t="shared" si="62"/>
        <v>2288.1355932203392</v>
      </c>
      <c r="G419" s="1"/>
      <c r="H419" s="1"/>
      <c r="I419" s="1"/>
      <c r="J419" s="1"/>
      <c r="K419" s="1">
        <f t="shared" si="63"/>
        <v>2288.1355932203392</v>
      </c>
      <c r="M419" s="77">
        <f>VLOOKUP(B419,[1]ბიუჯეტი!$B:$K,3,FALSE)</f>
        <v>990</v>
      </c>
      <c r="N419" s="77">
        <f>VLOOKUP($B419,[1]ბიუჯეტი!$B:$K,4,FALSE)</f>
        <v>0.84745762711864414</v>
      </c>
      <c r="O419" s="77">
        <f>VLOOKUP($B419,[1]ბიუჯეტი!$B:$K,5,FALSE)</f>
        <v>838.98305084745766</v>
      </c>
      <c r="P419" s="77">
        <f>VLOOKUP($B419,[1]ბიუჯეტი!$B:$K,6,FALSE)</f>
        <v>0</v>
      </c>
      <c r="Q419" s="77">
        <f>VLOOKUP($B419,[1]ბიუჯეტი!$B:$K,7,FALSE)</f>
        <v>0</v>
      </c>
      <c r="R419" s="77">
        <f>VLOOKUP($B419,[1]ბიუჯეტი!$B:$K,8,FALSE)</f>
        <v>0</v>
      </c>
      <c r="S419" s="77">
        <f>VLOOKUP($B419,[1]ბიუჯეტი!$B:$K,9,FALSE)</f>
        <v>0</v>
      </c>
      <c r="T419" s="77">
        <f>VLOOKUP($B419,[1]ბიუჯეტი!$B:$K,10,FALSE)</f>
        <v>838.98305084745766</v>
      </c>
      <c r="V419" s="78">
        <f t="shared" si="58"/>
        <v>0</v>
      </c>
      <c r="W419" s="78">
        <f t="shared" si="59"/>
        <v>0</v>
      </c>
      <c r="X419" s="78">
        <f t="shared" si="60"/>
        <v>0</v>
      </c>
      <c r="Y419" s="78">
        <f t="shared" si="61"/>
        <v>1710</v>
      </c>
    </row>
    <row r="420" spans="1:25" collapsed="1" x14ac:dyDescent="0.35">
      <c r="A420" s="51">
        <v>39</v>
      </c>
      <c r="B420" s="23" t="s">
        <v>133</v>
      </c>
      <c r="C420" s="4" t="s">
        <v>55</v>
      </c>
      <c r="D420" s="1">
        <f>SUM(D421,D423)</f>
        <v>78</v>
      </c>
      <c r="E420" s="1">
        <f>SUM(K422,K424)/D420</f>
        <v>8.4745762711864412</v>
      </c>
      <c r="F420" s="1">
        <f t="shared" si="62"/>
        <v>661.01694915254245</v>
      </c>
      <c r="G420" s="1">
        <f>8*1.275</f>
        <v>10.199999999999999</v>
      </c>
      <c r="H420" s="1">
        <f>G420*D420</f>
        <v>795.59999999999991</v>
      </c>
      <c r="I420" s="1">
        <v>0</v>
      </c>
      <c r="J420" s="1">
        <v>0</v>
      </c>
      <c r="K420" s="1">
        <f t="shared" si="63"/>
        <v>1456.6169491525425</v>
      </c>
      <c r="M420" s="77">
        <f>VLOOKUP(B420,[1]ბიუჯეტი!$B:$K,3,FALSE)</f>
        <v>68</v>
      </c>
      <c r="N420" s="77">
        <f>VLOOKUP($B420,[1]ბიუჯეტი!$B:$K,4,FALSE)</f>
        <v>8.4745762711864412</v>
      </c>
      <c r="O420" s="77">
        <f>VLOOKUP($B420,[1]ბიუჯეტი!$B:$K,5,FALSE)</f>
        <v>576.27118644067798</v>
      </c>
      <c r="P420" s="77">
        <f>VLOOKUP($B420,[1]ბიუჯეტი!$B:$K,6,FALSE)</f>
        <v>10.199999999999999</v>
      </c>
      <c r="Q420" s="77">
        <f>VLOOKUP($B420,[1]ბიუჯეტი!$B:$K,7,FALSE)</f>
        <v>693.59999999999991</v>
      </c>
      <c r="R420" s="77">
        <f>VLOOKUP($B420,[1]ბიუჯეტი!$B:$K,8,FALSE)</f>
        <v>0</v>
      </c>
      <c r="S420" s="77">
        <f>VLOOKUP($B420,[1]ბიუჯეტი!$B:$K,9,FALSE)</f>
        <v>0</v>
      </c>
      <c r="T420" s="77">
        <f>VLOOKUP($B420,[1]ბიუჯეტი!$B:$K,10,FALSE)</f>
        <v>1269.8711864406778</v>
      </c>
      <c r="V420" s="78">
        <f t="shared" si="58"/>
        <v>0</v>
      </c>
      <c r="W420" s="78">
        <f t="shared" si="59"/>
        <v>0</v>
      </c>
      <c r="X420" s="78">
        <f t="shared" si="60"/>
        <v>0</v>
      </c>
      <c r="Y420" s="78">
        <f t="shared" si="61"/>
        <v>10</v>
      </c>
    </row>
    <row r="421" spans="1:25" hidden="1" outlineLevel="1" x14ac:dyDescent="0.35">
      <c r="A421" s="51">
        <v>1</v>
      </c>
      <c r="B421" s="23" t="s">
        <v>134</v>
      </c>
      <c r="C421" s="4" t="s">
        <v>55</v>
      </c>
      <c r="D421" s="1">
        <v>18</v>
      </c>
      <c r="E421" s="1"/>
      <c r="F421" s="1">
        <f t="shared" si="62"/>
        <v>0</v>
      </c>
      <c r="G421" s="1">
        <f>ხელფასი!D25</f>
        <v>15.299999999999999</v>
      </c>
      <c r="H421" s="1">
        <f>G421*D421</f>
        <v>275.39999999999998</v>
      </c>
      <c r="I421" s="1"/>
      <c r="J421" s="1"/>
      <c r="K421" s="1">
        <f t="shared" si="63"/>
        <v>275.39999999999998</v>
      </c>
      <c r="M421" s="77">
        <f>VLOOKUP(B421,[1]ბიუჯეტი!$B:$K,3,FALSE)</f>
        <v>17</v>
      </c>
      <c r="N421" s="77">
        <f>VLOOKUP($B421,[1]ბიუჯეტი!$B:$K,4,FALSE)</f>
        <v>0</v>
      </c>
      <c r="O421" s="77">
        <f>VLOOKUP($B421,[1]ბიუჯეტი!$B:$K,5,FALSE)</f>
        <v>0</v>
      </c>
      <c r="P421" s="77">
        <f>VLOOKUP($B421,[1]ბიუჯეტი!$B:$K,6,FALSE)</f>
        <v>15.299999999999999</v>
      </c>
      <c r="Q421" s="77">
        <f>VLOOKUP($B421,[1]ბიუჯეტი!$B:$K,7,FALSE)</f>
        <v>260.09999999999997</v>
      </c>
      <c r="R421" s="77">
        <f>VLOOKUP($B421,[1]ბიუჯეტი!$B:$K,8,FALSE)</f>
        <v>0</v>
      </c>
      <c r="S421" s="77">
        <f>VLOOKUP($B421,[1]ბიუჯეტი!$B:$K,9,FALSE)</f>
        <v>0</v>
      </c>
      <c r="T421" s="77">
        <f>VLOOKUP($B421,[1]ბიუჯეტი!$B:$K,10,FALSE)</f>
        <v>260.09999999999997</v>
      </c>
      <c r="V421" s="78">
        <f t="shared" si="58"/>
        <v>0</v>
      </c>
      <c r="W421" s="78">
        <f t="shared" si="59"/>
        <v>0</v>
      </c>
      <c r="X421" s="78">
        <f t="shared" si="60"/>
        <v>0</v>
      </c>
      <c r="Y421" s="78">
        <f t="shared" si="61"/>
        <v>1</v>
      </c>
    </row>
    <row r="422" spans="1:25" hidden="1" outlineLevel="1" x14ac:dyDescent="0.35">
      <c r="A422" s="51"/>
      <c r="B422" s="3" t="s">
        <v>135</v>
      </c>
      <c r="C422" s="4" t="s">
        <v>55</v>
      </c>
      <c r="D422" s="1">
        <f>D421</f>
        <v>18</v>
      </c>
      <c r="E422" s="1">
        <f>მასალა!D54</f>
        <v>8.4745762711864412</v>
      </c>
      <c r="F422" s="1">
        <f t="shared" si="62"/>
        <v>152.54237288135593</v>
      </c>
      <c r="G422" s="1"/>
      <c r="H422" s="1"/>
      <c r="I422" s="1"/>
      <c r="J422" s="1"/>
      <c r="K422" s="1">
        <f t="shared" si="63"/>
        <v>152.54237288135593</v>
      </c>
      <c r="M422" s="77">
        <f>VLOOKUP(B422,[1]ბიუჯეტი!$B:$K,3,FALSE)</f>
        <v>17</v>
      </c>
      <c r="N422" s="77">
        <f>VLOOKUP($B422,[1]ბიუჯეტი!$B:$K,4,FALSE)</f>
        <v>8.4745762711864412</v>
      </c>
      <c r="O422" s="77">
        <f>VLOOKUP($B422,[1]ბიუჯეტი!$B:$K,5,FALSE)</f>
        <v>144.06779661016949</v>
      </c>
      <c r="P422" s="77">
        <f>VLOOKUP($B422,[1]ბიუჯეტი!$B:$K,6,FALSE)</f>
        <v>0</v>
      </c>
      <c r="Q422" s="77">
        <f>VLOOKUP($B422,[1]ბიუჯეტი!$B:$K,7,FALSE)</f>
        <v>0</v>
      </c>
      <c r="R422" s="77">
        <f>VLOOKUP($B422,[1]ბიუჯეტი!$B:$K,8,FALSE)</f>
        <v>0</v>
      </c>
      <c r="S422" s="77">
        <f>VLOOKUP($B422,[1]ბიუჯეტი!$B:$K,9,FALSE)</f>
        <v>0</v>
      </c>
      <c r="T422" s="77">
        <f>VLOOKUP($B422,[1]ბიუჯეტი!$B:$K,10,FALSE)</f>
        <v>144.06779661016949</v>
      </c>
      <c r="V422" s="78">
        <f t="shared" si="58"/>
        <v>0</v>
      </c>
      <c r="W422" s="78">
        <f t="shared" si="59"/>
        <v>0</v>
      </c>
      <c r="X422" s="78">
        <f t="shared" si="60"/>
        <v>0</v>
      </c>
      <c r="Y422" s="78">
        <f t="shared" si="61"/>
        <v>1</v>
      </c>
    </row>
    <row r="423" spans="1:25" hidden="1" outlineLevel="1" x14ac:dyDescent="0.35">
      <c r="A423" s="51">
        <v>2</v>
      </c>
      <c r="B423" s="23" t="s">
        <v>136</v>
      </c>
      <c r="C423" s="4" t="s">
        <v>55</v>
      </c>
      <c r="D423" s="1">
        <f>20*3</f>
        <v>60</v>
      </c>
      <c r="E423" s="1"/>
      <c r="F423" s="1">
        <f t="shared" si="62"/>
        <v>0</v>
      </c>
      <c r="G423" s="1">
        <f>ხელფასი!D25</f>
        <v>15.299999999999999</v>
      </c>
      <c r="H423" s="1">
        <f>G423*D423</f>
        <v>917.99999999999989</v>
      </c>
      <c r="I423" s="1"/>
      <c r="J423" s="1"/>
      <c r="K423" s="1">
        <f t="shared" si="63"/>
        <v>917.99999999999989</v>
      </c>
      <c r="M423" s="77">
        <f>VLOOKUP(B423,[1]ბიუჯეტი!$B:$K,3,FALSE)</f>
        <v>51</v>
      </c>
      <c r="N423" s="77">
        <f>VLOOKUP($B423,[1]ბიუჯეტი!$B:$K,4,FALSE)</f>
        <v>0</v>
      </c>
      <c r="O423" s="77">
        <f>VLOOKUP($B423,[1]ბიუჯეტი!$B:$K,5,FALSE)</f>
        <v>0</v>
      </c>
      <c r="P423" s="77">
        <f>VLOOKUP($B423,[1]ბიუჯეტი!$B:$K,6,FALSE)</f>
        <v>15.299999999999999</v>
      </c>
      <c r="Q423" s="77">
        <f>VLOOKUP($B423,[1]ბიუჯეტი!$B:$K,7,FALSE)</f>
        <v>780.3</v>
      </c>
      <c r="R423" s="77">
        <f>VLOOKUP($B423,[1]ბიუჯეტი!$B:$K,8,FALSE)</f>
        <v>0</v>
      </c>
      <c r="S423" s="77">
        <f>VLOOKUP($B423,[1]ბიუჯეტი!$B:$K,9,FALSE)</f>
        <v>0</v>
      </c>
      <c r="T423" s="77">
        <f>VLOOKUP($B423,[1]ბიუჯეტი!$B:$K,10,FALSE)</f>
        <v>780.3</v>
      </c>
      <c r="V423" s="78">
        <f t="shared" si="58"/>
        <v>0</v>
      </c>
      <c r="W423" s="78">
        <f t="shared" si="59"/>
        <v>0</v>
      </c>
      <c r="X423" s="78">
        <f t="shared" si="60"/>
        <v>0</v>
      </c>
      <c r="Y423" s="78">
        <f t="shared" si="61"/>
        <v>9</v>
      </c>
    </row>
    <row r="424" spans="1:25" hidden="1" outlineLevel="1" x14ac:dyDescent="0.35">
      <c r="A424" s="51"/>
      <c r="B424" s="3" t="s">
        <v>135</v>
      </c>
      <c r="C424" s="4" t="s">
        <v>55</v>
      </c>
      <c r="D424" s="1">
        <f>D423</f>
        <v>60</v>
      </c>
      <c r="E424" s="1">
        <f>მასალა!D54</f>
        <v>8.4745762711864412</v>
      </c>
      <c r="F424" s="1">
        <f t="shared" si="62"/>
        <v>508.47457627118649</v>
      </c>
      <c r="G424" s="1"/>
      <c r="H424" s="1"/>
      <c r="I424" s="1"/>
      <c r="J424" s="1"/>
      <c r="K424" s="1">
        <f t="shared" si="63"/>
        <v>508.47457627118649</v>
      </c>
      <c r="M424" s="77">
        <f>VLOOKUP(B424,[1]ბიუჯეტი!$B:$K,3,FALSE)</f>
        <v>17</v>
      </c>
      <c r="N424" s="77">
        <f>VLOOKUP($B424,[1]ბიუჯეტი!$B:$K,4,FALSE)</f>
        <v>8.4745762711864412</v>
      </c>
      <c r="O424" s="77">
        <f>VLOOKUP($B424,[1]ბიუჯეტი!$B:$K,5,FALSE)</f>
        <v>144.06779661016949</v>
      </c>
      <c r="P424" s="77">
        <f>VLOOKUP($B424,[1]ბიუჯეტი!$B:$K,6,FALSE)</f>
        <v>0</v>
      </c>
      <c r="Q424" s="77">
        <f>VLOOKUP($B424,[1]ბიუჯეტი!$B:$K,7,FALSE)</f>
        <v>0</v>
      </c>
      <c r="R424" s="77">
        <f>VLOOKUP($B424,[1]ბიუჯეტი!$B:$K,8,FALSE)</f>
        <v>0</v>
      </c>
      <c r="S424" s="77">
        <f>VLOOKUP($B424,[1]ბიუჯეტი!$B:$K,9,FALSE)</f>
        <v>0</v>
      </c>
      <c r="T424" s="77">
        <f>VLOOKUP($B424,[1]ბიუჯეტი!$B:$K,10,FALSE)</f>
        <v>144.06779661016949</v>
      </c>
      <c r="V424" s="78">
        <f t="shared" si="58"/>
        <v>0</v>
      </c>
      <c r="W424" s="78">
        <f t="shared" si="59"/>
        <v>0</v>
      </c>
      <c r="X424" s="78">
        <f t="shared" si="60"/>
        <v>0</v>
      </c>
      <c r="Y424" s="78">
        <f t="shared" si="61"/>
        <v>43</v>
      </c>
    </row>
    <row r="425" spans="1:25" collapsed="1" x14ac:dyDescent="0.35">
      <c r="A425" s="63">
        <v>40</v>
      </c>
      <c r="B425" s="64" t="s">
        <v>137</v>
      </c>
      <c r="C425" s="65" t="s">
        <v>55</v>
      </c>
      <c r="D425" s="66">
        <f>D426+D428+D430</f>
        <v>87</v>
      </c>
      <c r="E425" s="66">
        <f>SUM(F426:F430)/D425</f>
        <v>22.501461133839861</v>
      </c>
      <c r="F425" s="66">
        <f t="shared" si="62"/>
        <v>1957.6271186440679</v>
      </c>
      <c r="G425" s="66">
        <f>ხელფასი!D26</f>
        <v>57.374999999999993</v>
      </c>
      <c r="H425" s="66">
        <f>G425*D425</f>
        <v>4991.6249999999991</v>
      </c>
      <c r="I425" s="66">
        <v>0</v>
      </c>
      <c r="J425" s="66">
        <v>0</v>
      </c>
      <c r="K425" s="1">
        <f t="shared" si="63"/>
        <v>6949.2521186440672</v>
      </c>
      <c r="M425" s="77">
        <f>VLOOKUP(B425,[1]ბიუჯეტი!$B:$K,3,FALSE)</f>
        <v>87</v>
      </c>
      <c r="N425" s="77">
        <f>VLOOKUP($B425,[1]ბიუჯეტი!$B:$K,4,FALSE)</f>
        <v>22.501461133839861</v>
      </c>
      <c r="O425" s="77">
        <f>VLOOKUP($B425,[1]ბიუჯეტი!$B:$K,5,FALSE)</f>
        <v>1957.6271186440679</v>
      </c>
      <c r="P425" s="77">
        <f>VLOOKUP($B425,[1]ბიუჯეტი!$B:$K,6,FALSE)</f>
        <v>57.374999999999993</v>
      </c>
      <c r="Q425" s="77">
        <f>VLOOKUP($B425,[1]ბიუჯეტი!$B:$K,7,FALSE)</f>
        <v>4991.6249999999991</v>
      </c>
      <c r="R425" s="77">
        <f>VLOOKUP($B425,[1]ბიუჯეტი!$B:$K,8,FALSE)</f>
        <v>0</v>
      </c>
      <c r="S425" s="77">
        <f>VLOOKUP($B425,[1]ბიუჯეტი!$B:$K,9,FALSE)</f>
        <v>0</v>
      </c>
      <c r="T425" s="77">
        <f>VLOOKUP($B425,[1]ბიუჯეტი!$B:$K,10,FALSE)</f>
        <v>6949.2521186440672</v>
      </c>
      <c r="V425" s="78">
        <f t="shared" si="58"/>
        <v>0</v>
      </c>
      <c r="W425" s="78">
        <f t="shared" si="59"/>
        <v>0</v>
      </c>
      <c r="X425" s="78">
        <f t="shared" si="60"/>
        <v>0</v>
      </c>
      <c r="Y425" s="78">
        <f t="shared" si="61"/>
        <v>0</v>
      </c>
    </row>
    <row r="426" spans="1:25" hidden="1" outlineLevel="1" x14ac:dyDescent="0.35">
      <c r="A426" s="51">
        <v>2</v>
      </c>
      <c r="B426" s="23" t="s">
        <v>347</v>
      </c>
      <c r="C426" s="4" t="s">
        <v>55</v>
      </c>
      <c r="D426" s="1">
        <v>24</v>
      </c>
      <c r="E426" s="1"/>
      <c r="F426" s="1">
        <f t="shared" si="62"/>
        <v>0</v>
      </c>
      <c r="G426" s="66">
        <f>ხელფასი!D26</f>
        <v>57.374999999999993</v>
      </c>
      <c r="H426" s="1">
        <f>G426*D426</f>
        <v>1376.9999999999998</v>
      </c>
      <c r="I426" s="1"/>
      <c r="J426" s="1"/>
      <c r="K426" s="1">
        <f t="shared" si="63"/>
        <v>1376.9999999999998</v>
      </c>
      <c r="M426" s="77">
        <f>VLOOKUP(B426,[1]ბიუჯეტი!$B:$K,3,FALSE)</f>
        <v>24</v>
      </c>
      <c r="N426" s="77">
        <f>VLOOKUP($B426,[1]ბიუჯეტი!$B:$K,4,FALSE)</f>
        <v>0</v>
      </c>
      <c r="O426" s="77">
        <f>VLOOKUP($B426,[1]ბიუჯეტი!$B:$K,5,FALSE)</f>
        <v>0</v>
      </c>
      <c r="P426" s="77">
        <f>VLOOKUP($B426,[1]ბიუჯეტი!$B:$K,6,FALSE)</f>
        <v>57.374999999999993</v>
      </c>
      <c r="Q426" s="77">
        <f>VLOOKUP($B426,[1]ბიუჯეტი!$B:$K,7,FALSE)</f>
        <v>1376.9999999999998</v>
      </c>
      <c r="R426" s="77">
        <f>VLOOKUP($B426,[1]ბიუჯეტი!$B:$K,8,FALSE)</f>
        <v>0</v>
      </c>
      <c r="S426" s="77">
        <f>VLOOKUP($B426,[1]ბიუჯეტი!$B:$K,9,FALSE)</f>
        <v>0</v>
      </c>
      <c r="T426" s="77">
        <f>VLOOKUP($B426,[1]ბიუჯეტი!$B:$K,10,FALSE)</f>
        <v>1376.9999999999998</v>
      </c>
      <c r="V426" s="78">
        <f t="shared" si="58"/>
        <v>0</v>
      </c>
      <c r="W426" s="78">
        <f t="shared" si="59"/>
        <v>0</v>
      </c>
      <c r="X426" s="78">
        <f t="shared" si="60"/>
        <v>0</v>
      </c>
      <c r="Y426" s="78">
        <f t="shared" si="61"/>
        <v>0</v>
      </c>
    </row>
    <row r="427" spans="1:25" hidden="1" outlineLevel="1" x14ac:dyDescent="0.35">
      <c r="A427" s="51"/>
      <c r="B427" s="3" t="s">
        <v>135</v>
      </c>
      <c r="C427" s="4" t="s">
        <v>55</v>
      </c>
      <c r="D427" s="1">
        <f>D426</f>
        <v>24</v>
      </c>
      <c r="E427" s="1">
        <f>მასალა!D55</f>
        <v>46.610169491525426</v>
      </c>
      <c r="F427" s="1">
        <f t="shared" si="62"/>
        <v>1118.6440677966102</v>
      </c>
      <c r="G427" s="1"/>
      <c r="H427" s="1">
        <f>D427*G427</f>
        <v>0</v>
      </c>
      <c r="I427" s="1"/>
      <c r="J427" s="1"/>
      <c r="K427" s="1">
        <f t="shared" si="63"/>
        <v>1118.6440677966102</v>
      </c>
      <c r="M427" s="77">
        <f>VLOOKUP(B427,[1]ბიუჯეტი!$B:$K,3,FALSE)</f>
        <v>17</v>
      </c>
      <c r="N427" s="77">
        <f>VLOOKUP($B427,[1]ბიუჯეტი!$B:$K,4,FALSE)</f>
        <v>8.4745762711864412</v>
      </c>
      <c r="O427" s="77">
        <f>VLOOKUP($B427,[1]ბიუჯეტი!$B:$K,5,FALSE)</f>
        <v>144.06779661016949</v>
      </c>
      <c r="P427" s="77">
        <f>VLOOKUP($B427,[1]ბიუჯეტი!$B:$K,6,FALSE)</f>
        <v>0</v>
      </c>
      <c r="Q427" s="77">
        <f>VLOOKUP($B427,[1]ბიუჯეტი!$B:$K,7,FALSE)</f>
        <v>0</v>
      </c>
      <c r="R427" s="77">
        <f>VLOOKUP($B427,[1]ბიუჯეტი!$B:$K,8,FALSE)</f>
        <v>0</v>
      </c>
      <c r="S427" s="77">
        <f>VLOOKUP($B427,[1]ბიუჯეტი!$B:$K,9,FALSE)</f>
        <v>0</v>
      </c>
      <c r="T427" s="77">
        <f>VLOOKUP($B427,[1]ბიუჯეტი!$B:$K,10,FALSE)</f>
        <v>144.06779661016949</v>
      </c>
      <c r="V427" s="78">
        <f t="shared" si="58"/>
        <v>38.135593220338983</v>
      </c>
      <c r="W427" s="78">
        <f t="shared" si="59"/>
        <v>0</v>
      </c>
      <c r="X427" s="78">
        <f t="shared" si="60"/>
        <v>0</v>
      </c>
      <c r="Y427" s="78">
        <f t="shared" si="61"/>
        <v>7</v>
      </c>
    </row>
    <row r="428" spans="1:25" hidden="1" outlineLevel="1" x14ac:dyDescent="0.35">
      <c r="A428" s="51">
        <v>3</v>
      </c>
      <c r="B428" s="23" t="s">
        <v>134</v>
      </c>
      <c r="C428" s="4" t="s">
        <v>55</v>
      </c>
      <c r="D428" s="1">
        <v>18</v>
      </c>
      <c r="E428" s="1"/>
      <c r="F428" s="1">
        <f t="shared" si="62"/>
        <v>0</v>
      </c>
      <c r="G428" s="66">
        <f>ხელფასი!D26</f>
        <v>57.374999999999993</v>
      </c>
      <c r="H428" s="1">
        <f>G428*D428</f>
        <v>1032.7499999999998</v>
      </c>
      <c r="I428" s="1"/>
      <c r="J428" s="1"/>
      <c r="K428" s="1">
        <f t="shared" si="63"/>
        <v>1032.7499999999998</v>
      </c>
      <c r="M428" s="77">
        <f>VLOOKUP(B428,[1]ბიუჯეტი!$B:$K,3,FALSE)</f>
        <v>17</v>
      </c>
      <c r="N428" s="77">
        <f>VLOOKUP($B428,[1]ბიუჯეტი!$B:$K,4,FALSE)</f>
        <v>0</v>
      </c>
      <c r="O428" s="77">
        <f>VLOOKUP($B428,[1]ბიუჯეტი!$B:$K,5,FALSE)</f>
        <v>0</v>
      </c>
      <c r="P428" s="77">
        <f>VLOOKUP($B428,[1]ბიუჯეტი!$B:$K,6,FALSE)</f>
        <v>15.299999999999999</v>
      </c>
      <c r="Q428" s="77">
        <f>VLOOKUP($B428,[1]ბიუჯეტი!$B:$K,7,FALSE)</f>
        <v>260.09999999999997</v>
      </c>
      <c r="R428" s="77">
        <f>VLOOKUP($B428,[1]ბიუჯეტი!$B:$K,8,FALSE)</f>
        <v>0</v>
      </c>
      <c r="S428" s="77">
        <f>VLOOKUP($B428,[1]ბიუჯეტი!$B:$K,9,FALSE)</f>
        <v>0</v>
      </c>
      <c r="T428" s="77">
        <f>VLOOKUP($B428,[1]ბიუჯეტი!$B:$K,10,FALSE)</f>
        <v>260.09999999999997</v>
      </c>
      <c r="V428" s="78">
        <f t="shared" si="58"/>
        <v>0</v>
      </c>
      <c r="W428" s="78">
        <f t="shared" si="59"/>
        <v>42.074999999999996</v>
      </c>
      <c r="X428" s="78">
        <f t="shared" si="60"/>
        <v>0</v>
      </c>
      <c r="Y428" s="78">
        <f t="shared" si="61"/>
        <v>1</v>
      </c>
    </row>
    <row r="429" spans="1:25" hidden="1" outlineLevel="1" x14ac:dyDescent="0.35">
      <c r="A429" s="51"/>
      <c r="B429" s="3" t="s">
        <v>135</v>
      </c>
      <c r="C429" s="4" t="s">
        <v>55</v>
      </c>
      <c r="D429" s="1">
        <f>D428</f>
        <v>18</v>
      </c>
      <c r="E429" s="1">
        <f>მასალა!D55</f>
        <v>46.610169491525426</v>
      </c>
      <c r="F429" s="1">
        <f t="shared" si="62"/>
        <v>838.98305084745766</v>
      </c>
      <c r="G429" s="1"/>
      <c r="H429" s="1">
        <f>D429*G429</f>
        <v>0</v>
      </c>
      <c r="I429" s="1"/>
      <c r="J429" s="1"/>
      <c r="K429" s="1">
        <f t="shared" si="63"/>
        <v>838.98305084745766</v>
      </c>
      <c r="M429" s="77">
        <f>VLOOKUP(B429,[1]ბიუჯეტი!$B:$K,3,FALSE)</f>
        <v>17</v>
      </c>
      <c r="N429" s="77">
        <f>VLOOKUP($B429,[1]ბიუჯეტი!$B:$K,4,FALSE)</f>
        <v>8.4745762711864412</v>
      </c>
      <c r="O429" s="77">
        <f>VLOOKUP($B429,[1]ბიუჯეტი!$B:$K,5,FALSE)</f>
        <v>144.06779661016949</v>
      </c>
      <c r="P429" s="77">
        <f>VLOOKUP($B429,[1]ბიუჯეტი!$B:$K,6,FALSE)</f>
        <v>0</v>
      </c>
      <c r="Q429" s="77">
        <f>VLOOKUP($B429,[1]ბიუჯეტი!$B:$K,7,FALSE)</f>
        <v>0</v>
      </c>
      <c r="R429" s="77">
        <f>VLOOKUP($B429,[1]ბიუჯეტი!$B:$K,8,FALSE)</f>
        <v>0</v>
      </c>
      <c r="S429" s="77">
        <f>VLOOKUP($B429,[1]ბიუჯეტი!$B:$K,9,FALSE)</f>
        <v>0</v>
      </c>
      <c r="T429" s="77">
        <f>VLOOKUP($B429,[1]ბიუჯეტი!$B:$K,10,FALSE)</f>
        <v>144.06779661016949</v>
      </c>
      <c r="V429" s="78">
        <f t="shared" si="58"/>
        <v>38.135593220338983</v>
      </c>
      <c r="W429" s="78">
        <f t="shared" si="59"/>
        <v>0</v>
      </c>
      <c r="X429" s="78">
        <f t="shared" si="60"/>
        <v>0</v>
      </c>
      <c r="Y429" s="78">
        <f t="shared" si="61"/>
        <v>1</v>
      </c>
    </row>
    <row r="430" spans="1:25" hidden="1" outlineLevel="1" x14ac:dyDescent="0.35">
      <c r="A430" s="51">
        <v>4</v>
      </c>
      <c r="B430" s="23" t="s">
        <v>136</v>
      </c>
      <c r="C430" s="4" t="s">
        <v>55</v>
      </c>
      <c r="D430" s="1">
        <f>15*3</f>
        <v>45</v>
      </c>
      <c r="E430" s="1"/>
      <c r="F430" s="1">
        <f t="shared" si="62"/>
        <v>0</v>
      </c>
      <c r="G430" s="66">
        <f>ხელფასი!D26</f>
        <v>57.374999999999993</v>
      </c>
      <c r="H430" s="1">
        <f>G430*D430</f>
        <v>2581.8749999999995</v>
      </c>
      <c r="I430" s="1"/>
      <c r="J430" s="1"/>
      <c r="K430" s="1">
        <f t="shared" si="63"/>
        <v>2581.8749999999995</v>
      </c>
      <c r="M430" s="77">
        <f>VLOOKUP(B430,[1]ბიუჯეტი!$B:$K,3,FALSE)</f>
        <v>51</v>
      </c>
      <c r="N430" s="77">
        <f>VLOOKUP($B430,[1]ბიუჯეტი!$B:$K,4,FALSE)</f>
        <v>0</v>
      </c>
      <c r="O430" s="77">
        <f>VLOOKUP($B430,[1]ბიუჯეტი!$B:$K,5,FALSE)</f>
        <v>0</v>
      </c>
      <c r="P430" s="77">
        <f>VLOOKUP($B430,[1]ბიუჯეტი!$B:$K,6,FALSE)</f>
        <v>15.299999999999999</v>
      </c>
      <c r="Q430" s="77">
        <f>VLOOKUP($B430,[1]ბიუჯეტი!$B:$K,7,FALSE)</f>
        <v>780.3</v>
      </c>
      <c r="R430" s="77">
        <f>VLOOKUP($B430,[1]ბიუჯეტი!$B:$K,8,FALSE)</f>
        <v>0</v>
      </c>
      <c r="S430" s="77">
        <f>VLOOKUP($B430,[1]ბიუჯეტი!$B:$K,9,FALSE)</f>
        <v>0</v>
      </c>
      <c r="T430" s="77">
        <f>VLOOKUP($B430,[1]ბიუჯეტი!$B:$K,10,FALSE)</f>
        <v>780.3</v>
      </c>
      <c r="V430" s="78">
        <f t="shared" si="58"/>
        <v>0</v>
      </c>
      <c r="W430" s="78">
        <f t="shared" si="59"/>
        <v>42.074999999999996</v>
      </c>
      <c r="X430" s="78">
        <f t="shared" si="60"/>
        <v>0</v>
      </c>
      <c r="Y430" s="78">
        <f t="shared" si="61"/>
        <v>-6</v>
      </c>
    </row>
    <row r="431" spans="1:25" hidden="1" outlineLevel="1" x14ac:dyDescent="0.35">
      <c r="A431" s="51"/>
      <c r="B431" s="3" t="s">
        <v>135</v>
      </c>
      <c r="C431" s="4" t="s">
        <v>55</v>
      </c>
      <c r="D431" s="1">
        <f>D430</f>
        <v>45</v>
      </c>
      <c r="E431" s="1">
        <f>მასალა!D55</f>
        <v>46.610169491525426</v>
      </c>
      <c r="F431" s="1">
        <f t="shared" si="62"/>
        <v>2097.4576271186443</v>
      </c>
      <c r="G431" s="1"/>
      <c r="H431" s="1">
        <f>D431*G431</f>
        <v>0</v>
      </c>
      <c r="I431" s="1"/>
      <c r="J431" s="1"/>
      <c r="K431" s="1">
        <f t="shared" si="63"/>
        <v>2097.4576271186443</v>
      </c>
      <c r="M431" s="77">
        <f>VLOOKUP(B431,[1]ბიუჯეტი!$B:$K,3,FALSE)</f>
        <v>17</v>
      </c>
      <c r="N431" s="77">
        <f>VLOOKUP($B431,[1]ბიუჯეტი!$B:$K,4,FALSE)</f>
        <v>8.4745762711864412</v>
      </c>
      <c r="O431" s="77">
        <f>VLOOKUP($B431,[1]ბიუჯეტი!$B:$K,5,FALSE)</f>
        <v>144.06779661016949</v>
      </c>
      <c r="P431" s="77">
        <f>VLOOKUP($B431,[1]ბიუჯეტი!$B:$K,6,FALSE)</f>
        <v>0</v>
      </c>
      <c r="Q431" s="77">
        <f>VLOOKUP($B431,[1]ბიუჯეტი!$B:$K,7,FALSE)</f>
        <v>0</v>
      </c>
      <c r="R431" s="77">
        <f>VLOOKUP($B431,[1]ბიუჯეტი!$B:$K,8,FALSE)</f>
        <v>0</v>
      </c>
      <c r="S431" s="77">
        <f>VLOOKUP($B431,[1]ბიუჯეტი!$B:$K,9,FALSE)</f>
        <v>0</v>
      </c>
      <c r="T431" s="77">
        <f>VLOOKUP($B431,[1]ბიუჯეტი!$B:$K,10,FALSE)</f>
        <v>144.06779661016949</v>
      </c>
      <c r="V431" s="78">
        <f t="shared" si="58"/>
        <v>38.135593220338983</v>
      </c>
      <c r="W431" s="78">
        <f t="shared" si="59"/>
        <v>0</v>
      </c>
      <c r="X431" s="78">
        <f t="shared" si="60"/>
        <v>0</v>
      </c>
      <c r="Y431" s="78">
        <f t="shared" si="61"/>
        <v>28</v>
      </c>
    </row>
    <row r="432" spans="1:25" collapsed="1" x14ac:dyDescent="0.35">
      <c r="A432" s="63">
        <v>41</v>
      </c>
      <c r="B432" s="64" t="s">
        <v>138</v>
      </c>
      <c r="C432" s="65" t="s">
        <v>55</v>
      </c>
      <c r="D432" s="66">
        <f>D433+D438+D443</f>
        <v>92</v>
      </c>
      <c r="E432" s="66">
        <v>0</v>
      </c>
      <c r="F432" s="66">
        <f t="shared" si="62"/>
        <v>0</v>
      </c>
      <c r="G432" s="66">
        <f>ხელფასი!D27</f>
        <v>57.374999999999993</v>
      </c>
      <c r="H432" s="66">
        <f>G432*D432</f>
        <v>5278.4999999999991</v>
      </c>
      <c r="I432" s="66">
        <v>0</v>
      </c>
      <c r="J432" s="66">
        <v>0</v>
      </c>
      <c r="K432" s="1">
        <f t="shared" si="63"/>
        <v>5278.4999999999991</v>
      </c>
      <c r="M432" s="77">
        <f>VLOOKUP(B432,[1]ბიუჯეტი!$B:$K,3,FALSE)</f>
        <v>92</v>
      </c>
      <c r="N432" s="77">
        <f>VLOOKUP($B432,[1]ბიუჯეტი!$B:$K,4,FALSE)</f>
        <v>0</v>
      </c>
      <c r="O432" s="77">
        <f>VLOOKUP($B432,[1]ბიუჯეტი!$B:$K,5,FALSE)</f>
        <v>0</v>
      </c>
      <c r="P432" s="77">
        <f>VLOOKUP($B432,[1]ბიუჯეტი!$B:$K,6,FALSE)</f>
        <v>57.374999999999993</v>
      </c>
      <c r="Q432" s="77">
        <f>VLOOKUP($B432,[1]ბიუჯეტი!$B:$K,7,FALSE)</f>
        <v>5278.4999999999991</v>
      </c>
      <c r="R432" s="77">
        <f>VLOOKUP($B432,[1]ბიუჯეტი!$B:$K,8,FALSE)</f>
        <v>0</v>
      </c>
      <c r="S432" s="77">
        <f>VLOOKUP($B432,[1]ბიუჯეტი!$B:$K,9,FALSE)</f>
        <v>0</v>
      </c>
      <c r="T432" s="77">
        <f>VLOOKUP($B432,[1]ბიუჯეტი!$B:$K,10,FALSE)</f>
        <v>5278.4999999999991</v>
      </c>
      <c r="V432" s="78">
        <f t="shared" si="58"/>
        <v>0</v>
      </c>
      <c r="W432" s="78">
        <f t="shared" si="59"/>
        <v>0</v>
      </c>
      <c r="X432" s="78">
        <f t="shared" si="60"/>
        <v>0</v>
      </c>
      <c r="Y432" s="78">
        <f t="shared" si="61"/>
        <v>0</v>
      </c>
    </row>
    <row r="433" spans="1:25" hidden="1" outlineLevel="1" x14ac:dyDescent="0.35">
      <c r="A433" s="51">
        <v>2</v>
      </c>
      <c r="B433" s="23" t="s">
        <v>350</v>
      </c>
      <c r="C433" s="4" t="s">
        <v>55</v>
      </c>
      <c r="D433" s="1">
        <f>16*3</f>
        <v>48</v>
      </c>
      <c r="E433" s="1"/>
      <c r="F433" s="1">
        <f t="shared" si="62"/>
        <v>0</v>
      </c>
      <c r="G433" s="1">
        <f>ხელფასი!D27</f>
        <v>57.374999999999993</v>
      </c>
      <c r="H433" s="1">
        <f>G433*D433</f>
        <v>2753.9999999999995</v>
      </c>
      <c r="I433" s="1"/>
      <c r="J433" s="1"/>
      <c r="K433" s="1">
        <f t="shared" si="63"/>
        <v>2753.9999999999995</v>
      </c>
      <c r="M433" s="77">
        <f>VLOOKUP(B433,[1]ბიუჯეტი!$B:$K,3,FALSE)</f>
        <v>48</v>
      </c>
      <c r="N433" s="77">
        <f>VLOOKUP($B433,[1]ბიუჯეტი!$B:$K,4,FALSE)</f>
        <v>0</v>
      </c>
      <c r="O433" s="77">
        <f>VLOOKUP($B433,[1]ბიუჯეტი!$B:$K,5,FALSE)</f>
        <v>0</v>
      </c>
      <c r="P433" s="77">
        <f>VLOOKUP($B433,[1]ბიუჯეტი!$B:$K,6,FALSE)</f>
        <v>57.374999999999993</v>
      </c>
      <c r="Q433" s="77">
        <f>VLOOKUP($B433,[1]ბიუჯეტი!$B:$K,7,FALSE)</f>
        <v>2753.9999999999995</v>
      </c>
      <c r="R433" s="77">
        <f>VLOOKUP($B433,[1]ბიუჯეტი!$B:$K,8,FALSE)</f>
        <v>0</v>
      </c>
      <c r="S433" s="77">
        <f>VLOOKUP($B433,[1]ბიუჯეტი!$B:$K,9,FALSE)</f>
        <v>0</v>
      </c>
      <c r="T433" s="77">
        <f>VLOOKUP($B433,[1]ბიუჯეტი!$B:$K,10,FALSE)</f>
        <v>2753.9999999999995</v>
      </c>
      <c r="V433" s="78">
        <f t="shared" si="58"/>
        <v>0</v>
      </c>
      <c r="W433" s="78">
        <f t="shared" si="59"/>
        <v>0</v>
      </c>
      <c r="X433" s="78">
        <f t="shared" si="60"/>
        <v>0</v>
      </c>
      <c r="Y433" s="78">
        <f t="shared" si="61"/>
        <v>0</v>
      </c>
    </row>
    <row r="434" spans="1:25" hidden="1" outlineLevel="1" x14ac:dyDescent="0.35">
      <c r="A434" s="51"/>
      <c r="B434" s="3" t="s">
        <v>349</v>
      </c>
      <c r="C434" s="4" t="s">
        <v>40</v>
      </c>
      <c r="D434" s="1">
        <f>D433*45</f>
        <v>2160</v>
      </c>
      <c r="E434" s="1">
        <f>მასალა!D58</f>
        <v>4.9152542372881358</v>
      </c>
      <c r="F434" s="1">
        <f t="shared" ref="F434:F476" si="64">D434*E434</f>
        <v>10616.949152542373</v>
      </c>
      <c r="G434" s="1"/>
      <c r="H434" s="1"/>
      <c r="I434" s="1"/>
      <c r="J434" s="1"/>
      <c r="K434" s="1">
        <f t="shared" si="63"/>
        <v>10616.949152542373</v>
      </c>
      <c r="M434" s="77">
        <f>VLOOKUP(B434,[1]ბიუჯეტი!$B:$K,3,FALSE)</f>
        <v>2160</v>
      </c>
      <c r="N434" s="77">
        <f>VLOOKUP($B434,[1]ბიუჯეტი!$B:$K,4,FALSE)</f>
        <v>4.9152542372881358</v>
      </c>
      <c r="O434" s="77">
        <f>VLOOKUP($B434,[1]ბიუჯეტი!$B:$K,5,FALSE)</f>
        <v>10616.949152542373</v>
      </c>
      <c r="P434" s="77">
        <f>VLOOKUP($B434,[1]ბიუჯეტი!$B:$K,6,FALSE)</f>
        <v>0</v>
      </c>
      <c r="Q434" s="77">
        <f>VLOOKUP($B434,[1]ბიუჯეტი!$B:$K,7,FALSE)</f>
        <v>0</v>
      </c>
      <c r="R434" s="77">
        <f>VLOOKUP($B434,[1]ბიუჯეტი!$B:$K,8,FALSE)</f>
        <v>0</v>
      </c>
      <c r="S434" s="77">
        <f>VLOOKUP($B434,[1]ბიუჯეტი!$B:$K,9,FALSE)</f>
        <v>0</v>
      </c>
      <c r="T434" s="77">
        <f>VLOOKUP($B434,[1]ბიუჯეტი!$B:$K,10,FALSE)</f>
        <v>10616.949152542373</v>
      </c>
      <c r="V434" s="78">
        <f t="shared" si="58"/>
        <v>0</v>
      </c>
      <c r="W434" s="78">
        <f t="shared" si="59"/>
        <v>0</v>
      </c>
      <c r="X434" s="78">
        <f t="shared" si="60"/>
        <v>0</v>
      </c>
      <c r="Y434" s="78">
        <f t="shared" si="61"/>
        <v>0</v>
      </c>
    </row>
    <row r="435" spans="1:25" hidden="1" outlineLevel="1" x14ac:dyDescent="0.35">
      <c r="A435" s="51"/>
      <c r="B435" s="3" t="s">
        <v>140</v>
      </c>
      <c r="C435" s="4" t="s">
        <v>40</v>
      </c>
      <c r="D435" s="1">
        <v>0</v>
      </c>
      <c r="E435" s="1">
        <v>0</v>
      </c>
      <c r="F435" s="1">
        <f t="shared" si="64"/>
        <v>0</v>
      </c>
      <c r="G435" s="1"/>
      <c r="H435" s="1"/>
      <c r="I435" s="1"/>
      <c r="J435" s="1"/>
      <c r="K435" s="1">
        <f t="shared" si="63"/>
        <v>0</v>
      </c>
      <c r="M435" s="77">
        <f>VLOOKUP(B435,[1]ბიუჯეტი!$B:$K,3,FALSE)</f>
        <v>0</v>
      </c>
      <c r="N435" s="77">
        <f>VLOOKUP($B435,[1]ბიუჯეტი!$B:$K,4,FALSE)</f>
        <v>0</v>
      </c>
      <c r="O435" s="77">
        <f>VLOOKUP($B435,[1]ბიუჯეტი!$B:$K,5,FALSE)</f>
        <v>0</v>
      </c>
      <c r="P435" s="77">
        <f>VLOOKUP($B435,[1]ბიუჯეტი!$B:$K,6,FALSE)</f>
        <v>0</v>
      </c>
      <c r="Q435" s="77">
        <f>VLOOKUP($B435,[1]ბიუჯეტი!$B:$K,7,FALSE)</f>
        <v>0</v>
      </c>
      <c r="R435" s="77">
        <f>VLOOKUP($B435,[1]ბიუჯეტი!$B:$K,8,FALSE)</f>
        <v>0</v>
      </c>
      <c r="S435" s="77">
        <f>VLOOKUP($B435,[1]ბიუჯეტი!$B:$K,9,FALSE)</f>
        <v>0</v>
      </c>
      <c r="T435" s="77">
        <f>VLOOKUP($B435,[1]ბიუჯეტი!$B:$K,10,FALSE)</f>
        <v>0</v>
      </c>
      <c r="V435" s="78">
        <f t="shared" si="58"/>
        <v>0</v>
      </c>
      <c r="W435" s="78">
        <f t="shared" si="59"/>
        <v>0</v>
      </c>
      <c r="X435" s="78">
        <f t="shared" si="60"/>
        <v>0</v>
      </c>
      <c r="Y435" s="78">
        <f t="shared" si="61"/>
        <v>0</v>
      </c>
    </row>
    <row r="436" spans="1:25" hidden="1" outlineLevel="1" x14ac:dyDescent="0.35">
      <c r="A436" s="51"/>
      <c r="B436" s="3" t="s">
        <v>131</v>
      </c>
      <c r="C436" s="4" t="s">
        <v>40</v>
      </c>
      <c r="D436" s="1">
        <v>140</v>
      </c>
      <c r="E436" s="1">
        <f>მასალა!D52</f>
        <v>1.1016949152542375</v>
      </c>
      <c r="F436" s="1">
        <f t="shared" si="64"/>
        <v>154.23728813559325</v>
      </c>
      <c r="G436" s="1"/>
      <c r="H436" s="1"/>
      <c r="I436" s="1"/>
      <c r="J436" s="1"/>
      <c r="K436" s="1">
        <f t="shared" si="63"/>
        <v>154.23728813559325</v>
      </c>
      <c r="M436" s="77">
        <f>VLOOKUP(B436,[1]ბიუჯეტი!$B:$K,3,FALSE)</f>
        <v>1819.125</v>
      </c>
      <c r="N436" s="77">
        <f>VLOOKUP($B436,[1]ბიუჯეტი!$B:$K,4,FALSE)</f>
        <v>1.1016949152542375</v>
      </c>
      <c r="O436" s="77">
        <f>VLOOKUP($B436,[1]ბიუჯეტი!$B:$K,5,FALSE)</f>
        <v>2004.1207627118647</v>
      </c>
      <c r="P436" s="77">
        <f>VLOOKUP($B436,[1]ბიუჯეტი!$B:$K,6,FALSE)</f>
        <v>0</v>
      </c>
      <c r="Q436" s="77">
        <f>VLOOKUP($B436,[1]ბიუჯეტი!$B:$K,7,FALSE)</f>
        <v>0</v>
      </c>
      <c r="R436" s="77">
        <f>VLOOKUP($B436,[1]ბიუჯეტი!$B:$K,8,FALSE)</f>
        <v>0</v>
      </c>
      <c r="S436" s="77">
        <f>VLOOKUP($B436,[1]ბიუჯეტი!$B:$K,9,FALSE)</f>
        <v>0</v>
      </c>
      <c r="T436" s="77">
        <f>VLOOKUP($B436,[1]ბიუჯეტი!$B:$K,10,FALSE)</f>
        <v>2004.1207627118647</v>
      </c>
      <c r="V436" s="78">
        <f t="shared" si="58"/>
        <v>0</v>
      </c>
      <c r="W436" s="78">
        <f t="shared" si="59"/>
        <v>0</v>
      </c>
      <c r="X436" s="78">
        <f t="shared" si="60"/>
        <v>0</v>
      </c>
      <c r="Y436" s="78">
        <f t="shared" si="61"/>
        <v>-1679.125</v>
      </c>
    </row>
    <row r="437" spans="1:25" hidden="1" outlineLevel="1" x14ac:dyDescent="0.35">
      <c r="A437" s="51"/>
      <c r="B437" s="3" t="s">
        <v>391</v>
      </c>
      <c r="C437" s="4" t="s">
        <v>40</v>
      </c>
      <c r="D437" s="1">
        <f>D433</f>
        <v>48</v>
      </c>
      <c r="E437" s="1">
        <f>SUMIFS(მასალა!D3:D416,მასალა!B3:B416,ბიუჯეტი!B437)</f>
        <v>6.7796610169491531</v>
      </c>
      <c r="F437" s="1">
        <f t="shared" si="64"/>
        <v>325.42372881355936</v>
      </c>
      <c r="G437" s="1"/>
      <c r="H437" s="1"/>
      <c r="I437" s="1"/>
      <c r="J437" s="1"/>
      <c r="K437" s="1">
        <f t="shared" si="63"/>
        <v>325.42372881355936</v>
      </c>
      <c r="M437" s="77">
        <f>VLOOKUP(B437,[1]ბიუჯეტი!$B:$K,3,FALSE)</f>
        <v>48</v>
      </c>
      <c r="N437" s="77">
        <f>VLOOKUP($B437,[1]ბიუჯეტი!$B:$K,4,FALSE)</f>
        <v>6.7796610169491531</v>
      </c>
      <c r="O437" s="77">
        <f>VLOOKUP($B437,[1]ბიუჯეტი!$B:$K,5,FALSE)</f>
        <v>325.42372881355936</v>
      </c>
      <c r="P437" s="77">
        <f>VLOOKUP($B437,[1]ბიუჯეტი!$B:$K,6,FALSE)</f>
        <v>0</v>
      </c>
      <c r="Q437" s="77">
        <f>VLOOKUP($B437,[1]ბიუჯეტი!$B:$K,7,FALSE)</f>
        <v>0</v>
      </c>
      <c r="R437" s="77">
        <f>VLOOKUP($B437,[1]ბიუჯეტი!$B:$K,8,FALSE)</f>
        <v>0</v>
      </c>
      <c r="S437" s="77">
        <f>VLOOKUP($B437,[1]ბიუჯეტი!$B:$K,9,FALSE)</f>
        <v>0</v>
      </c>
      <c r="T437" s="77">
        <f>VLOOKUP($B437,[1]ბიუჯეტი!$B:$K,10,FALSE)</f>
        <v>325.42372881355936</v>
      </c>
      <c r="V437" s="78">
        <f t="shared" si="58"/>
        <v>0</v>
      </c>
      <c r="W437" s="78">
        <f t="shared" si="59"/>
        <v>0</v>
      </c>
      <c r="X437" s="78">
        <f t="shared" si="60"/>
        <v>0</v>
      </c>
      <c r="Y437" s="78">
        <f t="shared" si="61"/>
        <v>0</v>
      </c>
    </row>
    <row r="438" spans="1:25" hidden="1" outlineLevel="1" x14ac:dyDescent="0.35">
      <c r="A438" s="51">
        <v>3</v>
      </c>
      <c r="B438" s="23" t="s">
        <v>128</v>
      </c>
      <c r="C438" s="4" t="s">
        <v>55</v>
      </c>
      <c r="D438" s="1">
        <v>11</v>
      </c>
      <c r="E438" s="1"/>
      <c r="F438" s="1">
        <f t="shared" si="64"/>
        <v>0</v>
      </c>
      <c r="G438" s="1">
        <f>ხელფასი!D27</f>
        <v>57.374999999999993</v>
      </c>
      <c r="H438" s="1">
        <f>G438*D438</f>
        <v>631.12499999999989</v>
      </c>
      <c r="I438" s="1"/>
      <c r="J438" s="1"/>
      <c r="K438" s="1">
        <f t="shared" si="63"/>
        <v>631.12499999999989</v>
      </c>
      <c r="M438" s="77">
        <f>VLOOKUP(B438,[1]ბიუჯეტი!$B:$K,3,FALSE)</f>
        <v>990</v>
      </c>
      <c r="N438" s="77">
        <f>VLOOKUP($B438,[1]ბიუჯეტი!$B:$K,4,FALSE)</f>
        <v>0</v>
      </c>
      <c r="O438" s="77">
        <f>VLOOKUP($B438,[1]ბიუჯეტი!$B:$K,5,FALSE)</f>
        <v>0</v>
      </c>
      <c r="P438" s="77">
        <f>VLOOKUP($B438,[1]ბიუჯეტი!$B:$K,6,FALSE)</f>
        <v>10.199999999999999</v>
      </c>
      <c r="Q438" s="77">
        <f>VLOOKUP($B438,[1]ბიუჯეტი!$B:$K,7,FALSE)</f>
        <v>10098</v>
      </c>
      <c r="R438" s="77">
        <f>VLOOKUP($B438,[1]ბიუჯეტი!$B:$K,8,FALSE)</f>
        <v>0</v>
      </c>
      <c r="S438" s="77">
        <f>VLOOKUP($B438,[1]ბიუჯეტი!$B:$K,9,FALSE)</f>
        <v>0</v>
      </c>
      <c r="T438" s="77">
        <f>VLOOKUP($B438,[1]ბიუჯეტი!$B:$K,10,FALSE)</f>
        <v>10098</v>
      </c>
      <c r="V438" s="78">
        <f t="shared" si="58"/>
        <v>0</v>
      </c>
      <c r="W438" s="78">
        <f t="shared" si="59"/>
        <v>47.174999999999997</v>
      </c>
      <c r="X438" s="78">
        <f t="shared" si="60"/>
        <v>0</v>
      </c>
      <c r="Y438" s="78">
        <f t="shared" si="61"/>
        <v>-979</v>
      </c>
    </row>
    <row r="439" spans="1:25" hidden="1" outlineLevel="1" x14ac:dyDescent="0.35">
      <c r="A439" s="51"/>
      <c r="B439" s="3" t="s">
        <v>139</v>
      </c>
      <c r="C439" s="4" t="s">
        <v>40</v>
      </c>
      <c r="D439" s="1">
        <f>D438*30</f>
        <v>330</v>
      </c>
      <c r="E439" s="1">
        <f>მასალა!D57</f>
        <v>9.2372881355932215</v>
      </c>
      <c r="F439" s="1">
        <f t="shared" si="64"/>
        <v>3048.305084745763</v>
      </c>
      <c r="G439" s="1"/>
      <c r="H439" s="1"/>
      <c r="I439" s="1"/>
      <c r="J439" s="1"/>
      <c r="K439" s="1">
        <f t="shared" si="63"/>
        <v>3048.305084745763</v>
      </c>
      <c r="M439" s="77">
        <f>VLOOKUP(B439,[1]ბიუჯეტი!$B:$K,3,FALSE)</f>
        <v>330</v>
      </c>
      <c r="N439" s="77">
        <f>VLOOKUP($B439,[1]ბიუჯეტი!$B:$K,4,FALSE)</f>
        <v>8.0508474576271194</v>
      </c>
      <c r="O439" s="77">
        <f>VLOOKUP($B439,[1]ბიუჯეტი!$B:$K,5,FALSE)</f>
        <v>2656.7796610169494</v>
      </c>
      <c r="P439" s="77">
        <f>VLOOKUP($B439,[1]ბიუჯეტი!$B:$K,6,FALSE)</f>
        <v>0</v>
      </c>
      <c r="Q439" s="77">
        <f>VLOOKUP($B439,[1]ბიუჯეტი!$B:$K,7,FALSE)</f>
        <v>0</v>
      </c>
      <c r="R439" s="77">
        <f>VLOOKUP($B439,[1]ბიუჯეტი!$B:$K,8,FALSE)</f>
        <v>0</v>
      </c>
      <c r="S439" s="77">
        <f>VLOOKUP($B439,[1]ბიუჯეტი!$B:$K,9,FALSE)</f>
        <v>0</v>
      </c>
      <c r="T439" s="77">
        <f>VLOOKUP($B439,[1]ბიუჯეტი!$B:$K,10,FALSE)</f>
        <v>2656.7796610169494</v>
      </c>
      <c r="V439" s="78">
        <f t="shared" si="58"/>
        <v>1.1864406779661021</v>
      </c>
      <c r="W439" s="78">
        <f t="shared" si="59"/>
        <v>0</v>
      </c>
      <c r="X439" s="78">
        <f t="shared" si="60"/>
        <v>0</v>
      </c>
      <c r="Y439" s="78">
        <f t="shared" si="61"/>
        <v>0</v>
      </c>
    </row>
    <row r="440" spans="1:25" hidden="1" outlineLevel="1" x14ac:dyDescent="0.35">
      <c r="A440" s="51"/>
      <c r="B440" s="3" t="s">
        <v>351</v>
      </c>
      <c r="C440" s="4" t="s">
        <v>55</v>
      </c>
      <c r="D440" s="1">
        <f>D441/0.6</f>
        <v>166.66666666666669</v>
      </c>
      <c r="E440" s="1">
        <f>მასალა!D60</f>
        <v>1.6949152542372883</v>
      </c>
      <c r="F440" s="1">
        <f t="shared" si="64"/>
        <v>282.48587570621476</v>
      </c>
      <c r="G440" s="1"/>
      <c r="H440" s="1"/>
      <c r="I440" s="1"/>
      <c r="J440" s="1"/>
      <c r="K440" s="1">
        <f t="shared" si="63"/>
        <v>282.48587570621476</v>
      </c>
      <c r="M440" s="77">
        <f>VLOOKUP(B440,[1]ბიუჯეტი!$B:$K,3,FALSE)</f>
        <v>166.66666666666669</v>
      </c>
      <c r="N440" s="77">
        <f>VLOOKUP($B440,[1]ბიუჯეტი!$B:$K,4,FALSE)</f>
        <v>1.6949152542372883</v>
      </c>
      <c r="O440" s="77">
        <f>VLOOKUP($B440,[1]ბიუჯეტი!$B:$K,5,FALSE)</f>
        <v>282.48587570621476</v>
      </c>
      <c r="P440" s="77">
        <f>VLOOKUP($B440,[1]ბიუჯეტი!$B:$K,6,FALSE)</f>
        <v>0</v>
      </c>
      <c r="Q440" s="77">
        <f>VLOOKUP($B440,[1]ბიუჯეტი!$B:$K,7,FALSE)</f>
        <v>0</v>
      </c>
      <c r="R440" s="77">
        <f>VLOOKUP($B440,[1]ბიუჯეტი!$B:$K,8,FALSE)</f>
        <v>0</v>
      </c>
      <c r="S440" s="77">
        <f>VLOOKUP($B440,[1]ბიუჯეტი!$B:$K,9,FALSE)</f>
        <v>0</v>
      </c>
      <c r="T440" s="77">
        <f>VLOOKUP($B440,[1]ბიუჯეტი!$B:$K,10,FALSE)</f>
        <v>282.48587570621476</v>
      </c>
      <c r="V440" s="78">
        <f t="shared" si="58"/>
        <v>0</v>
      </c>
      <c r="W440" s="78">
        <f t="shared" si="59"/>
        <v>0</v>
      </c>
      <c r="X440" s="78">
        <f t="shared" si="60"/>
        <v>0</v>
      </c>
      <c r="Y440" s="78">
        <f t="shared" si="61"/>
        <v>0</v>
      </c>
    </row>
    <row r="441" spans="1:25" hidden="1" outlineLevel="1" x14ac:dyDescent="0.35">
      <c r="A441" s="51"/>
      <c r="B441" s="3" t="s">
        <v>194</v>
      </c>
      <c r="C441" s="4" t="s">
        <v>40</v>
      </c>
      <c r="D441" s="1">
        <v>100</v>
      </c>
      <c r="E441" s="1">
        <f>მასალა!D59</f>
        <v>6.3559322033898304</v>
      </c>
      <c r="F441" s="1">
        <f t="shared" si="64"/>
        <v>635.59322033898309</v>
      </c>
      <c r="G441" s="1"/>
      <c r="H441" s="1"/>
      <c r="I441" s="1"/>
      <c r="J441" s="1"/>
      <c r="K441" s="1">
        <f t="shared" si="63"/>
        <v>635.59322033898309</v>
      </c>
      <c r="M441" s="77">
        <f>VLOOKUP(B441,[1]ბიუჯეტი!$B:$K,3,FALSE)</f>
        <v>100</v>
      </c>
      <c r="N441" s="77">
        <f>VLOOKUP($B441,[1]ბიუჯეტი!$B:$K,4,FALSE)</f>
        <v>6.3559322033898304</v>
      </c>
      <c r="O441" s="77">
        <f>VLOOKUP($B441,[1]ბიუჯეტი!$B:$K,5,FALSE)</f>
        <v>635.59322033898309</v>
      </c>
      <c r="P441" s="77">
        <f>VLOOKUP($B441,[1]ბიუჯეტი!$B:$K,6,FALSE)</f>
        <v>0</v>
      </c>
      <c r="Q441" s="77">
        <f>VLOOKUP($B441,[1]ბიუჯეტი!$B:$K,7,FALSE)</f>
        <v>0</v>
      </c>
      <c r="R441" s="77">
        <f>VLOOKUP($B441,[1]ბიუჯეტი!$B:$K,8,FALSE)</f>
        <v>0</v>
      </c>
      <c r="S441" s="77">
        <f>VLOOKUP($B441,[1]ბიუჯეტი!$B:$K,9,FALSE)</f>
        <v>0</v>
      </c>
      <c r="T441" s="77">
        <f>VLOOKUP($B441,[1]ბიუჯეტი!$B:$K,10,FALSE)</f>
        <v>635.59322033898309</v>
      </c>
      <c r="V441" s="78">
        <f t="shared" si="58"/>
        <v>0</v>
      </c>
      <c r="W441" s="78">
        <f t="shared" si="59"/>
        <v>0</v>
      </c>
      <c r="X441" s="78">
        <f t="shared" si="60"/>
        <v>0</v>
      </c>
      <c r="Y441" s="78">
        <f t="shared" si="61"/>
        <v>0</v>
      </c>
    </row>
    <row r="442" spans="1:25" hidden="1" outlineLevel="1" x14ac:dyDescent="0.35">
      <c r="A442" s="51"/>
      <c r="B442" s="3" t="s">
        <v>391</v>
      </c>
      <c r="C442" s="4" t="s">
        <v>55</v>
      </c>
      <c r="D442" s="1">
        <v>60</v>
      </c>
      <c r="E442" s="1">
        <f>SUMIFS(მასალა!D3:D421,მასალა!B3:B421,ბიუჯეტი!B442)</f>
        <v>6.7796610169491531</v>
      </c>
      <c r="F442" s="1">
        <f t="shared" si="64"/>
        <v>406.77966101694921</v>
      </c>
      <c r="G442" s="1"/>
      <c r="H442" s="1"/>
      <c r="I442" s="1"/>
      <c r="J442" s="1"/>
      <c r="K442" s="1">
        <f t="shared" si="63"/>
        <v>406.77966101694921</v>
      </c>
      <c r="M442" s="77">
        <f>VLOOKUP(B442,[1]ბიუჯეტი!$B:$K,3,FALSE)</f>
        <v>48</v>
      </c>
      <c r="N442" s="77">
        <f>VLOOKUP($B442,[1]ბიუჯეტი!$B:$K,4,FALSE)</f>
        <v>6.7796610169491531</v>
      </c>
      <c r="O442" s="77">
        <f>VLOOKUP($B442,[1]ბიუჯეტი!$B:$K,5,FALSE)</f>
        <v>325.42372881355936</v>
      </c>
      <c r="P442" s="77">
        <f>VLOOKUP($B442,[1]ბიუჯეტი!$B:$K,6,FALSE)</f>
        <v>0</v>
      </c>
      <c r="Q442" s="77">
        <f>VLOOKUP($B442,[1]ბიუჯეტი!$B:$K,7,FALSE)</f>
        <v>0</v>
      </c>
      <c r="R442" s="77">
        <f>VLOOKUP($B442,[1]ბიუჯეტი!$B:$K,8,FALSE)</f>
        <v>0</v>
      </c>
      <c r="S442" s="77">
        <f>VLOOKUP($B442,[1]ბიუჯეტი!$B:$K,9,FALSE)</f>
        <v>0</v>
      </c>
      <c r="T442" s="77">
        <f>VLOOKUP($B442,[1]ბიუჯეტი!$B:$K,10,FALSE)</f>
        <v>325.42372881355936</v>
      </c>
      <c r="V442" s="78">
        <f t="shared" si="58"/>
        <v>0</v>
      </c>
      <c r="W442" s="78">
        <f t="shared" si="59"/>
        <v>0</v>
      </c>
      <c r="X442" s="78">
        <f t="shared" si="60"/>
        <v>0</v>
      </c>
      <c r="Y442" s="78">
        <f t="shared" si="61"/>
        <v>12</v>
      </c>
    </row>
    <row r="443" spans="1:25" hidden="1" outlineLevel="1" x14ac:dyDescent="0.35">
      <c r="A443" s="51">
        <v>4</v>
      </c>
      <c r="B443" s="23" t="s">
        <v>348</v>
      </c>
      <c r="C443" s="4" t="s">
        <v>55</v>
      </c>
      <c r="D443" s="1">
        <f>11*3</f>
        <v>33</v>
      </c>
      <c r="E443" s="1"/>
      <c r="F443" s="1">
        <f t="shared" si="64"/>
        <v>0</v>
      </c>
      <c r="G443" s="1">
        <f>ხელფასი!D27</f>
        <v>57.374999999999993</v>
      </c>
      <c r="H443" s="1">
        <f>G443*D443</f>
        <v>1893.3749999999998</v>
      </c>
      <c r="I443" s="1"/>
      <c r="J443" s="1"/>
      <c r="K443" s="1">
        <f t="shared" si="63"/>
        <v>1893.3749999999998</v>
      </c>
      <c r="M443" s="77">
        <f>VLOOKUP(B443,[1]ბიუჯეტი!$B:$K,3,FALSE)</f>
        <v>2970</v>
      </c>
      <c r="N443" s="77">
        <f>VLOOKUP($B443,[1]ბიუჯეტი!$B:$K,4,FALSE)</f>
        <v>0</v>
      </c>
      <c r="O443" s="77">
        <f>VLOOKUP($B443,[1]ბიუჯეტი!$B:$K,5,FALSE)</f>
        <v>0</v>
      </c>
      <c r="P443" s="77">
        <f>VLOOKUP($B443,[1]ბიუჯეტი!$B:$K,6,FALSE)</f>
        <v>10.199999999999999</v>
      </c>
      <c r="Q443" s="77">
        <f>VLOOKUP($B443,[1]ბიუჯეტი!$B:$K,7,FALSE)</f>
        <v>30293.999999999996</v>
      </c>
      <c r="R443" s="77">
        <f>VLOOKUP($B443,[1]ბიუჯეტი!$B:$K,8,FALSE)</f>
        <v>0</v>
      </c>
      <c r="S443" s="77">
        <f>VLOOKUP($B443,[1]ბიუჯეტი!$B:$K,9,FALSE)</f>
        <v>0</v>
      </c>
      <c r="T443" s="77">
        <f>VLOOKUP($B443,[1]ბიუჯეტი!$B:$K,10,FALSE)</f>
        <v>30293.999999999996</v>
      </c>
      <c r="V443" s="78">
        <f t="shared" si="58"/>
        <v>0</v>
      </c>
      <c r="W443" s="78">
        <f t="shared" si="59"/>
        <v>47.174999999999997</v>
      </c>
      <c r="X443" s="78">
        <f t="shared" si="60"/>
        <v>0</v>
      </c>
      <c r="Y443" s="78">
        <f t="shared" si="61"/>
        <v>-2937</v>
      </c>
    </row>
    <row r="444" spans="1:25" hidden="1" outlineLevel="1" x14ac:dyDescent="0.35">
      <c r="A444" s="51"/>
      <c r="B444" s="3" t="s">
        <v>139</v>
      </c>
      <c r="C444" s="4" t="s">
        <v>40</v>
      </c>
      <c r="D444" s="1">
        <f>D443*35</f>
        <v>1155</v>
      </c>
      <c r="E444" s="1">
        <f>მასალა!D57</f>
        <v>9.2372881355932215</v>
      </c>
      <c r="F444" s="1">
        <f t="shared" si="64"/>
        <v>10669.06779661017</v>
      </c>
      <c r="G444" s="1"/>
      <c r="H444" s="1"/>
      <c r="I444" s="1"/>
      <c r="J444" s="1"/>
      <c r="K444" s="1">
        <f t="shared" si="63"/>
        <v>10669.06779661017</v>
      </c>
      <c r="M444" s="77">
        <f>VLOOKUP(B444,[1]ბიუჯეტი!$B:$K,3,FALSE)</f>
        <v>330</v>
      </c>
      <c r="N444" s="77">
        <f>VLOOKUP($B444,[1]ბიუჯეტი!$B:$K,4,FALSE)</f>
        <v>8.0508474576271194</v>
      </c>
      <c r="O444" s="77">
        <f>VLOOKUP($B444,[1]ბიუჯეტი!$B:$K,5,FALSE)</f>
        <v>2656.7796610169494</v>
      </c>
      <c r="P444" s="77">
        <f>VLOOKUP($B444,[1]ბიუჯეტი!$B:$K,6,FALSE)</f>
        <v>0</v>
      </c>
      <c r="Q444" s="77">
        <f>VLOOKUP($B444,[1]ბიუჯეტი!$B:$K,7,FALSE)</f>
        <v>0</v>
      </c>
      <c r="R444" s="77">
        <f>VLOOKUP($B444,[1]ბიუჯეტი!$B:$K,8,FALSE)</f>
        <v>0</v>
      </c>
      <c r="S444" s="77">
        <f>VLOOKUP($B444,[1]ბიუჯეტი!$B:$K,9,FALSE)</f>
        <v>0</v>
      </c>
      <c r="T444" s="77">
        <f>VLOOKUP($B444,[1]ბიუჯეტი!$B:$K,10,FALSE)</f>
        <v>2656.7796610169494</v>
      </c>
      <c r="V444" s="78">
        <f t="shared" si="58"/>
        <v>1.1864406779661021</v>
      </c>
      <c r="W444" s="78">
        <f t="shared" si="59"/>
        <v>0</v>
      </c>
      <c r="X444" s="78">
        <f t="shared" si="60"/>
        <v>0</v>
      </c>
      <c r="Y444" s="78">
        <f t="shared" si="61"/>
        <v>825</v>
      </c>
    </row>
    <row r="445" spans="1:25" hidden="1" outlineLevel="1" x14ac:dyDescent="0.35">
      <c r="A445" s="51"/>
      <c r="B445" s="3" t="s">
        <v>351</v>
      </c>
      <c r="C445" s="4" t="s">
        <v>55</v>
      </c>
      <c r="D445" s="1">
        <f>D446/0.6</f>
        <v>500</v>
      </c>
      <c r="E445" s="1">
        <f>მასალა!D60</f>
        <v>1.6949152542372883</v>
      </c>
      <c r="F445" s="1">
        <f t="shared" si="64"/>
        <v>847.45762711864415</v>
      </c>
      <c r="G445" s="1"/>
      <c r="H445" s="1"/>
      <c r="I445" s="1"/>
      <c r="J445" s="1"/>
      <c r="K445" s="1">
        <f t="shared" si="63"/>
        <v>847.45762711864415</v>
      </c>
      <c r="M445" s="77">
        <f>VLOOKUP(B445,[1]ბიუჯეტი!$B:$K,3,FALSE)</f>
        <v>166.66666666666669</v>
      </c>
      <c r="N445" s="77">
        <f>VLOOKUP($B445,[1]ბიუჯეტი!$B:$K,4,FALSE)</f>
        <v>1.6949152542372883</v>
      </c>
      <c r="O445" s="77">
        <f>VLOOKUP($B445,[1]ბიუჯეტი!$B:$K,5,FALSE)</f>
        <v>282.48587570621476</v>
      </c>
      <c r="P445" s="77">
        <f>VLOOKUP($B445,[1]ბიუჯეტი!$B:$K,6,FALSE)</f>
        <v>0</v>
      </c>
      <c r="Q445" s="77">
        <f>VLOOKUP($B445,[1]ბიუჯეტი!$B:$K,7,FALSE)</f>
        <v>0</v>
      </c>
      <c r="R445" s="77">
        <f>VLOOKUP($B445,[1]ბიუჯეტი!$B:$K,8,FALSE)</f>
        <v>0</v>
      </c>
      <c r="S445" s="77">
        <f>VLOOKUP($B445,[1]ბიუჯეტი!$B:$K,9,FALSE)</f>
        <v>0</v>
      </c>
      <c r="T445" s="77">
        <f>VLOOKUP($B445,[1]ბიუჯეტი!$B:$K,10,FALSE)</f>
        <v>282.48587570621476</v>
      </c>
      <c r="V445" s="78">
        <f t="shared" si="58"/>
        <v>0</v>
      </c>
      <c r="W445" s="78">
        <f t="shared" si="59"/>
        <v>0</v>
      </c>
      <c r="X445" s="78">
        <f t="shared" si="60"/>
        <v>0</v>
      </c>
      <c r="Y445" s="78">
        <f t="shared" si="61"/>
        <v>333.33333333333331</v>
      </c>
    </row>
    <row r="446" spans="1:25" hidden="1" outlineLevel="1" x14ac:dyDescent="0.35">
      <c r="A446" s="51"/>
      <c r="B446" s="3" t="s">
        <v>194</v>
      </c>
      <c r="C446" s="4" t="s">
        <v>40</v>
      </c>
      <c r="D446" s="1">
        <v>300</v>
      </c>
      <c r="E446" s="1">
        <f>მასალა!D59</f>
        <v>6.3559322033898304</v>
      </c>
      <c r="F446" s="1">
        <f t="shared" si="64"/>
        <v>1906.7796610169491</v>
      </c>
      <c r="G446" s="1"/>
      <c r="H446" s="1"/>
      <c r="I446" s="1"/>
      <c r="J446" s="1"/>
      <c r="K446" s="1">
        <f t="shared" si="63"/>
        <v>1906.7796610169491</v>
      </c>
      <c r="M446" s="77">
        <f>VLOOKUP(B446,[1]ბიუჯეტი!$B:$K,3,FALSE)</f>
        <v>100</v>
      </c>
      <c r="N446" s="77">
        <f>VLOOKUP($B446,[1]ბიუჯეტი!$B:$K,4,FALSE)</f>
        <v>6.3559322033898304</v>
      </c>
      <c r="O446" s="77">
        <f>VLOOKUP($B446,[1]ბიუჯეტი!$B:$K,5,FALSE)</f>
        <v>635.59322033898309</v>
      </c>
      <c r="P446" s="77">
        <f>VLOOKUP($B446,[1]ბიუჯეტი!$B:$K,6,FALSE)</f>
        <v>0</v>
      </c>
      <c r="Q446" s="77">
        <f>VLOOKUP($B446,[1]ბიუჯეტი!$B:$K,7,FALSE)</f>
        <v>0</v>
      </c>
      <c r="R446" s="77">
        <f>VLOOKUP($B446,[1]ბიუჯეტი!$B:$K,8,FALSE)</f>
        <v>0</v>
      </c>
      <c r="S446" s="77">
        <f>VLOOKUP($B446,[1]ბიუჯეტი!$B:$K,9,FALSE)</f>
        <v>0</v>
      </c>
      <c r="T446" s="77">
        <f>VLOOKUP($B446,[1]ბიუჯეტი!$B:$K,10,FALSE)</f>
        <v>635.59322033898309</v>
      </c>
      <c r="V446" s="78">
        <f t="shared" si="58"/>
        <v>0</v>
      </c>
      <c r="W446" s="78">
        <f t="shared" si="59"/>
        <v>0</v>
      </c>
      <c r="X446" s="78">
        <f t="shared" si="60"/>
        <v>0</v>
      </c>
      <c r="Y446" s="78">
        <f t="shared" si="61"/>
        <v>200</v>
      </c>
    </row>
    <row r="447" spans="1:25" hidden="1" outlineLevel="1" x14ac:dyDescent="0.35">
      <c r="A447" s="51"/>
      <c r="B447" s="3" t="s">
        <v>391</v>
      </c>
      <c r="C447" s="4" t="s">
        <v>55</v>
      </c>
      <c r="D447" s="1">
        <f>D443</f>
        <v>33</v>
      </c>
      <c r="E447" s="1">
        <f>SUMIFS(მასალა!D3:D426,მასალა!B3:B426,ბიუჯეტი!B447)</f>
        <v>6.7796610169491531</v>
      </c>
      <c r="F447" s="1">
        <f t="shared" si="64"/>
        <v>223.72881355932205</v>
      </c>
      <c r="G447" s="1"/>
      <c r="H447" s="1"/>
      <c r="I447" s="1"/>
      <c r="J447" s="1"/>
      <c r="K447" s="1">
        <f t="shared" si="63"/>
        <v>223.72881355932205</v>
      </c>
      <c r="M447" s="77">
        <f>VLOOKUP(B447,[1]ბიუჯეტი!$B:$K,3,FALSE)</f>
        <v>48</v>
      </c>
      <c r="N447" s="77">
        <f>VLOOKUP($B447,[1]ბიუჯეტი!$B:$K,4,FALSE)</f>
        <v>6.7796610169491531</v>
      </c>
      <c r="O447" s="77">
        <f>VLOOKUP($B447,[1]ბიუჯეტი!$B:$K,5,FALSE)</f>
        <v>325.42372881355936</v>
      </c>
      <c r="P447" s="77">
        <f>VLOOKUP($B447,[1]ბიუჯეტი!$B:$K,6,FALSE)</f>
        <v>0</v>
      </c>
      <c r="Q447" s="77">
        <f>VLOOKUP($B447,[1]ბიუჯეტი!$B:$K,7,FALSE)</f>
        <v>0</v>
      </c>
      <c r="R447" s="77">
        <f>VLOOKUP($B447,[1]ბიუჯეტი!$B:$K,8,FALSE)</f>
        <v>0</v>
      </c>
      <c r="S447" s="77">
        <f>VLOOKUP($B447,[1]ბიუჯეტი!$B:$K,9,FALSE)</f>
        <v>0</v>
      </c>
      <c r="T447" s="77">
        <f>VLOOKUP($B447,[1]ბიუჯეტი!$B:$K,10,FALSE)</f>
        <v>325.42372881355936</v>
      </c>
      <c r="V447" s="78">
        <f t="shared" ref="V447:V493" si="65">E447-N447</f>
        <v>0</v>
      </c>
      <c r="W447" s="78">
        <f t="shared" ref="W447:W493" si="66">G447-P447</f>
        <v>0</v>
      </c>
      <c r="X447" s="78">
        <f t="shared" ref="X447:X493" si="67">I447-R447</f>
        <v>0</v>
      </c>
      <c r="Y447" s="78">
        <f t="shared" ref="Y447:Y493" si="68">D447-M447</f>
        <v>-15</v>
      </c>
    </row>
    <row r="448" spans="1:25" collapsed="1" x14ac:dyDescent="0.35">
      <c r="A448" s="51">
        <v>42</v>
      </c>
      <c r="B448" s="23" t="s">
        <v>141</v>
      </c>
      <c r="C448" s="4" t="s">
        <v>40</v>
      </c>
      <c r="D448" s="1">
        <f>SUM(D449,D452,D455,D458,)</f>
        <v>51</v>
      </c>
      <c r="E448" s="1">
        <f>SUM(K450:K451,K453:K454,K456:K457,K459:K460,)/D448</f>
        <v>8.6440677966101696</v>
      </c>
      <c r="F448" s="1">
        <f t="shared" si="64"/>
        <v>440.84745762711867</v>
      </c>
      <c r="G448" s="1">
        <f>SUM(H449:H460)/D448</f>
        <v>25.5</v>
      </c>
      <c r="H448" s="1">
        <f>G448*D448</f>
        <v>1300.5</v>
      </c>
      <c r="I448" s="1">
        <v>0</v>
      </c>
      <c r="J448" s="1">
        <v>0</v>
      </c>
      <c r="K448" s="1">
        <f t="shared" si="63"/>
        <v>1741.3474576271187</v>
      </c>
      <c r="M448" s="77">
        <f>VLOOKUP(B448,[1]ბიუჯეტი!$B:$K,3,FALSE)</f>
        <v>51</v>
      </c>
      <c r="N448" s="77">
        <f>VLOOKUP($B448,[1]ბიუჯეტი!$B:$K,4,FALSE)</f>
        <v>8.6440677966101696</v>
      </c>
      <c r="O448" s="77">
        <f>VLOOKUP($B448,[1]ბიუჯეტი!$B:$K,5,FALSE)</f>
        <v>440.84745762711867</v>
      </c>
      <c r="P448" s="77">
        <f>VLOOKUP($B448,[1]ბიუჯეტი!$B:$K,6,FALSE)</f>
        <v>25.5</v>
      </c>
      <c r="Q448" s="77">
        <f>VLOOKUP($B448,[1]ბიუჯეტი!$B:$K,7,FALSE)</f>
        <v>1300.5</v>
      </c>
      <c r="R448" s="77">
        <f>VLOOKUP($B448,[1]ბიუჯეტი!$B:$K,8,FALSE)</f>
        <v>0</v>
      </c>
      <c r="S448" s="77">
        <f>VLOOKUP($B448,[1]ბიუჯეტი!$B:$K,9,FALSE)</f>
        <v>0</v>
      </c>
      <c r="T448" s="77">
        <f>VLOOKUP($B448,[1]ბიუჯეტი!$B:$K,10,FALSE)</f>
        <v>1741.3474576271187</v>
      </c>
      <c r="V448" s="78">
        <f t="shared" si="65"/>
        <v>0</v>
      </c>
      <c r="W448" s="78">
        <f t="shared" si="66"/>
        <v>0</v>
      </c>
      <c r="X448" s="78">
        <f t="shared" si="67"/>
        <v>0</v>
      </c>
      <c r="Y448" s="78">
        <f t="shared" si="68"/>
        <v>0</v>
      </c>
    </row>
    <row r="449" spans="1:25" hidden="1" outlineLevel="1" x14ac:dyDescent="0.35">
      <c r="A449" s="51">
        <v>2</v>
      </c>
      <c r="B449" s="23" t="s">
        <v>355</v>
      </c>
      <c r="C449" s="4" t="s">
        <v>40</v>
      </c>
      <c r="D449" s="1">
        <v>0</v>
      </c>
      <c r="E449" s="1"/>
      <c r="F449" s="1">
        <f t="shared" si="64"/>
        <v>0</v>
      </c>
      <c r="G449" s="1">
        <f>ხელფასი!D29</f>
        <v>25.5</v>
      </c>
      <c r="H449" s="1">
        <f>D449*G449</f>
        <v>0</v>
      </c>
      <c r="I449" s="1"/>
      <c r="J449" s="1"/>
      <c r="K449" s="1">
        <f t="shared" si="63"/>
        <v>0</v>
      </c>
      <c r="M449" s="77">
        <f>VLOOKUP(B449,[1]ბიუჯეტი!$B:$K,3,FALSE)</f>
        <v>0</v>
      </c>
      <c r="N449" s="77">
        <f>VLOOKUP($B449,[1]ბიუჯეტი!$B:$K,4,FALSE)</f>
        <v>0</v>
      </c>
      <c r="O449" s="77">
        <f>VLOOKUP($B449,[1]ბიუჯეტი!$B:$K,5,FALSE)</f>
        <v>0</v>
      </c>
      <c r="P449" s="77">
        <f>VLOOKUP($B449,[1]ბიუჯეტი!$B:$K,6,FALSE)</f>
        <v>25.5</v>
      </c>
      <c r="Q449" s="77">
        <f>VLOOKUP($B449,[1]ბიუჯეტი!$B:$K,7,FALSE)</f>
        <v>0</v>
      </c>
      <c r="R449" s="77">
        <f>VLOOKUP($B449,[1]ბიუჯეტი!$B:$K,8,FALSE)</f>
        <v>0</v>
      </c>
      <c r="S449" s="77">
        <f>VLOOKUP($B449,[1]ბიუჯეტი!$B:$K,9,FALSE)</f>
        <v>0</v>
      </c>
      <c r="T449" s="77">
        <f>VLOOKUP($B449,[1]ბიუჯეტი!$B:$K,10,FALSE)</f>
        <v>0</v>
      </c>
      <c r="V449" s="78">
        <f t="shared" si="65"/>
        <v>0</v>
      </c>
      <c r="W449" s="78">
        <f t="shared" si="66"/>
        <v>0</v>
      </c>
      <c r="X449" s="78">
        <f t="shared" si="67"/>
        <v>0</v>
      </c>
      <c r="Y449" s="78">
        <f t="shared" si="68"/>
        <v>0</v>
      </c>
    </row>
    <row r="450" spans="1:25" hidden="1" outlineLevel="1" x14ac:dyDescent="0.35">
      <c r="A450" s="51"/>
      <c r="B450" s="3" t="s">
        <v>142</v>
      </c>
      <c r="C450" s="4" t="s">
        <v>40</v>
      </c>
      <c r="D450" s="1">
        <f>D449</f>
        <v>0</v>
      </c>
      <c r="E450" s="1">
        <f>მასალა!D63</f>
        <v>2.2881355932203391</v>
      </c>
      <c r="F450" s="1">
        <f t="shared" si="64"/>
        <v>0</v>
      </c>
      <c r="G450" s="1"/>
      <c r="H450" s="1"/>
      <c r="I450" s="1"/>
      <c r="J450" s="1"/>
      <c r="K450" s="1">
        <f t="shared" si="63"/>
        <v>0</v>
      </c>
      <c r="M450" s="77">
        <f>VLOOKUP(B450,[1]ბიუჯეტი!$B:$K,3,FALSE)</f>
        <v>0</v>
      </c>
      <c r="N450" s="77">
        <f>VLOOKUP($B450,[1]ბიუჯეტი!$B:$K,4,FALSE)</f>
        <v>2.2881355932203391</v>
      </c>
      <c r="O450" s="77">
        <f>VLOOKUP($B450,[1]ბიუჯეტი!$B:$K,5,FALSE)</f>
        <v>0</v>
      </c>
      <c r="P450" s="77">
        <f>VLOOKUP($B450,[1]ბიუჯეტი!$B:$K,6,FALSE)</f>
        <v>0</v>
      </c>
      <c r="Q450" s="77">
        <f>VLOOKUP($B450,[1]ბიუჯეტი!$B:$K,7,FALSE)</f>
        <v>0</v>
      </c>
      <c r="R450" s="77">
        <f>VLOOKUP($B450,[1]ბიუჯეტი!$B:$K,8,FALSE)</f>
        <v>0</v>
      </c>
      <c r="S450" s="77">
        <f>VLOOKUP($B450,[1]ბიუჯეტი!$B:$K,9,FALSE)</f>
        <v>0</v>
      </c>
      <c r="T450" s="77">
        <f>VLOOKUP($B450,[1]ბიუჯეტი!$B:$K,10,FALSE)</f>
        <v>0</v>
      </c>
      <c r="V450" s="78">
        <f t="shared" si="65"/>
        <v>0</v>
      </c>
      <c r="W450" s="78">
        <f t="shared" si="66"/>
        <v>0</v>
      </c>
      <c r="X450" s="78">
        <f t="shared" si="67"/>
        <v>0</v>
      </c>
      <c r="Y450" s="78">
        <f t="shared" si="68"/>
        <v>0</v>
      </c>
    </row>
    <row r="451" spans="1:25" hidden="1" outlineLevel="1" x14ac:dyDescent="0.35">
      <c r="A451" s="51"/>
      <c r="B451" s="3" t="s">
        <v>392</v>
      </c>
      <c r="C451" s="4" t="s">
        <v>40</v>
      </c>
      <c r="D451" s="1">
        <f>D449</f>
        <v>0</v>
      </c>
      <c r="E451" s="1">
        <f>SUMIFS(მასალა!D7:D430,მასალა!B7:B430,ბიუჯეტი!B451)</f>
        <v>4.2372881355932206</v>
      </c>
      <c r="F451" s="1">
        <f t="shared" si="64"/>
        <v>0</v>
      </c>
      <c r="G451" s="1"/>
      <c r="H451" s="1"/>
      <c r="I451" s="1"/>
      <c r="J451" s="1"/>
      <c r="K451" s="1">
        <f t="shared" si="63"/>
        <v>0</v>
      </c>
      <c r="M451" s="77">
        <f>VLOOKUP(B451,[1]ბიუჯეტი!$B:$K,3,FALSE)</f>
        <v>0</v>
      </c>
      <c r="N451" s="77">
        <f>VLOOKUP($B451,[1]ბიუჯეტი!$B:$K,4,FALSE)</f>
        <v>4.2372881355932206</v>
      </c>
      <c r="O451" s="77">
        <f>VLOOKUP($B451,[1]ბიუჯეტი!$B:$K,5,FALSE)</f>
        <v>0</v>
      </c>
      <c r="P451" s="77">
        <f>VLOOKUP($B451,[1]ბიუჯეტი!$B:$K,6,FALSE)</f>
        <v>0</v>
      </c>
      <c r="Q451" s="77">
        <f>VLOOKUP($B451,[1]ბიუჯეტი!$B:$K,7,FALSE)</f>
        <v>0</v>
      </c>
      <c r="R451" s="77">
        <f>VLOOKUP($B451,[1]ბიუჯეტი!$B:$K,8,FALSE)</f>
        <v>0</v>
      </c>
      <c r="S451" s="77">
        <f>VLOOKUP($B451,[1]ბიუჯეტი!$B:$K,9,FALSE)</f>
        <v>0</v>
      </c>
      <c r="T451" s="77">
        <f>VLOOKUP($B451,[1]ბიუჯეტი!$B:$K,10,FALSE)</f>
        <v>0</v>
      </c>
      <c r="V451" s="78">
        <f t="shared" si="65"/>
        <v>0</v>
      </c>
      <c r="W451" s="78">
        <f t="shared" si="66"/>
        <v>0</v>
      </c>
      <c r="X451" s="78">
        <f t="shared" si="67"/>
        <v>0</v>
      </c>
      <c r="Y451" s="78">
        <f t="shared" si="68"/>
        <v>0</v>
      </c>
    </row>
    <row r="452" spans="1:25" hidden="1" outlineLevel="1" x14ac:dyDescent="0.35">
      <c r="A452" s="51">
        <v>3</v>
      </c>
      <c r="B452" s="23" t="s">
        <v>143</v>
      </c>
      <c r="C452" s="4" t="s">
        <v>40</v>
      </c>
      <c r="D452" s="1">
        <f>4.5*3</f>
        <v>13.5</v>
      </c>
      <c r="E452" s="1"/>
      <c r="F452" s="1">
        <f t="shared" si="64"/>
        <v>0</v>
      </c>
      <c r="G452" s="1">
        <f>ხელფასი!D29</f>
        <v>25.5</v>
      </c>
      <c r="H452" s="1">
        <f>D452*G452</f>
        <v>344.25</v>
      </c>
      <c r="I452" s="1"/>
      <c r="J452" s="1"/>
      <c r="K452" s="1">
        <f t="shared" si="63"/>
        <v>344.25</v>
      </c>
      <c r="M452" s="77">
        <f>VLOOKUP(B452,[1]ბიუჯეტი!$B:$K,3,FALSE)</f>
        <v>13.5</v>
      </c>
      <c r="N452" s="77">
        <f>VLOOKUP($B452,[1]ბიუჯეტი!$B:$K,4,FALSE)</f>
        <v>0</v>
      </c>
      <c r="O452" s="77">
        <f>VLOOKUP($B452,[1]ბიუჯეტი!$B:$K,5,FALSE)</f>
        <v>0</v>
      </c>
      <c r="P452" s="77">
        <f>VLOOKUP($B452,[1]ბიუჯეტი!$B:$K,6,FALSE)</f>
        <v>25.5</v>
      </c>
      <c r="Q452" s="77">
        <f>VLOOKUP($B452,[1]ბიუჯეტი!$B:$K,7,FALSE)</f>
        <v>344.25</v>
      </c>
      <c r="R452" s="77">
        <f>VLOOKUP($B452,[1]ბიუჯეტი!$B:$K,8,FALSE)</f>
        <v>0</v>
      </c>
      <c r="S452" s="77">
        <f>VLOOKUP($B452,[1]ბიუჯეტი!$B:$K,9,FALSE)</f>
        <v>0</v>
      </c>
      <c r="T452" s="77">
        <f>VLOOKUP($B452,[1]ბიუჯეტი!$B:$K,10,FALSE)</f>
        <v>344.25</v>
      </c>
      <c r="V452" s="78">
        <f t="shared" si="65"/>
        <v>0</v>
      </c>
      <c r="W452" s="78">
        <f t="shared" si="66"/>
        <v>0</v>
      </c>
      <c r="X452" s="78">
        <f t="shared" si="67"/>
        <v>0</v>
      </c>
      <c r="Y452" s="78">
        <f t="shared" si="68"/>
        <v>0</v>
      </c>
    </row>
    <row r="453" spans="1:25" hidden="1" outlineLevel="1" x14ac:dyDescent="0.35">
      <c r="A453" s="51"/>
      <c r="B453" s="3" t="s">
        <v>142</v>
      </c>
      <c r="C453" s="4" t="s">
        <v>40</v>
      </c>
      <c r="D453" s="1">
        <f>D452</f>
        <v>13.5</v>
      </c>
      <c r="E453" s="1">
        <f>მასალა!D64</f>
        <v>4.4067796610169498</v>
      </c>
      <c r="F453" s="1">
        <f t="shared" si="64"/>
        <v>59.491525423728824</v>
      </c>
      <c r="G453" s="1"/>
      <c r="H453" s="1"/>
      <c r="I453" s="1"/>
      <c r="J453" s="1"/>
      <c r="K453" s="1">
        <f t="shared" si="63"/>
        <v>59.491525423728824</v>
      </c>
      <c r="M453" s="77">
        <f>VLOOKUP(B453,[1]ბიუჯეტი!$B:$K,3,FALSE)</f>
        <v>0</v>
      </c>
      <c r="N453" s="77">
        <f>VLOOKUP($B453,[1]ბიუჯეტი!$B:$K,4,FALSE)</f>
        <v>2.2881355932203391</v>
      </c>
      <c r="O453" s="77">
        <f>VLOOKUP($B453,[1]ბიუჯეტი!$B:$K,5,FALSE)</f>
        <v>0</v>
      </c>
      <c r="P453" s="77">
        <f>VLOOKUP($B453,[1]ბიუჯეტი!$B:$K,6,FALSE)</f>
        <v>0</v>
      </c>
      <c r="Q453" s="77">
        <f>VLOOKUP($B453,[1]ბიუჯეტი!$B:$K,7,FALSE)</f>
        <v>0</v>
      </c>
      <c r="R453" s="77">
        <f>VLOOKUP($B453,[1]ბიუჯეტი!$B:$K,8,FALSE)</f>
        <v>0</v>
      </c>
      <c r="S453" s="77">
        <f>VLOOKUP($B453,[1]ბიუჯეტი!$B:$K,9,FALSE)</f>
        <v>0</v>
      </c>
      <c r="T453" s="77">
        <f>VLOOKUP($B453,[1]ბიუჯეტი!$B:$K,10,FALSE)</f>
        <v>0</v>
      </c>
      <c r="V453" s="78">
        <f t="shared" si="65"/>
        <v>2.1186440677966107</v>
      </c>
      <c r="W453" s="78">
        <f t="shared" si="66"/>
        <v>0</v>
      </c>
      <c r="X453" s="78">
        <f t="shared" si="67"/>
        <v>0</v>
      </c>
      <c r="Y453" s="78">
        <f t="shared" si="68"/>
        <v>13.5</v>
      </c>
    </row>
    <row r="454" spans="1:25" hidden="1" outlineLevel="1" x14ac:dyDescent="0.35">
      <c r="A454" s="51"/>
      <c r="B454" s="3" t="s">
        <v>392</v>
      </c>
      <c r="C454" s="4" t="s">
        <v>40</v>
      </c>
      <c r="D454" s="1">
        <f>D452</f>
        <v>13.5</v>
      </c>
      <c r="E454" s="1">
        <f>SUMIFS(მასალა!D10:D433,მასალა!B10:B433,ბიუჯეტი!B454)</f>
        <v>4.2372881355932206</v>
      </c>
      <c r="F454" s="1">
        <f t="shared" si="64"/>
        <v>57.203389830508478</v>
      </c>
      <c r="G454" s="1"/>
      <c r="H454" s="1"/>
      <c r="I454" s="1"/>
      <c r="J454" s="1"/>
      <c r="K454" s="1">
        <f t="shared" si="63"/>
        <v>57.203389830508478</v>
      </c>
      <c r="M454" s="77">
        <f>VLOOKUP(B454,[1]ბიუჯეტი!$B:$K,3,FALSE)</f>
        <v>0</v>
      </c>
      <c r="N454" s="77">
        <f>VLOOKUP($B454,[1]ბიუჯეტი!$B:$K,4,FALSE)</f>
        <v>4.2372881355932206</v>
      </c>
      <c r="O454" s="77">
        <f>VLOOKUP($B454,[1]ბიუჯეტი!$B:$K,5,FALSE)</f>
        <v>0</v>
      </c>
      <c r="P454" s="77">
        <f>VLOOKUP($B454,[1]ბიუჯეტი!$B:$K,6,FALSE)</f>
        <v>0</v>
      </c>
      <c r="Q454" s="77">
        <f>VLOOKUP($B454,[1]ბიუჯეტი!$B:$K,7,FALSE)</f>
        <v>0</v>
      </c>
      <c r="R454" s="77">
        <f>VLOOKUP($B454,[1]ბიუჯეტი!$B:$K,8,FALSE)</f>
        <v>0</v>
      </c>
      <c r="S454" s="77">
        <f>VLOOKUP($B454,[1]ბიუჯეტი!$B:$K,9,FALSE)</f>
        <v>0</v>
      </c>
      <c r="T454" s="77">
        <f>VLOOKUP($B454,[1]ბიუჯეტი!$B:$K,10,FALSE)</f>
        <v>0</v>
      </c>
      <c r="V454" s="78">
        <f t="shared" si="65"/>
        <v>0</v>
      </c>
      <c r="W454" s="78">
        <f t="shared" si="66"/>
        <v>0</v>
      </c>
      <c r="X454" s="78">
        <f t="shared" si="67"/>
        <v>0</v>
      </c>
      <c r="Y454" s="78">
        <f t="shared" si="68"/>
        <v>13.5</v>
      </c>
    </row>
    <row r="455" spans="1:25" hidden="1" outlineLevel="1" x14ac:dyDescent="0.35">
      <c r="A455" s="51">
        <v>4</v>
      </c>
      <c r="B455" s="23" t="s">
        <v>422</v>
      </c>
      <c r="C455" s="4" t="s">
        <v>40</v>
      </c>
      <c r="D455" s="1">
        <f>4.5*3</f>
        <v>13.5</v>
      </c>
      <c r="E455" s="1"/>
      <c r="F455" s="1">
        <f t="shared" si="64"/>
        <v>0</v>
      </c>
      <c r="G455" s="1">
        <f>ხელფასი!D29</f>
        <v>25.5</v>
      </c>
      <c r="H455" s="1">
        <f>D455*G455</f>
        <v>344.25</v>
      </c>
      <c r="I455" s="1"/>
      <c r="J455" s="1"/>
      <c r="K455" s="1">
        <f t="shared" si="63"/>
        <v>344.25</v>
      </c>
      <c r="M455" s="77">
        <f>VLOOKUP(B455,[1]ბიუჯეტი!$B:$K,3,FALSE)</f>
        <v>13.5</v>
      </c>
      <c r="N455" s="77">
        <f>VLOOKUP($B455,[1]ბიუჯეტი!$B:$K,4,FALSE)</f>
        <v>0</v>
      </c>
      <c r="O455" s="77">
        <f>VLOOKUP($B455,[1]ბიუჯეტი!$B:$K,5,FALSE)</f>
        <v>0</v>
      </c>
      <c r="P455" s="77">
        <f>VLOOKUP($B455,[1]ბიუჯეტი!$B:$K,6,FALSE)</f>
        <v>25.5</v>
      </c>
      <c r="Q455" s="77">
        <f>VLOOKUP($B455,[1]ბიუჯეტი!$B:$K,7,FALSE)</f>
        <v>344.25</v>
      </c>
      <c r="R455" s="77">
        <f>VLOOKUP($B455,[1]ბიუჯეტი!$B:$K,8,FALSE)</f>
        <v>0</v>
      </c>
      <c r="S455" s="77">
        <f>VLOOKUP($B455,[1]ბიუჯეტი!$B:$K,9,FALSE)</f>
        <v>0</v>
      </c>
      <c r="T455" s="77">
        <f>VLOOKUP($B455,[1]ბიუჯეტი!$B:$K,10,FALSE)</f>
        <v>344.25</v>
      </c>
      <c r="V455" s="78">
        <f t="shared" si="65"/>
        <v>0</v>
      </c>
      <c r="W455" s="78">
        <f t="shared" si="66"/>
        <v>0</v>
      </c>
      <c r="X455" s="78">
        <f t="shared" si="67"/>
        <v>0</v>
      </c>
      <c r="Y455" s="78">
        <f t="shared" si="68"/>
        <v>0</v>
      </c>
    </row>
    <row r="456" spans="1:25" hidden="1" outlineLevel="1" x14ac:dyDescent="0.35">
      <c r="A456" s="51"/>
      <c r="B456" s="3" t="s">
        <v>142</v>
      </c>
      <c r="C456" s="4" t="s">
        <v>40</v>
      </c>
      <c r="D456" s="1">
        <f>D455</f>
        <v>13.5</v>
      </c>
      <c r="E456" s="1">
        <f>მასალა!D64</f>
        <v>4.4067796610169498</v>
      </c>
      <c r="F456" s="1">
        <f t="shared" si="64"/>
        <v>59.491525423728824</v>
      </c>
      <c r="G456" s="1"/>
      <c r="H456" s="1"/>
      <c r="I456" s="1"/>
      <c r="J456" s="1"/>
      <c r="K456" s="1">
        <f t="shared" si="63"/>
        <v>59.491525423728824</v>
      </c>
      <c r="M456" s="77">
        <f>VLOOKUP(B456,[1]ბიუჯეტი!$B:$K,3,FALSE)</f>
        <v>0</v>
      </c>
      <c r="N456" s="77">
        <f>VLOOKUP($B456,[1]ბიუჯეტი!$B:$K,4,FALSE)</f>
        <v>2.2881355932203391</v>
      </c>
      <c r="O456" s="77">
        <f>VLOOKUP($B456,[1]ბიუჯეტი!$B:$K,5,FALSE)</f>
        <v>0</v>
      </c>
      <c r="P456" s="77">
        <f>VLOOKUP($B456,[1]ბიუჯეტი!$B:$K,6,FALSE)</f>
        <v>0</v>
      </c>
      <c r="Q456" s="77">
        <f>VLOOKUP($B456,[1]ბიუჯეტი!$B:$K,7,FALSE)</f>
        <v>0</v>
      </c>
      <c r="R456" s="77">
        <f>VLOOKUP($B456,[1]ბიუჯეტი!$B:$K,8,FALSE)</f>
        <v>0</v>
      </c>
      <c r="S456" s="77">
        <f>VLOOKUP($B456,[1]ბიუჯეტი!$B:$K,9,FALSE)</f>
        <v>0</v>
      </c>
      <c r="T456" s="77">
        <f>VLOOKUP($B456,[1]ბიუჯეტი!$B:$K,10,FALSE)</f>
        <v>0</v>
      </c>
      <c r="V456" s="78">
        <f t="shared" si="65"/>
        <v>2.1186440677966107</v>
      </c>
      <c r="W456" s="78">
        <f t="shared" si="66"/>
        <v>0</v>
      </c>
      <c r="X456" s="78">
        <f t="shared" si="67"/>
        <v>0</v>
      </c>
      <c r="Y456" s="78">
        <f t="shared" si="68"/>
        <v>13.5</v>
      </c>
    </row>
    <row r="457" spans="1:25" hidden="1" outlineLevel="1" x14ac:dyDescent="0.35">
      <c r="A457" s="51"/>
      <c r="B457" s="3" t="s">
        <v>392</v>
      </c>
      <c r="C457" s="4" t="s">
        <v>40</v>
      </c>
      <c r="D457" s="1">
        <f>D455</f>
        <v>13.5</v>
      </c>
      <c r="E457" s="1">
        <f>SUMIFS(მასალა!D12:D436,მასალა!B12:B436,ბიუჯეტი!B457)</f>
        <v>4.2372881355932206</v>
      </c>
      <c r="F457" s="1">
        <f t="shared" si="64"/>
        <v>57.203389830508478</v>
      </c>
      <c r="G457" s="1"/>
      <c r="H457" s="1"/>
      <c r="I457" s="1"/>
      <c r="J457" s="1"/>
      <c r="K457" s="1">
        <f t="shared" si="63"/>
        <v>57.203389830508478</v>
      </c>
      <c r="M457" s="77">
        <f>VLOOKUP(B457,[1]ბიუჯეტი!$B:$K,3,FALSE)</f>
        <v>0</v>
      </c>
      <c r="N457" s="77">
        <f>VLOOKUP($B457,[1]ბიუჯეტი!$B:$K,4,FALSE)</f>
        <v>4.2372881355932206</v>
      </c>
      <c r="O457" s="77">
        <f>VLOOKUP($B457,[1]ბიუჯეტი!$B:$K,5,FALSE)</f>
        <v>0</v>
      </c>
      <c r="P457" s="77">
        <f>VLOOKUP($B457,[1]ბიუჯეტი!$B:$K,6,FALSE)</f>
        <v>0</v>
      </c>
      <c r="Q457" s="77">
        <f>VLOOKUP($B457,[1]ბიუჯეტი!$B:$K,7,FALSE)</f>
        <v>0</v>
      </c>
      <c r="R457" s="77">
        <f>VLOOKUP($B457,[1]ბიუჯეტი!$B:$K,8,FALSE)</f>
        <v>0</v>
      </c>
      <c r="S457" s="77">
        <f>VLOOKUP($B457,[1]ბიუჯეტი!$B:$K,9,FALSE)</f>
        <v>0</v>
      </c>
      <c r="T457" s="77">
        <f>VLOOKUP($B457,[1]ბიუჯეტი!$B:$K,10,FALSE)</f>
        <v>0</v>
      </c>
      <c r="V457" s="78">
        <f t="shared" si="65"/>
        <v>0</v>
      </c>
      <c r="W457" s="78">
        <f t="shared" si="66"/>
        <v>0</v>
      </c>
      <c r="X457" s="78">
        <f t="shared" si="67"/>
        <v>0</v>
      </c>
      <c r="Y457" s="78">
        <f t="shared" si="68"/>
        <v>13.5</v>
      </c>
    </row>
    <row r="458" spans="1:25" hidden="1" outlineLevel="1" x14ac:dyDescent="0.35">
      <c r="A458" s="51">
        <v>9</v>
      </c>
      <c r="B458" s="23" t="s">
        <v>423</v>
      </c>
      <c r="C458" s="4" t="s">
        <v>40</v>
      </c>
      <c r="D458" s="1">
        <f>8*3</f>
        <v>24</v>
      </c>
      <c r="E458" s="1"/>
      <c r="F458" s="1">
        <f t="shared" si="64"/>
        <v>0</v>
      </c>
      <c r="G458" s="1">
        <f>ხელფასი!D29</f>
        <v>25.5</v>
      </c>
      <c r="H458" s="1">
        <f>D458*G458</f>
        <v>612</v>
      </c>
      <c r="I458" s="1"/>
      <c r="J458" s="1"/>
      <c r="K458" s="1">
        <f t="shared" si="63"/>
        <v>612</v>
      </c>
      <c r="M458" s="77">
        <f>VLOOKUP(B458,[1]ბიუჯეტი!$B:$K,3,FALSE)</f>
        <v>24</v>
      </c>
      <c r="N458" s="77">
        <f>VLOOKUP($B458,[1]ბიუჯეტი!$B:$K,4,FALSE)</f>
        <v>0</v>
      </c>
      <c r="O458" s="77">
        <f>VLOOKUP($B458,[1]ბიუჯეტი!$B:$K,5,FALSE)</f>
        <v>0</v>
      </c>
      <c r="P458" s="77">
        <f>VLOOKUP($B458,[1]ბიუჯეტი!$B:$K,6,FALSE)</f>
        <v>25.5</v>
      </c>
      <c r="Q458" s="77">
        <f>VLOOKUP($B458,[1]ბიუჯეტი!$B:$K,7,FALSE)</f>
        <v>612</v>
      </c>
      <c r="R458" s="77">
        <f>VLOOKUP($B458,[1]ბიუჯეტი!$B:$K,8,FALSE)</f>
        <v>0</v>
      </c>
      <c r="S458" s="77">
        <f>VLOOKUP($B458,[1]ბიუჯეტი!$B:$K,9,FALSE)</f>
        <v>0</v>
      </c>
      <c r="T458" s="77">
        <f>VLOOKUP($B458,[1]ბიუჯეტი!$B:$K,10,FALSE)</f>
        <v>612</v>
      </c>
      <c r="V458" s="78">
        <f t="shared" si="65"/>
        <v>0</v>
      </c>
      <c r="W458" s="78">
        <f t="shared" si="66"/>
        <v>0</v>
      </c>
      <c r="X458" s="78">
        <f t="shared" si="67"/>
        <v>0</v>
      </c>
      <c r="Y458" s="78">
        <f t="shared" si="68"/>
        <v>0</v>
      </c>
    </row>
    <row r="459" spans="1:25" hidden="1" outlineLevel="1" x14ac:dyDescent="0.35">
      <c r="A459" s="51"/>
      <c r="B459" s="3" t="s">
        <v>142</v>
      </c>
      <c r="C459" s="4" t="s">
        <v>40</v>
      </c>
      <c r="D459" s="1">
        <f>D458</f>
        <v>24</v>
      </c>
      <c r="E459" s="1">
        <f>მასალა!D64</f>
        <v>4.4067796610169498</v>
      </c>
      <c r="F459" s="1">
        <f t="shared" si="64"/>
        <v>105.7627118644068</v>
      </c>
      <c r="G459" s="1"/>
      <c r="H459" s="1"/>
      <c r="I459" s="1"/>
      <c r="J459" s="1"/>
      <c r="K459" s="1">
        <f t="shared" si="63"/>
        <v>105.7627118644068</v>
      </c>
      <c r="M459" s="77">
        <f>VLOOKUP(B459,[1]ბიუჯეტი!$B:$K,3,FALSE)</f>
        <v>0</v>
      </c>
      <c r="N459" s="77">
        <f>VLOOKUP($B459,[1]ბიუჯეტი!$B:$K,4,FALSE)</f>
        <v>2.2881355932203391</v>
      </c>
      <c r="O459" s="77">
        <f>VLOOKUP($B459,[1]ბიუჯეტი!$B:$K,5,FALSE)</f>
        <v>0</v>
      </c>
      <c r="P459" s="77">
        <f>VLOOKUP($B459,[1]ბიუჯეტი!$B:$K,6,FALSE)</f>
        <v>0</v>
      </c>
      <c r="Q459" s="77">
        <f>VLOOKUP($B459,[1]ბიუჯეტი!$B:$K,7,FALSE)</f>
        <v>0</v>
      </c>
      <c r="R459" s="77">
        <f>VLOOKUP($B459,[1]ბიუჯეტი!$B:$K,8,FALSE)</f>
        <v>0</v>
      </c>
      <c r="S459" s="77">
        <f>VLOOKUP($B459,[1]ბიუჯეტი!$B:$K,9,FALSE)</f>
        <v>0</v>
      </c>
      <c r="T459" s="77">
        <f>VLOOKUP($B459,[1]ბიუჯეტი!$B:$K,10,FALSE)</f>
        <v>0</v>
      </c>
      <c r="V459" s="78">
        <f t="shared" si="65"/>
        <v>2.1186440677966107</v>
      </c>
      <c r="W459" s="78">
        <f t="shared" si="66"/>
        <v>0</v>
      </c>
      <c r="X459" s="78">
        <f t="shared" si="67"/>
        <v>0</v>
      </c>
      <c r="Y459" s="78">
        <f t="shared" si="68"/>
        <v>24</v>
      </c>
    </row>
    <row r="460" spans="1:25" hidden="1" outlineLevel="1" x14ac:dyDescent="0.35">
      <c r="A460" s="51"/>
      <c r="B460" s="3" t="s">
        <v>392</v>
      </c>
      <c r="C460" s="4" t="s">
        <v>40</v>
      </c>
      <c r="D460" s="1">
        <f>D458</f>
        <v>24</v>
      </c>
      <c r="E460" s="1">
        <f>SUMIFS(მასალა!D15:D439,მასალა!B15:B439,ბიუჯეტი!B460)</f>
        <v>4.2372881355932206</v>
      </c>
      <c r="F460" s="1">
        <f t="shared" si="64"/>
        <v>101.69491525423729</v>
      </c>
      <c r="G460" s="1"/>
      <c r="H460" s="1"/>
      <c r="I460" s="1"/>
      <c r="J460" s="1"/>
      <c r="K460" s="1">
        <f t="shared" si="63"/>
        <v>101.69491525423729</v>
      </c>
      <c r="M460" s="77">
        <f>VLOOKUP(B460,[1]ბიუჯეტი!$B:$K,3,FALSE)</f>
        <v>0</v>
      </c>
      <c r="N460" s="77">
        <f>VLOOKUP($B460,[1]ბიუჯეტი!$B:$K,4,FALSE)</f>
        <v>4.2372881355932206</v>
      </c>
      <c r="O460" s="77">
        <f>VLOOKUP($B460,[1]ბიუჯეტი!$B:$K,5,FALSE)</f>
        <v>0</v>
      </c>
      <c r="P460" s="77">
        <f>VLOOKUP($B460,[1]ბიუჯეტი!$B:$K,6,FALSE)</f>
        <v>0</v>
      </c>
      <c r="Q460" s="77">
        <f>VLOOKUP($B460,[1]ბიუჯეტი!$B:$K,7,FALSE)</f>
        <v>0</v>
      </c>
      <c r="R460" s="77">
        <f>VLOOKUP($B460,[1]ბიუჯეტი!$B:$K,8,FALSE)</f>
        <v>0</v>
      </c>
      <c r="S460" s="77">
        <f>VLOOKUP($B460,[1]ბიუჯეტი!$B:$K,9,FALSE)</f>
        <v>0</v>
      </c>
      <c r="T460" s="77">
        <f>VLOOKUP($B460,[1]ბიუჯეტი!$B:$K,10,FALSE)</f>
        <v>0</v>
      </c>
      <c r="V460" s="78">
        <f t="shared" si="65"/>
        <v>0</v>
      </c>
      <c r="W460" s="78">
        <f t="shared" si="66"/>
        <v>0</v>
      </c>
      <c r="X460" s="78">
        <f t="shared" si="67"/>
        <v>0</v>
      </c>
      <c r="Y460" s="78">
        <f t="shared" si="68"/>
        <v>24</v>
      </c>
    </row>
    <row r="461" spans="1:25" collapsed="1" x14ac:dyDescent="0.35">
      <c r="A461" s="63">
        <v>43</v>
      </c>
      <c r="B461" s="64" t="s">
        <v>343</v>
      </c>
      <c r="C461" s="65" t="s">
        <v>40</v>
      </c>
      <c r="D461" s="66">
        <f>D462</f>
        <v>42</v>
      </c>
      <c r="E461" s="66">
        <v>0</v>
      </c>
      <c r="F461" s="66">
        <f>D461*E461</f>
        <v>0</v>
      </c>
      <c r="G461" s="1">
        <f>ხელფასი!D39</f>
        <v>63.749999999999993</v>
      </c>
      <c r="H461" s="66">
        <f>G461*D461</f>
        <v>2677.4999999999995</v>
      </c>
      <c r="I461" s="66">
        <v>0</v>
      </c>
      <c r="J461" s="66">
        <v>0</v>
      </c>
      <c r="K461" s="1">
        <f t="shared" si="63"/>
        <v>2677.4999999999995</v>
      </c>
      <c r="M461" s="77">
        <f>VLOOKUP(B461,[1]ბიუჯეტი!$B:$K,3,FALSE)</f>
        <v>0</v>
      </c>
      <c r="N461" s="77">
        <f>VLOOKUP($B461,[1]ბიუჯეტი!$B:$K,4,FALSE)</f>
        <v>0</v>
      </c>
      <c r="O461" s="77">
        <f>VLOOKUP($B461,[1]ბიუჯეტი!$B:$K,5,FALSE)</f>
        <v>0</v>
      </c>
      <c r="P461" s="77">
        <f>VLOOKUP($B461,[1]ბიუჯეტი!$B:$K,6,FALSE)</f>
        <v>63.749999999999993</v>
      </c>
      <c r="Q461" s="77">
        <f>VLOOKUP($B461,[1]ბიუჯეტი!$B:$K,7,FALSE)</f>
        <v>0</v>
      </c>
      <c r="R461" s="77">
        <f>VLOOKUP($B461,[1]ბიუჯეტი!$B:$K,8,FALSE)</f>
        <v>0</v>
      </c>
      <c r="S461" s="77">
        <f>VLOOKUP($B461,[1]ბიუჯეტი!$B:$K,9,FALSE)</f>
        <v>0</v>
      </c>
      <c r="T461" s="77">
        <f>VLOOKUP($B461,[1]ბიუჯეტი!$B:$K,10,FALSE)</f>
        <v>0</v>
      </c>
      <c r="V461" s="78">
        <f t="shared" si="65"/>
        <v>0</v>
      </c>
      <c r="W461" s="78">
        <f t="shared" si="66"/>
        <v>0</v>
      </c>
      <c r="X461" s="78">
        <f t="shared" si="67"/>
        <v>0</v>
      </c>
      <c r="Y461" s="78">
        <f t="shared" si="68"/>
        <v>42</v>
      </c>
    </row>
    <row r="462" spans="1:25" hidden="1" outlineLevel="1" x14ac:dyDescent="0.35">
      <c r="A462" s="51">
        <v>1</v>
      </c>
      <c r="B462" s="64" t="s">
        <v>343</v>
      </c>
      <c r="C462" s="65" t="s">
        <v>40</v>
      </c>
      <c r="D462" s="1">
        <f>7*6</f>
        <v>42</v>
      </c>
      <c r="E462" s="1"/>
      <c r="F462" s="1">
        <f>D462*E462</f>
        <v>0</v>
      </c>
      <c r="G462" s="1">
        <f>ხელფასი!D39</f>
        <v>63.749999999999993</v>
      </c>
      <c r="H462" s="1">
        <f>D462*G462</f>
        <v>2677.4999999999995</v>
      </c>
      <c r="I462" s="1"/>
      <c r="J462" s="1"/>
      <c r="K462" s="1">
        <f t="shared" si="63"/>
        <v>2677.4999999999995</v>
      </c>
      <c r="M462" s="77">
        <f>VLOOKUP(B462,[1]ბიუჯეტი!$B:$K,3,FALSE)</f>
        <v>0</v>
      </c>
      <c r="N462" s="77">
        <f>VLOOKUP($B462,[1]ბიუჯეტი!$B:$K,4,FALSE)</f>
        <v>0</v>
      </c>
      <c r="O462" s="77">
        <f>VLOOKUP($B462,[1]ბიუჯეტი!$B:$K,5,FALSE)</f>
        <v>0</v>
      </c>
      <c r="P462" s="77">
        <f>VLOOKUP($B462,[1]ბიუჯეტი!$B:$K,6,FALSE)</f>
        <v>63.749999999999993</v>
      </c>
      <c r="Q462" s="77">
        <f>VLOOKUP($B462,[1]ბიუჯეტი!$B:$K,7,FALSE)</f>
        <v>0</v>
      </c>
      <c r="R462" s="77">
        <f>VLOOKUP($B462,[1]ბიუჯეტი!$B:$K,8,FALSE)</f>
        <v>0</v>
      </c>
      <c r="S462" s="77">
        <f>VLOOKUP($B462,[1]ბიუჯეტი!$B:$K,9,FALSE)</f>
        <v>0</v>
      </c>
      <c r="T462" s="77">
        <f>VLOOKUP($B462,[1]ბიუჯეტი!$B:$K,10,FALSE)</f>
        <v>0</v>
      </c>
      <c r="V462" s="78">
        <f t="shared" si="65"/>
        <v>0</v>
      </c>
      <c r="W462" s="78">
        <f t="shared" si="66"/>
        <v>0</v>
      </c>
      <c r="X462" s="78">
        <f t="shared" si="67"/>
        <v>0</v>
      </c>
      <c r="Y462" s="78">
        <f t="shared" si="68"/>
        <v>42</v>
      </c>
    </row>
    <row r="463" spans="1:25" hidden="1" outlineLevel="1" x14ac:dyDescent="0.35">
      <c r="A463" s="51"/>
      <c r="B463" s="3" t="s">
        <v>344</v>
      </c>
      <c r="C463" s="4" t="s">
        <v>49</v>
      </c>
      <c r="D463" s="1">
        <f>D462</f>
        <v>42</v>
      </c>
      <c r="E463" s="1">
        <f>მასალა!D90</f>
        <v>50.847457627118644</v>
      </c>
      <c r="F463" s="1">
        <f>D463*E463</f>
        <v>2135.593220338983</v>
      </c>
      <c r="G463" s="1"/>
      <c r="H463" s="1"/>
      <c r="I463" s="1"/>
      <c r="J463" s="1"/>
      <c r="K463" s="1">
        <f t="shared" si="63"/>
        <v>2135.593220338983</v>
      </c>
      <c r="M463" s="77">
        <f>VLOOKUP(B463,[1]ბიუჯეტი!$B:$K,3,FALSE)</f>
        <v>0</v>
      </c>
      <c r="N463" s="77">
        <f>VLOOKUP($B463,[1]ბიუჯეტი!$B:$K,4,FALSE)</f>
        <v>50.847457627118644</v>
      </c>
      <c r="O463" s="77">
        <f>VLOOKUP($B463,[1]ბიუჯეტი!$B:$K,5,FALSE)</f>
        <v>0</v>
      </c>
      <c r="P463" s="77">
        <f>VLOOKUP($B463,[1]ბიუჯეტი!$B:$K,6,FALSE)</f>
        <v>0</v>
      </c>
      <c r="Q463" s="77">
        <f>VLOOKUP($B463,[1]ბიუჯეტი!$B:$K,7,FALSE)</f>
        <v>0</v>
      </c>
      <c r="R463" s="77">
        <f>VLOOKUP($B463,[1]ბიუჯეტი!$B:$K,8,FALSE)</f>
        <v>0</v>
      </c>
      <c r="S463" s="77">
        <f>VLOOKUP($B463,[1]ბიუჯეტი!$B:$K,9,FALSE)</f>
        <v>0</v>
      </c>
      <c r="T463" s="77">
        <f>VLOOKUP($B463,[1]ბიუჯეტი!$B:$K,10,FALSE)</f>
        <v>0</v>
      </c>
      <c r="V463" s="78">
        <f t="shared" si="65"/>
        <v>0</v>
      </c>
      <c r="W463" s="78">
        <f t="shared" si="66"/>
        <v>0</v>
      </c>
      <c r="X463" s="78">
        <f t="shared" si="67"/>
        <v>0</v>
      </c>
      <c r="Y463" s="78">
        <f t="shared" si="68"/>
        <v>42</v>
      </c>
    </row>
    <row r="464" spans="1:25" hidden="1" outlineLevel="1" x14ac:dyDescent="0.35">
      <c r="A464" s="51"/>
      <c r="B464" s="3" t="s">
        <v>345</v>
      </c>
      <c r="C464" s="4" t="s">
        <v>9</v>
      </c>
      <c r="D464" s="1">
        <f>D462*0.4*0.2</f>
        <v>3.3600000000000003</v>
      </c>
      <c r="E464" s="1">
        <f>მასალა!D6</f>
        <v>219.49152542372883</v>
      </c>
      <c r="F464" s="1">
        <f>D464*E464</f>
        <v>737.49152542372894</v>
      </c>
      <c r="G464" s="1"/>
      <c r="H464" s="1"/>
      <c r="I464" s="1"/>
      <c r="J464" s="1"/>
      <c r="K464" s="1">
        <f t="shared" si="63"/>
        <v>737.49152542372894</v>
      </c>
      <c r="M464" s="77">
        <f>VLOOKUP(B464,[1]ბიუჯეტი!$B:$K,3,FALSE)</f>
        <v>0</v>
      </c>
      <c r="N464" s="77">
        <f>VLOOKUP($B464,[1]ბიუჯეტი!$B:$K,4,FALSE)</f>
        <v>219.49152542372883</v>
      </c>
      <c r="O464" s="77">
        <f>VLOOKUP($B464,[1]ბიუჯეტი!$B:$K,5,FALSE)</f>
        <v>0</v>
      </c>
      <c r="P464" s="77">
        <f>VLOOKUP($B464,[1]ბიუჯეტი!$B:$K,6,FALSE)</f>
        <v>0</v>
      </c>
      <c r="Q464" s="77">
        <f>VLOOKUP($B464,[1]ბიუჯეტი!$B:$K,7,FALSE)</f>
        <v>0</v>
      </c>
      <c r="R464" s="77">
        <f>VLOOKUP($B464,[1]ბიუჯეტი!$B:$K,8,FALSE)</f>
        <v>0</v>
      </c>
      <c r="S464" s="77">
        <f>VLOOKUP($B464,[1]ბიუჯეტი!$B:$K,9,FALSE)</f>
        <v>0</v>
      </c>
      <c r="T464" s="77">
        <f>VLOOKUP($B464,[1]ბიუჯეტი!$B:$K,10,FALSE)</f>
        <v>0</v>
      </c>
      <c r="V464" s="78">
        <f t="shared" si="65"/>
        <v>0</v>
      </c>
      <c r="W464" s="78">
        <f t="shared" si="66"/>
        <v>0</v>
      </c>
      <c r="X464" s="78">
        <f t="shared" si="67"/>
        <v>0</v>
      </c>
      <c r="Y464" s="78">
        <f t="shared" si="68"/>
        <v>3.3600000000000003</v>
      </c>
    </row>
    <row r="465" spans="1:25" hidden="1" outlineLevel="1" x14ac:dyDescent="0.35">
      <c r="A465" s="51"/>
      <c r="B465" s="3" t="s">
        <v>14</v>
      </c>
      <c r="C465" s="4" t="s">
        <v>49</v>
      </c>
      <c r="D465" s="1">
        <f>D462</f>
        <v>42</v>
      </c>
      <c r="E465" s="1">
        <f>მასალა!D111</f>
        <v>4.2372881355932206</v>
      </c>
      <c r="F465" s="1">
        <f>D465*E465</f>
        <v>177.96610169491527</v>
      </c>
      <c r="G465" s="1"/>
      <c r="H465" s="1"/>
      <c r="I465" s="1"/>
      <c r="J465" s="1"/>
      <c r="K465" s="1">
        <f t="shared" si="63"/>
        <v>177.96610169491527</v>
      </c>
      <c r="M465" s="77">
        <f>VLOOKUP(B465,[1]ბიუჯეტი!$B:$K,3,FALSE)</f>
        <v>0</v>
      </c>
      <c r="N465" s="77">
        <f>VLOOKUP($B465,[1]ბიუჯეტი!$B:$K,4,FALSE)</f>
        <v>4.2372881355932206</v>
      </c>
      <c r="O465" s="77">
        <f>VLOOKUP($B465,[1]ბიუჯეტი!$B:$K,5,FALSE)</f>
        <v>0</v>
      </c>
      <c r="P465" s="77">
        <f>VLOOKUP($B465,[1]ბიუჯეტი!$B:$K,6,FALSE)</f>
        <v>0</v>
      </c>
      <c r="Q465" s="77">
        <f>VLOOKUP($B465,[1]ბიუჯეტი!$B:$K,7,FALSE)</f>
        <v>0</v>
      </c>
      <c r="R465" s="77">
        <f>VLOOKUP($B465,[1]ბიუჯეტი!$B:$K,8,FALSE)</f>
        <v>0</v>
      </c>
      <c r="S465" s="77">
        <f>VLOOKUP($B465,[1]ბიუჯეტი!$B:$K,9,FALSE)</f>
        <v>0</v>
      </c>
      <c r="T465" s="77">
        <f>VLOOKUP($B465,[1]ბიუჯეტი!$B:$K,10,FALSE)</f>
        <v>0</v>
      </c>
      <c r="V465" s="78">
        <f t="shared" si="65"/>
        <v>0</v>
      </c>
      <c r="W465" s="78">
        <f t="shared" si="66"/>
        <v>0</v>
      </c>
      <c r="X465" s="78">
        <f t="shared" si="67"/>
        <v>0</v>
      </c>
      <c r="Y465" s="78">
        <f t="shared" si="68"/>
        <v>42</v>
      </c>
    </row>
    <row r="466" spans="1:25" collapsed="1" x14ac:dyDescent="0.35">
      <c r="A466" s="51">
        <v>44</v>
      </c>
      <c r="B466" s="23" t="s">
        <v>144</v>
      </c>
      <c r="C466" s="4" t="s">
        <v>121</v>
      </c>
      <c r="D466" s="66">
        <f>D467+D470</f>
        <v>42</v>
      </c>
      <c r="E466" s="1">
        <f>SUM(K471:K472,K468:K469,)/D466</f>
        <v>210.59322033898306</v>
      </c>
      <c r="F466" s="1">
        <f t="shared" si="64"/>
        <v>8844.9152542372885</v>
      </c>
      <c r="G466" s="1">
        <f>45*1.275</f>
        <v>57.374999999999993</v>
      </c>
      <c r="H466" s="1">
        <f>G466*D466</f>
        <v>2409.7499999999995</v>
      </c>
      <c r="I466" s="1">
        <v>0</v>
      </c>
      <c r="J466" s="1">
        <v>0</v>
      </c>
      <c r="K466" s="1">
        <f t="shared" si="63"/>
        <v>11254.665254237289</v>
      </c>
      <c r="M466" s="77">
        <f>VLOOKUP(B466,[1]ბიუჯეტი!$B:$K,3,FALSE)</f>
        <v>44</v>
      </c>
      <c r="N466" s="77">
        <f>VLOOKUP($B466,[1]ბიუჯეტი!$B:$K,4,FALSE)</f>
        <v>210.59322033898306</v>
      </c>
      <c r="O466" s="77">
        <f>VLOOKUP($B466,[1]ბიუჯეტი!$B:$K,5,FALSE)</f>
        <v>9266.1016949152545</v>
      </c>
      <c r="P466" s="77">
        <f>VLOOKUP($B466,[1]ბიუჯეტი!$B:$K,6,FALSE)</f>
        <v>57.374999999999993</v>
      </c>
      <c r="Q466" s="77">
        <f>VLOOKUP($B466,[1]ბიუჯეტი!$B:$K,7,FALSE)</f>
        <v>2524.4999999999995</v>
      </c>
      <c r="R466" s="77">
        <f>VLOOKUP($B466,[1]ბიუჯეტი!$B:$K,8,FALSE)</f>
        <v>0</v>
      </c>
      <c r="S466" s="77">
        <f>VLOOKUP($B466,[1]ბიუჯეტი!$B:$K,9,FALSE)</f>
        <v>0</v>
      </c>
      <c r="T466" s="77">
        <f>VLOOKUP($B466,[1]ბიუჯეტი!$B:$K,10,FALSE)</f>
        <v>11790.601694915254</v>
      </c>
      <c r="V466" s="78">
        <f t="shared" si="65"/>
        <v>0</v>
      </c>
      <c r="W466" s="78">
        <f t="shared" si="66"/>
        <v>0</v>
      </c>
      <c r="X466" s="78">
        <f t="shared" si="67"/>
        <v>0</v>
      </c>
      <c r="Y466" s="78">
        <f t="shared" si="68"/>
        <v>-2</v>
      </c>
    </row>
    <row r="467" spans="1:25" hidden="1" outlineLevel="1" x14ac:dyDescent="0.35">
      <c r="A467" s="51">
        <v>1</v>
      </c>
      <c r="B467" s="23" t="s">
        <v>145</v>
      </c>
      <c r="C467" s="4" t="s">
        <v>121</v>
      </c>
      <c r="D467" s="1">
        <v>10</v>
      </c>
      <c r="E467" s="1"/>
      <c r="F467" s="1">
        <f t="shared" si="64"/>
        <v>0</v>
      </c>
      <c r="G467" s="1">
        <f>ხელფასი!D30</f>
        <v>191.25</v>
      </c>
      <c r="H467" s="1">
        <f>D467*G467</f>
        <v>1912.5</v>
      </c>
      <c r="I467" s="1"/>
      <c r="J467" s="1"/>
      <c r="K467" s="1">
        <f t="shared" si="63"/>
        <v>1912.5</v>
      </c>
      <c r="M467" s="77">
        <f>VLOOKUP(B467,[1]ბიუჯეტი!$B:$K,3,FALSE)</f>
        <v>11</v>
      </c>
      <c r="N467" s="77">
        <f>VLOOKUP($B467,[1]ბიუჯეტი!$B:$K,4,FALSE)</f>
        <v>0</v>
      </c>
      <c r="O467" s="77">
        <f>VLOOKUP($B467,[1]ბიუჯეტი!$B:$K,5,FALSE)</f>
        <v>0</v>
      </c>
      <c r="P467" s="77">
        <f>VLOOKUP($B467,[1]ბიუჯეტი!$B:$K,6,FALSE)</f>
        <v>191.25</v>
      </c>
      <c r="Q467" s="77">
        <f>VLOOKUP($B467,[1]ბიუჯეტი!$B:$K,7,FALSE)</f>
        <v>2103.75</v>
      </c>
      <c r="R467" s="77">
        <f>VLOOKUP($B467,[1]ბიუჯეტი!$B:$K,8,FALSE)</f>
        <v>0</v>
      </c>
      <c r="S467" s="77">
        <f>VLOOKUP($B467,[1]ბიუჯეტი!$B:$K,9,FALSE)</f>
        <v>0</v>
      </c>
      <c r="T467" s="77">
        <f>VLOOKUP($B467,[1]ბიუჯეტი!$B:$K,10,FALSE)</f>
        <v>2103.75</v>
      </c>
      <c r="V467" s="78">
        <f t="shared" si="65"/>
        <v>0</v>
      </c>
      <c r="W467" s="78">
        <f t="shared" si="66"/>
        <v>0</v>
      </c>
      <c r="X467" s="78">
        <f t="shared" si="67"/>
        <v>0</v>
      </c>
      <c r="Y467" s="78">
        <f t="shared" si="68"/>
        <v>-1</v>
      </c>
    </row>
    <row r="468" spans="1:25" hidden="1" outlineLevel="1" x14ac:dyDescent="0.35">
      <c r="A468" s="51"/>
      <c r="B468" s="3" t="s">
        <v>142</v>
      </c>
      <c r="C468" s="4" t="s">
        <v>40</v>
      </c>
      <c r="D468" s="1">
        <f>D467*35</f>
        <v>350</v>
      </c>
      <c r="E468" s="1">
        <f>მასალა!D62</f>
        <v>1.7796610169491527</v>
      </c>
      <c r="F468" s="1">
        <f t="shared" si="64"/>
        <v>622.88135593220341</v>
      </c>
      <c r="G468" s="1"/>
      <c r="H468" s="1"/>
      <c r="I468" s="1"/>
      <c r="J468" s="1"/>
      <c r="K468" s="1">
        <f t="shared" si="63"/>
        <v>622.88135593220341</v>
      </c>
      <c r="M468" s="77">
        <f>VLOOKUP(B468,[1]ბიუჯეტი!$B:$K,3,FALSE)</f>
        <v>0</v>
      </c>
      <c r="N468" s="77">
        <f>VLOOKUP($B468,[1]ბიუჯეტი!$B:$K,4,FALSE)</f>
        <v>2.2881355932203391</v>
      </c>
      <c r="O468" s="77">
        <f>VLOOKUP($B468,[1]ბიუჯეტი!$B:$K,5,FALSE)</f>
        <v>0</v>
      </c>
      <c r="P468" s="77">
        <f>VLOOKUP($B468,[1]ბიუჯეტი!$B:$K,6,FALSE)</f>
        <v>0</v>
      </c>
      <c r="Q468" s="77">
        <f>VLOOKUP($B468,[1]ბიუჯეტი!$B:$K,7,FALSE)</f>
        <v>0</v>
      </c>
      <c r="R468" s="77">
        <f>VLOOKUP($B468,[1]ბიუჯეტი!$B:$K,8,FALSE)</f>
        <v>0</v>
      </c>
      <c r="S468" s="77">
        <f>VLOOKUP($B468,[1]ბიუჯეტი!$B:$K,9,FALSE)</f>
        <v>0</v>
      </c>
      <c r="T468" s="77">
        <f>VLOOKUP($B468,[1]ბიუჯეტი!$B:$K,10,FALSE)</f>
        <v>0</v>
      </c>
      <c r="V468" s="78">
        <f t="shared" si="65"/>
        <v>-0.50847457627118642</v>
      </c>
      <c r="W468" s="78">
        <f t="shared" si="66"/>
        <v>0</v>
      </c>
      <c r="X468" s="78">
        <f t="shared" si="67"/>
        <v>0</v>
      </c>
      <c r="Y468" s="78">
        <f t="shared" si="68"/>
        <v>350</v>
      </c>
    </row>
    <row r="469" spans="1:25" hidden="1" outlineLevel="1" x14ac:dyDescent="0.35">
      <c r="A469" s="51"/>
      <c r="B469" s="3" t="s">
        <v>392</v>
      </c>
      <c r="C469" s="4" t="s">
        <v>40</v>
      </c>
      <c r="D469" s="1">
        <f>D468</f>
        <v>350</v>
      </c>
      <c r="E469" s="1">
        <f>SUMIFS(მასალა!D3:D448,მასალა!B3:B448,ბიუჯეტი!B469)</f>
        <v>4.2372881355932206</v>
      </c>
      <c r="F469" s="1">
        <f t="shared" si="64"/>
        <v>1483.0508474576272</v>
      </c>
      <c r="G469" s="1"/>
      <c r="H469" s="1"/>
      <c r="I469" s="1"/>
      <c r="J469" s="1"/>
      <c r="K469" s="1">
        <f t="shared" si="63"/>
        <v>1483.0508474576272</v>
      </c>
      <c r="M469" s="77">
        <f>VLOOKUP(B469,[1]ბიუჯეტი!$B:$K,3,FALSE)</f>
        <v>0</v>
      </c>
      <c r="N469" s="77">
        <f>VLOOKUP($B469,[1]ბიუჯეტი!$B:$K,4,FALSE)</f>
        <v>4.2372881355932206</v>
      </c>
      <c r="O469" s="77">
        <f>VLOOKUP($B469,[1]ბიუჯეტი!$B:$K,5,FALSE)</f>
        <v>0</v>
      </c>
      <c r="P469" s="77">
        <f>VLOOKUP($B469,[1]ბიუჯეტი!$B:$K,6,FALSE)</f>
        <v>0</v>
      </c>
      <c r="Q469" s="77">
        <f>VLOOKUP($B469,[1]ბიუჯეტი!$B:$K,7,FALSE)</f>
        <v>0</v>
      </c>
      <c r="R469" s="77">
        <f>VLOOKUP($B469,[1]ბიუჯეტი!$B:$K,8,FALSE)</f>
        <v>0</v>
      </c>
      <c r="S469" s="77">
        <f>VLOOKUP($B469,[1]ბიუჯეტი!$B:$K,9,FALSE)</f>
        <v>0</v>
      </c>
      <c r="T469" s="77">
        <f>VLOOKUP($B469,[1]ბიუჯეტი!$B:$K,10,FALSE)</f>
        <v>0</v>
      </c>
      <c r="V469" s="78">
        <f t="shared" si="65"/>
        <v>0</v>
      </c>
      <c r="W469" s="78">
        <f t="shared" si="66"/>
        <v>0</v>
      </c>
      <c r="X469" s="78">
        <f t="shared" si="67"/>
        <v>0</v>
      </c>
      <c r="Y469" s="78">
        <f t="shared" si="68"/>
        <v>350</v>
      </c>
    </row>
    <row r="470" spans="1:25" hidden="1" outlineLevel="1" x14ac:dyDescent="0.35">
      <c r="A470" s="51">
        <v>1</v>
      </c>
      <c r="B470" s="23" t="s">
        <v>183</v>
      </c>
      <c r="C470" s="4" t="s">
        <v>121</v>
      </c>
      <c r="D470" s="1">
        <v>32</v>
      </c>
      <c r="E470" s="1"/>
      <c r="F470" s="1">
        <f t="shared" si="64"/>
        <v>0</v>
      </c>
      <c r="G470" s="1">
        <f>ხელფასი!D30</f>
        <v>191.25</v>
      </c>
      <c r="H470" s="1">
        <f>D470*G470</f>
        <v>6120</v>
      </c>
      <c r="I470" s="1"/>
      <c r="J470" s="1"/>
      <c r="K470" s="1">
        <f t="shared" si="63"/>
        <v>6120</v>
      </c>
      <c r="M470" s="77">
        <f>VLOOKUP(B470,[1]ბიუჯეტი!$B:$K,3,FALSE)</f>
        <v>33</v>
      </c>
      <c r="N470" s="77">
        <f>VLOOKUP($B470,[1]ბიუჯეტი!$B:$K,4,FALSE)</f>
        <v>0</v>
      </c>
      <c r="O470" s="77">
        <f>VLOOKUP($B470,[1]ბიუჯეტი!$B:$K,5,FALSE)</f>
        <v>0</v>
      </c>
      <c r="P470" s="77">
        <f>VLOOKUP($B470,[1]ბიუჯეტი!$B:$K,6,FALSE)</f>
        <v>191.25</v>
      </c>
      <c r="Q470" s="77">
        <f>VLOOKUP($B470,[1]ბიუჯეტი!$B:$K,7,FALSE)</f>
        <v>6311.25</v>
      </c>
      <c r="R470" s="77">
        <f>VLOOKUP($B470,[1]ბიუჯეტი!$B:$K,8,FALSE)</f>
        <v>0</v>
      </c>
      <c r="S470" s="77">
        <f>VLOOKUP($B470,[1]ბიუჯეტი!$B:$K,9,FALSE)</f>
        <v>0</v>
      </c>
      <c r="T470" s="77">
        <f>VLOOKUP($B470,[1]ბიუჯეტი!$B:$K,10,FALSE)</f>
        <v>6311.25</v>
      </c>
      <c r="V470" s="78">
        <f t="shared" si="65"/>
        <v>0</v>
      </c>
      <c r="W470" s="78">
        <f t="shared" si="66"/>
        <v>0</v>
      </c>
      <c r="X470" s="78">
        <f t="shared" si="67"/>
        <v>0</v>
      </c>
      <c r="Y470" s="78">
        <f t="shared" si="68"/>
        <v>-1</v>
      </c>
    </row>
    <row r="471" spans="1:25" hidden="1" outlineLevel="1" x14ac:dyDescent="0.35">
      <c r="A471" s="51"/>
      <c r="B471" s="3" t="s">
        <v>142</v>
      </c>
      <c r="C471" s="4" t="s">
        <v>40</v>
      </c>
      <c r="D471" s="1">
        <f>D470*35</f>
        <v>1120</v>
      </c>
      <c r="E471" s="1">
        <f>მასალა!D62</f>
        <v>1.7796610169491527</v>
      </c>
      <c r="F471" s="1">
        <f t="shared" si="64"/>
        <v>1993.2203389830511</v>
      </c>
      <c r="G471" s="1"/>
      <c r="H471" s="1"/>
      <c r="I471" s="1"/>
      <c r="J471" s="1"/>
      <c r="K471" s="1">
        <f t="shared" si="63"/>
        <v>1993.2203389830511</v>
      </c>
      <c r="M471" s="77">
        <f>VLOOKUP(B471,[1]ბიუჯეტი!$B:$K,3,FALSE)</f>
        <v>0</v>
      </c>
      <c r="N471" s="77">
        <f>VLOOKUP($B471,[1]ბიუჯეტი!$B:$K,4,FALSE)</f>
        <v>2.2881355932203391</v>
      </c>
      <c r="O471" s="77">
        <f>VLOOKUP($B471,[1]ბიუჯეტი!$B:$K,5,FALSE)</f>
        <v>0</v>
      </c>
      <c r="P471" s="77">
        <f>VLOOKUP($B471,[1]ბიუჯეტი!$B:$K,6,FALSE)</f>
        <v>0</v>
      </c>
      <c r="Q471" s="77">
        <f>VLOOKUP($B471,[1]ბიუჯეტი!$B:$K,7,FALSE)</f>
        <v>0</v>
      </c>
      <c r="R471" s="77">
        <f>VLOOKUP($B471,[1]ბიუჯეტი!$B:$K,8,FALSE)</f>
        <v>0</v>
      </c>
      <c r="S471" s="77">
        <f>VLOOKUP($B471,[1]ბიუჯეტი!$B:$K,9,FALSE)</f>
        <v>0</v>
      </c>
      <c r="T471" s="77">
        <f>VLOOKUP($B471,[1]ბიუჯეტი!$B:$K,10,FALSE)</f>
        <v>0</v>
      </c>
      <c r="V471" s="78">
        <f t="shared" si="65"/>
        <v>-0.50847457627118642</v>
      </c>
      <c r="W471" s="78">
        <f t="shared" si="66"/>
        <v>0</v>
      </c>
      <c r="X471" s="78">
        <f t="shared" si="67"/>
        <v>0</v>
      </c>
      <c r="Y471" s="78">
        <f t="shared" si="68"/>
        <v>1120</v>
      </c>
    </row>
    <row r="472" spans="1:25" hidden="1" outlineLevel="1" x14ac:dyDescent="0.35">
      <c r="A472" s="51"/>
      <c r="B472" s="3" t="s">
        <v>392</v>
      </c>
      <c r="C472" s="4" t="s">
        <v>40</v>
      </c>
      <c r="D472" s="1">
        <f>D471</f>
        <v>1120</v>
      </c>
      <c r="E472" s="1">
        <f>SUMIFS(მასალა!D3:D451,მასალა!B3:B451,ბიუჯეტი!B472)</f>
        <v>4.2372881355932206</v>
      </c>
      <c r="F472" s="1">
        <f t="shared" si="64"/>
        <v>4745.7627118644068</v>
      </c>
      <c r="G472" s="1"/>
      <c r="H472" s="1"/>
      <c r="I472" s="1"/>
      <c r="J472" s="1"/>
      <c r="K472" s="1">
        <f t="shared" si="63"/>
        <v>4745.7627118644068</v>
      </c>
      <c r="M472" s="77">
        <f>VLOOKUP(B472,[1]ბიუჯეტი!$B:$K,3,FALSE)</f>
        <v>0</v>
      </c>
      <c r="N472" s="77">
        <f>VLOOKUP($B472,[1]ბიუჯეტი!$B:$K,4,FALSE)</f>
        <v>4.2372881355932206</v>
      </c>
      <c r="O472" s="77">
        <f>VLOOKUP($B472,[1]ბიუჯეტი!$B:$K,5,FALSE)</f>
        <v>0</v>
      </c>
      <c r="P472" s="77">
        <f>VLOOKUP($B472,[1]ბიუჯეტი!$B:$K,6,FALSE)</f>
        <v>0</v>
      </c>
      <c r="Q472" s="77">
        <f>VLOOKUP($B472,[1]ბიუჯეტი!$B:$K,7,FALSE)</f>
        <v>0</v>
      </c>
      <c r="R472" s="77">
        <f>VLOOKUP($B472,[1]ბიუჯეტი!$B:$K,8,FALSE)</f>
        <v>0</v>
      </c>
      <c r="S472" s="77">
        <f>VLOOKUP($B472,[1]ბიუჯეტი!$B:$K,9,FALSE)</f>
        <v>0</v>
      </c>
      <c r="T472" s="77">
        <f>VLOOKUP($B472,[1]ბიუჯეტი!$B:$K,10,FALSE)</f>
        <v>0</v>
      </c>
      <c r="V472" s="78">
        <f t="shared" si="65"/>
        <v>0</v>
      </c>
      <c r="W472" s="78">
        <f t="shared" si="66"/>
        <v>0</v>
      </c>
      <c r="X472" s="78">
        <f t="shared" si="67"/>
        <v>0</v>
      </c>
      <c r="Y472" s="78">
        <f t="shared" si="68"/>
        <v>1120</v>
      </c>
    </row>
    <row r="473" spans="1:25" collapsed="1" x14ac:dyDescent="0.35">
      <c r="A473" s="51">
        <v>45</v>
      </c>
      <c r="B473" s="23" t="s">
        <v>146</v>
      </c>
      <c r="C473" s="4" t="s">
        <v>55</v>
      </c>
      <c r="D473" s="1">
        <v>3</v>
      </c>
      <c r="E473" s="1">
        <f>SUM(K475/D473)</f>
        <v>85433.898305084746</v>
      </c>
      <c r="F473" s="1">
        <f>D473*E473</f>
        <v>256301.69491525425</v>
      </c>
      <c r="G473" s="1">
        <v>0</v>
      </c>
      <c r="H473" s="1">
        <v>0</v>
      </c>
      <c r="I473" s="1">
        <v>0</v>
      </c>
      <c r="J473" s="1">
        <f>I473*D473</f>
        <v>0</v>
      </c>
      <c r="K473" s="1">
        <f t="shared" si="63"/>
        <v>256301.69491525425</v>
      </c>
      <c r="M473" s="77">
        <f>VLOOKUP(B473,[1]ბიუჯეტი!$B:$K,3,FALSE)</f>
        <v>3</v>
      </c>
      <c r="N473" s="77">
        <f>VLOOKUP($B473,[1]ბიუჯეტი!$B:$K,4,FALSE)</f>
        <v>86556.203389830524</v>
      </c>
      <c r="O473" s="77">
        <f>VLOOKUP($B473,[1]ბიუჯეტი!$B:$K,5,FALSE)</f>
        <v>259668.61016949156</v>
      </c>
      <c r="P473" s="77">
        <f>VLOOKUP($B473,[1]ბიუჯეტი!$B:$K,6,FALSE)</f>
        <v>0</v>
      </c>
      <c r="Q473" s="77">
        <f>VLOOKUP($B473,[1]ბიუჯეტი!$B:$K,7,FALSE)</f>
        <v>0</v>
      </c>
      <c r="R473" s="77">
        <f>VLOOKUP($B473,[1]ბიუჯეტი!$B:$K,8,FALSE)</f>
        <v>0</v>
      </c>
      <c r="S473" s="77">
        <f>VLOOKUP($B473,[1]ბიუჯეტი!$B:$K,9,FALSE)</f>
        <v>0</v>
      </c>
      <c r="T473" s="77">
        <f>VLOOKUP($B473,[1]ბიუჯეტი!$B:$K,10,FALSE)</f>
        <v>259668.61016949156</v>
      </c>
      <c r="V473" s="78">
        <f t="shared" si="65"/>
        <v>-1122.305084745778</v>
      </c>
      <c r="W473" s="78">
        <f t="shared" si="66"/>
        <v>0</v>
      </c>
      <c r="X473" s="78">
        <f t="shared" si="67"/>
        <v>0</v>
      </c>
      <c r="Y473" s="78">
        <f t="shared" si="68"/>
        <v>0</v>
      </c>
    </row>
    <row r="474" spans="1:25" hidden="1" outlineLevel="1" x14ac:dyDescent="0.35">
      <c r="A474" s="51">
        <v>1</v>
      </c>
      <c r="B474" s="23" t="s">
        <v>253</v>
      </c>
      <c r="C474" s="4" t="s">
        <v>55</v>
      </c>
      <c r="D474" s="1">
        <v>3</v>
      </c>
      <c r="E474" s="1"/>
      <c r="F474" s="1">
        <f t="shared" si="64"/>
        <v>0</v>
      </c>
      <c r="G474" s="1"/>
      <c r="H474" s="1">
        <f>D474*G474</f>
        <v>0</v>
      </c>
      <c r="I474" s="1"/>
      <c r="J474" s="1"/>
      <c r="K474" s="1">
        <f t="shared" ref="K474:K492" si="69">F474+H474+J474</f>
        <v>0</v>
      </c>
      <c r="M474" s="77">
        <f>VLOOKUP(B474,[1]ბიუჯეტი!$B:$K,3,FALSE)</f>
        <v>3</v>
      </c>
      <c r="N474" s="77">
        <f>VLOOKUP($B474,[1]ბიუჯეტი!$B:$K,4,FALSE)</f>
        <v>0</v>
      </c>
      <c r="O474" s="77">
        <f>VLOOKUP($B474,[1]ბიუჯეტი!$B:$K,5,FALSE)</f>
        <v>0</v>
      </c>
      <c r="P474" s="77">
        <f>VLOOKUP($B474,[1]ბიუჯეტი!$B:$K,6,FALSE)</f>
        <v>0</v>
      </c>
      <c r="Q474" s="77">
        <f>VLOOKUP($B474,[1]ბიუჯეტი!$B:$K,7,FALSE)</f>
        <v>0</v>
      </c>
      <c r="R474" s="77">
        <f>VLOOKUP($B474,[1]ბიუჯეტი!$B:$K,8,FALSE)</f>
        <v>0</v>
      </c>
      <c r="S474" s="77">
        <f>VLOOKUP($B474,[1]ბიუჯეტი!$B:$K,9,FALSE)</f>
        <v>0</v>
      </c>
      <c r="T474" s="77">
        <f>VLOOKUP($B474,[1]ბიუჯეტი!$B:$K,10,FALSE)</f>
        <v>0</v>
      </c>
      <c r="V474" s="78">
        <f t="shared" si="65"/>
        <v>0</v>
      </c>
      <c r="W474" s="78">
        <f t="shared" si="66"/>
        <v>0</v>
      </c>
      <c r="X474" s="78">
        <f t="shared" si="67"/>
        <v>0</v>
      </c>
      <c r="Y474" s="78">
        <f t="shared" si="68"/>
        <v>0</v>
      </c>
    </row>
    <row r="475" spans="1:25" hidden="1" outlineLevel="1" x14ac:dyDescent="0.35">
      <c r="A475" s="51"/>
      <c r="B475" s="3" t="s">
        <v>147</v>
      </c>
      <c r="C475" s="4" t="s">
        <v>55</v>
      </c>
      <c r="D475" s="1">
        <v>3</v>
      </c>
      <c r="E475" s="1">
        <f>37200*ფართები!$E$3/1.18</f>
        <v>85433.898305084746</v>
      </c>
      <c r="F475" s="1">
        <f t="shared" si="64"/>
        <v>256301.69491525425</v>
      </c>
      <c r="G475" s="1"/>
      <c r="H475" s="1">
        <f>D475*G475</f>
        <v>0</v>
      </c>
      <c r="I475" s="1"/>
      <c r="J475" s="1"/>
      <c r="K475" s="1">
        <f t="shared" si="69"/>
        <v>256301.69491525425</v>
      </c>
      <c r="M475" s="77">
        <f>VLOOKUP(B475,[1]ბიუჯეტი!$B:$K,3,FALSE)</f>
        <v>3</v>
      </c>
      <c r="N475" s="77">
        <f>VLOOKUP($B475,[1]ბიუჯეტი!$B:$K,4,FALSE)</f>
        <v>86556.203389830524</v>
      </c>
      <c r="O475" s="77">
        <f>VLOOKUP($B475,[1]ბიუჯეტი!$B:$K,5,FALSE)</f>
        <v>259668.61016949156</v>
      </c>
      <c r="P475" s="77">
        <f>VLOOKUP($B475,[1]ბიუჯეტი!$B:$K,6,FALSE)</f>
        <v>0</v>
      </c>
      <c r="Q475" s="77">
        <f>VLOOKUP($B475,[1]ბიუჯეტი!$B:$K,7,FALSE)</f>
        <v>0</v>
      </c>
      <c r="R475" s="77">
        <f>VLOOKUP($B475,[1]ბიუჯეტი!$B:$K,8,FALSE)</f>
        <v>0</v>
      </c>
      <c r="S475" s="77">
        <f>VLOOKUP($B475,[1]ბიუჯეტი!$B:$K,9,FALSE)</f>
        <v>0</v>
      </c>
      <c r="T475" s="77">
        <f>VLOOKUP($B475,[1]ბიუჯეტი!$B:$K,10,FALSE)</f>
        <v>259668.61016949156</v>
      </c>
      <c r="V475" s="78">
        <f t="shared" si="65"/>
        <v>-1122.305084745778</v>
      </c>
      <c r="W475" s="78">
        <f t="shared" si="66"/>
        <v>0</v>
      </c>
      <c r="X475" s="78">
        <f t="shared" si="67"/>
        <v>0</v>
      </c>
      <c r="Y475" s="78">
        <f t="shared" si="68"/>
        <v>0</v>
      </c>
    </row>
    <row r="476" spans="1:25" collapsed="1" x14ac:dyDescent="0.35">
      <c r="A476" s="51">
        <v>46</v>
      </c>
      <c r="B476" s="23" t="s">
        <v>333</v>
      </c>
      <c r="C476" s="4" t="s">
        <v>55</v>
      </c>
      <c r="D476" s="1">
        <v>3</v>
      </c>
      <c r="E476" s="1">
        <v>0</v>
      </c>
      <c r="F476" s="1">
        <f t="shared" si="64"/>
        <v>0</v>
      </c>
      <c r="G476" s="1"/>
      <c r="H476" s="1">
        <f>G476*D476</f>
        <v>0</v>
      </c>
      <c r="I476" s="1">
        <f>მომსახურება!D18</f>
        <v>1694.9152542372883</v>
      </c>
      <c r="J476" s="1">
        <f>I476*D476</f>
        <v>5084.7457627118647</v>
      </c>
      <c r="K476" s="1">
        <f t="shared" si="69"/>
        <v>5084.7457627118647</v>
      </c>
      <c r="M476" s="77">
        <f>VLOOKUP(B476,[1]ბიუჯეტი!$B:$K,3,FALSE)</f>
        <v>3</v>
      </c>
      <c r="N476" s="77">
        <f>VLOOKUP($B476,[1]ბიუჯეტი!$B:$K,4,FALSE)</f>
        <v>0</v>
      </c>
      <c r="O476" s="77">
        <f>VLOOKUP($B476,[1]ბიუჯეტი!$B:$K,5,FALSE)</f>
        <v>0</v>
      </c>
      <c r="P476" s="77">
        <f>VLOOKUP($B476,[1]ბიუჯეტი!$B:$K,6,FALSE)</f>
        <v>0</v>
      </c>
      <c r="Q476" s="77">
        <f>VLOOKUP($B476,[1]ბიუჯეტი!$B:$K,7,FALSE)</f>
        <v>0</v>
      </c>
      <c r="R476" s="77">
        <f>VLOOKUP($B476,[1]ბიუჯეტი!$B:$K,8,FALSE)</f>
        <v>1694.9152542372883</v>
      </c>
      <c r="S476" s="77">
        <f>VLOOKUP($B476,[1]ბიუჯეტი!$B:$K,9,FALSE)</f>
        <v>5084.7457627118647</v>
      </c>
      <c r="T476" s="77">
        <f>VLOOKUP($B476,[1]ბიუჯეტი!$B:$K,10,FALSE)</f>
        <v>5084.7457627118647</v>
      </c>
      <c r="V476" s="78">
        <f t="shared" si="65"/>
        <v>0</v>
      </c>
      <c r="W476" s="78">
        <f t="shared" si="66"/>
        <v>0</v>
      </c>
      <c r="X476" s="78">
        <f t="shared" si="67"/>
        <v>0</v>
      </c>
      <c r="Y476" s="78">
        <f t="shared" si="68"/>
        <v>0</v>
      </c>
    </row>
    <row r="477" spans="1:25" collapsed="1" x14ac:dyDescent="0.35">
      <c r="A477" s="51">
        <v>47</v>
      </c>
      <c r="B477" s="23" t="s">
        <v>431</v>
      </c>
      <c r="C477" s="4" t="s">
        <v>55</v>
      </c>
      <c r="D477" s="1">
        <v>3</v>
      </c>
      <c r="E477" s="1">
        <v>0</v>
      </c>
      <c r="F477" s="1">
        <f>D477*E477</f>
        <v>0</v>
      </c>
      <c r="G477" s="1"/>
      <c r="H477" s="1">
        <f>G477*D477</f>
        <v>0</v>
      </c>
      <c r="I477" s="1">
        <f>4500/1.18</f>
        <v>3813.5593220338983</v>
      </c>
      <c r="J477" s="1">
        <f>I477*D477</f>
        <v>11440.677966101695</v>
      </c>
      <c r="K477" s="1">
        <f t="shared" si="69"/>
        <v>11440.677966101695</v>
      </c>
      <c r="M477" s="77">
        <f>VLOOKUP(B477,[1]ბიუჯეტი!$B:$K,3,FALSE)</f>
        <v>3</v>
      </c>
      <c r="N477" s="77">
        <f>VLOOKUP($B477,[1]ბიუჯეტი!$B:$K,4,FALSE)</f>
        <v>0</v>
      </c>
      <c r="O477" s="77">
        <f>VLOOKUP($B477,[1]ბიუჯეტი!$B:$K,5,FALSE)</f>
        <v>0</v>
      </c>
      <c r="P477" s="77">
        <f>VLOOKUP($B477,[1]ბიუჯეტი!$B:$K,6,FALSE)</f>
        <v>0</v>
      </c>
      <c r="Q477" s="77">
        <f>VLOOKUP($B477,[1]ბიუჯეტი!$B:$K,7,FALSE)</f>
        <v>0</v>
      </c>
      <c r="R477" s="77">
        <f>VLOOKUP($B477,[1]ბიუჯეტი!$B:$K,8,FALSE)</f>
        <v>3813.5593220338983</v>
      </c>
      <c r="S477" s="77">
        <f>VLOOKUP($B477,[1]ბიუჯეტი!$B:$K,9,FALSE)</f>
        <v>11440.677966101695</v>
      </c>
      <c r="T477" s="77">
        <f>VLOOKUP($B477,[1]ბიუჯეტი!$B:$K,10,FALSE)</f>
        <v>11440.677966101695</v>
      </c>
      <c r="V477" s="78">
        <f t="shared" si="65"/>
        <v>0</v>
      </c>
      <c r="W477" s="78">
        <f t="shared" si="66"/>
        <v>0</v>
      </c>
      <c r="X477" s="78">
        <f t="shared" si="67"/>
        <v>0</v>
      </c>
      <c r="Y477" s="78">
        <f t="shared" si="68"/>
        <v>0</v>
      </c>
    </row>
    <row r="478" spans="1:25" collapsed="1" x14ac:dyDescent="0.35">
      <c r="A478" s="51">
        <v>48</v>
      </c>
      <c r="B478" s="23" t="s">
        <v>336</v>
      </c>
      <c r="C478" s="4" t="s">
        <v>10</v>
      </c>
      <c r="D478" s="1">
        <f>(1.6*2.5)*6</f>
        <v>24</v>
      </c>
      <c r="E478" s="1">
        <v>0</v>
      </c>
      <c r="F478" s="1">
        <f>D478*E478</f>
        <v>0</v>
      </c>
      <c r="G478" s="1"/>
      <c r="H478" s="1">
        <f>G478*D478</f>
        <v>0</v>
      </c>
      <c r="I478" s="1">
        <f>მომსახურება!D4</f>
        <v>367.4576271186441</v>
      </c>
      <c r="J478" s="1">
        <f>I478*D478</f>
        <v>8818.9830508474588</v>
      </c>
      <c r="K478" s="1">
        <f t="shared" si="69"/>
        <v>8818.9830508474588</v>
      </c>
      <c r="M478" s="77">
        <f>VLOOKUP(B478,[1]ბიუჯეტი!$B:$K,3,FALSE)</f>
        <v>12</v>
      </c>
      <c r="N478" s="77">
        <f>VLOOKUP($B478,[1]ბიუჯეტი!$B:$K,4,FALSE)</f>
        <v>0</v>
      </c>
      <c r="O478" s="77">
        <f>VLOOKUP($B478,[1]ბიუჯეტი!$B:$K,5,FALSE)</f>
        <v>0</v>
      </c>
      <c r="P478" s="77">
        <f>VLOOKUP($B478,[1]ბიუჯეტი!$B:$K,6,FALSE)</f>
        <v>0</v>
      </c>
      <c r="Q478" s="77">
        <f>VLOOKUP($B478,[1]ბიუჯეტი!$B:$K,7,FALSE)</f>
        <v>0</v>
      </c>
      <c r="R478" s="77">
        <f>VLOOKUP($B478,[1]ბიუჯეტი!$B:$K,8,FALSE)</f>
        <v>372.28474576271185</v>
      </c>
      <c r="S478" s="77">
        <f>VLOOKUP($B478,[1]ბიუჯეტი!$B:$K,9,FALSE)</f>
        <v>4467.4169491525427</v>
      </c>
      <c r="T478" s="77">
        <f>VLOOKUP($B478,[1]ბიუჯეტი!$B:$K,10,FALSE)</f>
        <v>4467.4169491525427</v>
      </c>
      <c r="V478" s="78">
        <f t="shared" si="65"/>
        <v>0</v>
      </c>
      <c r="W478" s="78">
        <f t="shared" si="66"/>
        <v>0</v>
      </c>
      <c r="X478" s="78">
        <f t="shared" si="67"/>
        <v>-4.8271186440677525</v>
      </c>
      <c r="Y478" s="78">
        <f t="shared" si="68"/>
        <v>12</v>
      </c>
    </row>
    <row r="479" spans="1:25" collapsed="1" x14ac:dyDescent="0.35">
      <c r="A479" s="51">
        <v>49</v>
      </c>
      <c r="B479" s="23" t="s">
        <v>418</v>
      </c>
      <c r="C479" s="4" t="s">
        <v>192</v>
      </c>
      <c r="D479" s="1">
        <v>6</v>
      </c>
      <c r="E479" s="1">
        <v>0</v>
      </c>
      <c r="F479" s="1">
        <f>D479*E479</f>
        <v>0</v>
      </c>
      <c r="G479" s="1"/>
      <c r="H479" s="1">
        <f>G479*D479</f>
        <v>0</v>
      </c>
      <c r="I479" s="1">
        <f>მომსახურება!D32</f>
        <v>6497.4576271186443</v>
      </c>
      <c r="J479" s="1">
        <f>I479*D479</f>
        <v>38984.745762711864</v>
      </c>
      <c r="K479" s="71">
        <f t="shared" si="69"/>
        <v>38984.745762711864</v>
      </c>
      <c r="M479" s="77">
        <f>VLOOKUP(B479,[1]ბიუჯეტი!$B:$K,3,FALSE)</f>
        <v>0</v>
      </c>
      <c r="N479" s="77">
        <f>VLOOKUP($B479,[1]ბიუჯეტი!$B:$K,4,FALSE)</f>
        <v>0</v>
      </c>
      <c r="O479" s="77">
        <f>VLOOKUP($B479,[1]ბიუჯეტი!$B:$K,5,FALSE)</f>
        <v>0</v>
      </c>
      <c r="P479" s="77">
        <f>VLOOKUP($B479,[1]ბიუჯეტი!$B:$K,6,FALSE)</f>
        <v>0</v>
      </c>
      <c r="Q479" s="77">
        <f>VLOOKUP($B479,[1]ბიუჯეტი!$B:$K,7,FALSE)</f>
        <v>0</v>
      </c>
      <c r="R479" s="77">
        <f>VLOOKUP($B479,[1]ბიუჯეტი!$B:$K,8,FALSE)</f>
        <v>419.49152542372883</v>
      </c>
      <c r="S479" s="77">
        <f>VLOOKUP($B479,[1]ბიუჯეტი!$B:$K,9,FALSE)</f>
        <v>0</v>
      </c>
      <c r="T479" s="77">
        <f>VLOOKUP($B479,[1]ბიუჯეტი!$B:$K,10,FALSE)</f>
        <v>0</v>
      </c>
      <c r="V479" s="78">
        <f t="shared" si="65"/>
        <v>0</v>
      </c>
      <c r="W479" s="78">
        <f t="shared" si="66"/>
        <v>0</v>
      </c>
      <c r="X479" s="78">
        <f t="shared" si="67"/>
        <v>6077.9661016949158</v>
      </c>
      <c r="Y479" s="78">
        <f t="shared" si="68"/>
        <v>6</v>
      </c>
    </row>
    <row r="480" spans="1:25" x14ac:dyDescent="0.35">
      <c r="A480" s="51">
        <v>50</v>
      </c>
      <c r="B480" s="23" t="s">
        <v>148</v>
      </c>
      <c r="C480" s="4" t="s">
        <v>49</v>
      </c>
      <c r="D480" s="1">
        <v>3</v>
      </c>
      <c r="E480" s="1">
        <v>0</v>
      </c>
      <c r="F480" s="1">
        <v>0</v>
      </c>
      <c r="G480" s="1">
        <f>50*1.275</f>
        <v>63.749999999999993</v>
      </c>
      <c r="H480" s="1">
        <v>0</v>
      </c>
      <c r="I480" s="1">
        <f>მომსახურება!D20</f>
        <v>186.4406779661017</v>
      </c>
      <c r="J480" s="1">
        <f t="shared" ref="J480:J493" si="70">I480*D480</f>
        <v>559.32203389830511</v>
      </c>
      <c r="K480" s="1">
        <f t="shared" si="69"/>
        <v>559.32203389830511</v>
      </c>
      <c r="M480" s="77">
        <f>VLOOKUP(B480,[1]ბიუჯეტი!$B:$K,3,FALSE)</f>
        <v>3</v>
      </c>
      <c r="N480" s="77">
        <f>VLOOKUP($B480,[1]ბიუჯეტი!$B:$K,4,FALSE)</f>
        <v>0</v>
      </c>
      <c r="O480" s="77">
        <f>VLOOKUP($B480,[1]ბიუჯეტი!$B:$K,5,FALSE)</f>
        <v>0</v>
      </c>
      <c r="P480" s="77">
        <f>VLOOKUP($B480,[1]ბიუჯეტი!$B:$K,6,FALSE)</f>
        <v>63.749999999999993</v>
      </c>
      <c r="Q480" s="77">
        <f>VLOOKUP($B480,[1]ბიუჯეტი!$B:$K,7,FALSE)</f>
        <v>0</v>
      </c>
      <c r="R480" s="77">
        <f>VLOOKUP($B480,[1]ბიუჯეტი!$B:$K,8,FALSE)</f>
        <v>186.4406779661017</v>
      </c>
      <c r="S480" s="77">
        <f>VLOOKUP($B480,[1]ბიუჯეტი!$B:$K,9,FALSE)</f>
        <v>559.32203389830511</v>
      </c>
      <c r="T480" s="77">
        <f>VLOOKUP($B480,[1]ბიუჯეტი!$B:$K,10,FALSE)</f>
        <v>559.32203389830511</v>
      </c>
      <c r="V480" s="78">
        <f t="shared" si="65"/>
        <v>0</v>
      </c>
      <c r="W480" s="78">
        <f t="shared" si="66"/>
        <v>0</v>
      </c>
      <c r="X480" s="78">
        <f t="shared" si="67"/>
        <v>0</v>
      </c>
      <c r="Y480" s="78">
        <f t="shared" si="68"/>
        <v>0</v>
      </c>
    </row>
    <row r="481" spans="1:25" x14ac:dyDescent="0.35">
      <c r="A481" s="51">
        <v>51</v>
      </c>
      <c r="B481" s="23" t="s">
        <v>149</v>
      </c>
      <c r="C481" s="4" t="s">
        <v>19</v>
      </c>
      <c r="D481" s="1">
        <v>15</v>
      </c>
      <c r="E481" s="1"/>
      <c r="F481" s="1">
        <f t="shared" ref="F481:F493" si="71">D481*E481</f>
        <v>0</v>
      </c>
      <c r="G481" s="1"/>
      <c r="H481" s="1">
        <f t="shared" ref="H481:H493" si="72">G481*D481</f>
        <v>0</v>
      </c>
      <c r="I481" s="1">
        <f>მომსახურება!D29</f>
        <v>4237.2881355932204</v>
      </c>
      <c r="J481" s="1">
        <f t="shared" si="70"/>
        <v>63559.322033898308</v>
      </c>
      <c r="K481" s="1">
        <f t="shared" si="69"/>
        <v>63559.322033898308</v>
      </c>
      <c r="M481" s="77">
        <f>VLOOKUP(B481,[1]ბიუჯეტი!$B:$K,3,FALSE)</f>
        <v>15</v>
      </c>
      <c r="N481" s="77">
        <f>VLOOKUP($B481,[1]ბიუჯეტი!$B:$K,4,FALSE)</f>
        <v>0</v>
      </c>
      <c r="O481" s="77">
        <f>VLOOKUP($B481,[1]ბიუჯეტი!$B:$K,5,FALSE)</f>
        <v>0</v>
      </c>
      <c r="P481" s="77">
        <f>VLOOKUP($B481,[1]ბიუჯეტი!$B:$K,6,FALSE)</f>
        <v>0</v>
      </c>
      <c r="Q481" s="77">
        <f>VLOOKUP($B481,[1]ბიუჯეტი!$B:$K,7,FALSE)</f>
        <v>0</v>
      </c>
      <c r="R481" s="77">
        <f>VLOOKUP($B481,[1]ბიუჯეტი!$B:$K,8,FALSE)</f>
        <v>4237.2881355932204</v>
      </c>
      <c r="S481" s="77">
        <f>VLOOKUP($B481,[1]ბიუჯეტი!$B:$K,9,FALSE)</f>
        <v>63559.322033898308</v>
      </c>
      <c r="T481" s="77">
        <f>VLOOKUP($B481,[1]ბიუჯეტი!$B:$K,10,FALSE)</f>
        <v>63559.322033898308</v>
      </c>
      <c r="V481" s="78">
        <f t="shared" si="65"/>
        <v>0</v>
      </c>
      <c r="W481" s="78">
        <f t="shared" si="66"/>
        <v>0</v>
      </c>
      <c r="X481" s="78">
        <f t="shared" si="67"/>
        <v>0</v>
      </c>
      <c r="Y481" s="78">
        <f t="shared" si="68"/>
        <v>0</v>
      </c>
    </row>
    <row r="482" spans="1:25" x14ac:dyDescent="0.35">
      <c r="A482" s="51">
        <v>52</v>
      </c>
      <c r="B482" s="23" t="s">
        <v>150</v>
      </c>
      <c r="C482" s="4" t="s">
        <v>19</v>
      </c>
      <c r="D482" s="1">
        <v>15</v>
      </c>
      <c r="E482" s="1"/>
      <c r="F482" s="1">
        <f t="shared" si="71"/>
        <v>0</v>
      </c>
      <c r="G482" s="1"/>
      <c r="H482" s="1">
        <f t="shared" si="72"/>
        <v>0</v>
      </c>
      <c r="I482" s="1">
        <f>მომსახურება!D30</f>
        <v>1101.6949152542375</v>
      </c>
      <c r="J482" s="1">
        <f t="shared" si="70"/>
        <v>16525.423728813563</v>
      </c>
      <c r="K482" s="1">
        <f t="shared" si="69"/>
        <v>16525.423728813563</v>
      </c>
      <c r="L482" s="43"/>
      <c r="M482" s="77">
        <f>VLOOKUP(B482,[1]ბიუჯეტი!$B:$K,3,FALSE)</f>
        <v>15</v>
      </c>
      <c r="N482" s="77">
        <f>VLOOKUP($B482,[1]ბიუჯეტი!$B:$K,4,FALSE)</f>
        <v>0</v>
      </c>
      <c r="O482" s="77">
        <f>VLOOKUP($B482,[1]ბიუჯეტი!$B:$K,5,FALSE)</f>
        <v>0</v>
      </c>
      <c r="P482" s="77">
        <f>VLOOKUP($B482,[1]ბიუჯეტი!$B:$K,6,FALSE)</f>
        <v>0</v>
      </c>
      <c r="Q482" s="77">
        <f>VLOOKUP($B482,[1]ბიუჯეტი!$B:$K,7,FALSE)</f>
        <v>0</v>
      </c>
      <c r="R482" s="77">
        <f>VLOOKUP($B482,[1]ბიუჯეტი!$B:$K,8,FALSE)</f>
        <v>1101.6949152542375</v>
      </c>
      <c r="S482" s="77">
        <f>VLOOKUP($B482,[1]ბიუჯეტი!$B:$K,9,FALSE)</f>
        <v>16525.423728813563</v>
      </c>
      <c r="T482" s="77">
        <f>VLOOKUP($B482,[1]ბიუჯეტი!$B:$K,10,FALSE)</f>
        <v>16525.423728813563</v>
      </c>
      <c r="V482" s="78">
        <f t="shared" si="65"/>
        <v>0</v>
      </c>
      <c r="W482" s="78">
        <f t="shared" si="66"/>
        <v>0</v>
      </c>
      <c r="X482" s="78">
        <f t="shared" si="67"/>
        <v>0</v>
      </c>
      <c r="Y482" s="78">
        <f t="shared" si="68"/>
        <v>0</v>
      </c>
    </row>
    <row r="483" spans="1:25" x14ac:dyDescent="0.35">
      <c r="A483" s="51">
        <v>53</v>
      </c>
      <c r="B483" s="23" t="s">
        <v>151</v>
      </c>
      <c r="C483" s="4" t="s">
        <v>152</v>
      </c>
      <c r="D483" s="1">
        <v>3</v>
      </c>
      <c r="E483" s="1"/>
      <c r="F483" s="1">
        <f t="shared" si="71"/>
        <v>0</v>
      </c>
      <c r="G483" s="1"/>
      <c r="H483" s="1">
        <f t="shared" si="72"/>
        <v>0</v>
      </c>
      <c r="I483" s="1">
        <f>მომსახურება!D31</f>
        <v>2881.3559322033898</v>
      </c>
      <c r="J483" s="1">
        <f t="shared" si="70"/>
        <v>8644.0677966101684</v>
      </c>
      <c r="K483" s="1">
        <f t="shared" si="69"/>
        <v>8644.0677966101684</v>
      </c>
      <c r="L483" s="43"/>
      <c r="M483" s="77">
        <f>VLOOKUP(B483,[1]ბიუჯეტი!$B:$K,3,FALSE)</f>
        <v>3</v>
      </c>
      <c r="N483" s="77">
        <f>VLOOKUP($B483,[1]ბიუჯეტი!$B:$K,4,FALSE)</f>
        <v>0</v>
      </c>
      <c r="O483" s="77">
        <f>VLOOKUP($B483,[1]ბიუჯეტი!$B:$K,5,FALSE)</f>
        <v>0</v>
      </c>
      <c r="P483" s="77">
        <f>VLOOKUP($B483,[1]ბიუჯეტი!$B:$K,6,FALSE)</f>
        <v>0</v>
      </c>
      <c r="Q483" s="77">
        <f>VLOOKUP($B483,[1]ბიუჯეტი!$B:$K,7,FALSE)</f>
        <v>0</v>
      </c>
      <c r="R483" s="77">
        <f>VLOOKUP($B483,[1]ბიუჯეტი!$B:$K,8,FALSE)</f>
        <v>2881.3559322033898</v>
      </c>
      <c r="S483" s="77">
        <f>VLOOKUP($B483,[1]ბიუჯეტი!$B:$K,9,FALSE)</f>
        <v>8644.0677966101684</v>
      </c>
      <c r="T483" s="77">
        <f>VLOOKUP($B483,[1]ბიუჯეტი!$B:$K,10,FALSE)</f>
        <v>8644.0677966101684</v>
      </c>
      <c r="V483" s="78">
        <f t="shared" si="65"/>
        <v>0</v>
      </c>
      <c r="W483" s="78">
        <f t="shared" si="66"/>
        <v>0</v>
      </c>
      <c r="X483" s="78">
        <f t="shared" si="67"/>
        <v>0</v>
      </c>
      <c r="Y483" s="78">
        <f t="shared" si="68"/>
        <v>0</v>
      </c>
    </row>
    <row r="484" spans="1:25" x14ac:dyDescent="0.35">
      <c r="A484" s="51">
        <v>54</v>
      </c>
      <c r="B484" s="23" t="s">
        <v>153</v>
      </c>
      <c r="C484" s="4" t="s">
        <v>121</v>
      </c>
      <c r="D484" s="1">
        <v>42</v>
      </c>
      <c r="E484" s="1">
        <v>0</v>
      </c>
      <c r="F484" s="1">
        <f t="shared" si="71"/>
        <v>0</v>
      </c>
      <c r="G484" s="1"/>
      <c r="H484" s="1">
        <f t="shared" si="72"/>
        <v>0</v>
      </c>
      <c r="I484" s="1">
        <f>156.25*ფართები!$E$3/1.18</f>
        <v>358.84533898305085</v>
      </c>
      <c r="J484" s="1">
        <f t="shared" si="70"/>
        <v>15071.504237288136</v>
      </c>
      <c r="K484" s="1">
        <f t="shared" si="69"/>
        <v>15071.504237288136</v>
      </c>
      <c r="M484" s="77">
        <f>VLOOKUP(B484,[1]ბიუჯეტი!$B:$K,3,FALSE)</f>
        <v>44</v>
      </c>
      <c r="N484" s="77">
        <f>VLOOKUP($B484,[1]ბიუჯეტი!$B:$K,4,FALSE)</f>
        <v>0</v>
      </c>
      <c r="O484" s="77">
        <f>VLOOKUP($B484,[1]ბიუჯეტი!$B:$K,5,FALSE)</f>
        <v>0</v>
      </c>
      <c r="P484" s="77">
        <f>VLOOKUP($B484,[1]ბიუჯეტი!$B:$K,6,FALSE)</f>
        <v>0</v>
      </c>
      <c r="Q484" s="77">
        <f>VLOOKUP($B484,[1]ბიუჯეტი!$B:$K,7,FALSE)</f>
        <v>0</v>
      </c>
      <c r="R484" s="77">
        <f>VLOOKUP($B484,[1]ბიუჯეტი!$B:$K,8,FALSE)</f>
        <v>363.5593220338983</v>
      </c>
      <c r="S484" s="77">
        <f>VLOOKUP($B484,[1]ბიუჯეტი!$B:$K,9,FALSE)</f>
        <v>15996.610169491525</v>
      </c>
      <c r="T484" s="77">
        <f>VLOOKUP($B484,[1]ბიუჯეტი!$B:$K,10,FALSE)</f>
        <v>15996.610169491525</v>
      </c>
      <c r="V484" s="78">
        <f t="shared" si="65"/>
        <v>0</v>
      </c>
      <c r="W484" s="78">
        <f t="shared" si="66"/>
        <v>0</v>
      </c>
      <c r="X484" s="78">
        <f t="shared" si="67"/>
        <v>-4.7139830508474461</v>
      </c>
      <c r="Y484" s="78">
        <f t="shared" si="68"/>
        <v>-2</v>
      </c>
    </row>
    <row r="485" spans="1:25" x14ac:dyDescent="0.35">
      <c r="A485" s="51">
        <v>55</v>
      </c>
      <c r="B485" s="23" t="s">
        <v>432</v>
      </c>
      <c r="C485" s="4" t="s">
        <v>121</v>
      </c>
      <c r="D485" s="1">
        <v>42</v>
      </c>
      <c r="E485" s="1">
        <v>0</v>
      </c>
      <c r="F485" s="1">
        <f>D485*E485</f>
        <v>0</v>
      </c>
      <c r="G485" s="1"/>
      <c r="H485" s="1">
        <f>G485*D485</f>
        <v>0</v>
      </c>
      <c r="I485" s="1">
        <f>ხელფასი!D43</f>
        <v>25.5</v>
      </c>
      <c r="J485" s="1">
        <f>I485*D485</f>
        <v>1071</v>
      </c>
      <c r="K485" s="1">
        <f>F485+H485+J485</f>
        <v>1071</v>
      </c>
      <c r="M485" s="77" t="e">
        <f>VLOOKUP(B485,[1]ბიუჯეტი!$B:$K,3,FALSE)</f>
        <v>#N/A</v>
      </c>
      <c r="N485" s="77" t="e">
        <f>VLOOKUP($B485,[1]ბიუჯეტი!$B:$K,4,FALSE)</f>
        <v>#N/A</v>
      </c>
      <c r="O485" s="77" t="e">
        <f>VLOOKUP($B485,[1]ბიუჯეტი!$B:$K,5,FALSE)</f>
        <v>#N/A</v>
      </c>
      <c r="P485" s="77" t="e">
        <f>VLOOKUP($B485,[1]ბიუჯეტი!$B:$K,6,FALSE)</f>
        <v>#N/A</v>
      </c>
      <c r="Q485" s="77" t="e">
        <f>VLOOKUP($B485,[1]ბიუჯეტი!$B:$K,7,FALSE)</f>
        <v>#N/A</v>
      </c>
      <c r="R485" s="77" t="e">
        <f>VLOOKUP($B485,[1]ბიუჯეტი!$B:$K,8,FALSE)</f>
        <v>#N/A</v>
      </c>
      <c r="S485" s="77" t="e">
        <f>VLOOKUP($B485,[1]ბიუჯეტი!$B:$K,9,FALSE)</f>
        <v>#N/A</v>
      </c>
      <c r="T485" s="77" t="e">
        <f>VLOOKUP($B485,[1]ბიუჯეტი!$B:$K,10,FALSE)</f>
        <v>#N/A</v>
      </c>
      <c r="V485" s="78" t="e">
        <f t="shared" si="65"/>
        <v>#N/A</v>
      </c>
      <c r="W485" s="78" t="e">
        <f t="shared" si="66"/>
        <v>#N/A</v>
      </c>
      <c r="X485" s="78" t="e">
        <f t="shared" si="67"/>
        <v>#N/A</v>
      </c>
      <c r="Y485" s="78" t="e">
        <f t="shared" si="68"/>
        <v>#N/A</v>
      </c>
    </row>
    <row r="486" spans="1:25" x14ac:dyDescent="0.35">
      <c r="A486" s="51">
        <v>56</v>
      </c>
      <c r="B486" s="23" t="s">
        <v>188</v>
      </c>
      <c r="C486" s="4" t="s">
        <v>121</v>
      </c>
      <c r="D486" s="1">
        <v>42</v>
      </c>
      <c r="E486" s="1">
        <v>0</v>
      </c>
      <c r="F486" s="1">
        <f t="shared" si="71"/>
        <v>0</v>
      </c>
      <c r="G486" s="1"/>
      <c r="H486" s="1">
        <f>G486*D486</f>
        <v>0</v>
      </c>
      <c r="I486" s="1">
        <f>მომსახურება!D28</f>
        <v>76.271186440677965</v>
      </c>
      <c r="J486" s="1">
        <f>I486*D486</f>
        <v>3203.3898305084745</v>
      </c>
      <c r="K486" s="1">
        <f t="shared" si="69"/>
        <v>3203.3898305084745</v>
      </c>
      <c r="M486" s="77">
        <f>VLOOKUP(B486,[1]ბიუჯეტი!$B:$K,3,FALSE)</f>
        <v>44</v>
      </c>
      <c r="N486" s="77">
        <f>VLOOKUP($B486,[1]ბიუჯეტი!$B:$K,4,FALSE)</f>
        <v>0</v>
      </c>
      <c r="O486" s="77">
        <f>VLOOKUP($B486,[1]ბიუჯეტი!$B:$K,5,FALSE)</f>
        <v>0</v>
      </c>
      <c r="P486" s="77">
        <f>VLOOKUP($B486,[1]ბიუჯეტი!$B:$K,6,FALSE)</f>
        <v>0</v>
      </c>
      <c r="Q486" s="77">
        <f>VLOOKUP($B486,[1]ბიუჯეტი!$B:$K,7,FALSE)</f>
        <v>0</v>
      </c>
      <c r="R486" s="77">
        <f>VLOOKUP($B486,[1]ბიუჯეტი!$B:$K,8,FALSE)</f>
        <v>76.271186440677965</v>
      </c>
      <c r="S486" s="77">
        <f>VLOOKUP($B486,[1]ბიუჯეტი!$B:$K,9,FALSE)</f>
        <v>3355.9322033898306</v>
      </c>
      <c r="T486" s="77">
        <f>VLOOKUP($B486,[1]ბიუჯეტი!$B:$K,10,FALSE)</f>
        <v>3355.9322033898306</v>
      </c>
      <c r="V486" s="78">
        <f t="shared" si="65"/>
        <v>0</v>
      </c>
      <c r="W486" s="78">
        <f t="shared" si="66"/>
        <v>0</v>
      </c>
      <c r="X486" s="78">
        <f t="shared" si="67"/>
        <v>0</v>
      </c>
      <c r="Y486" s="78">
        <f t="shared" si="68"/>
        <v>-2</v>
      </c>
    </row>
    <row r="487" spans="1:25" x14ac:dyDescent="0.35">
      <c r="A487" s="51">
        <v>57</v>
      </c>
      <c r="B487" s="23" t="s">
        <v>154</v>
      </c>
      <c r="C487" s="4" t="s">
        <v>10</v>
      </c>
      <c r="D487" s="1">
        <v>690</v>
      </c>
      <c r="E487" s="1">
        <f>0.5/1.18</f>
        <v>0.42372881355932207</v>
      </c>
      <c r="F487" s="1">
        <f t="shared" si="71"/>
        <v>292.37288135593224</v>
      </c>
      <c r="G487" s="1">
        <f>2*1.275</f>
        <v>2.5499999999999998</v>
      </c>
      <c r="H487" s="1">
        <f t="shared" si="72"/>
        <v>1759.4999999999998</v>
      </c>
      <c r="I487" s="1">
        <v>1</v>
      </c>
      <c r="J487" s="1">
        <f t="shared" si="70"/>
        <v>690</v>
      </c>
      <c r="K487" s="1">
        <f t="shared" si="69"/>
        <v>2741.8728813559319</v>
      </c>
      <c r="M487" s="77">
        <f>VLOOKUP(B487,[1]ბიუჯეტი!$B:$K,3,FALSE)</f>
        <v>690</v>
      </c>
      <c r="N487" s="77">
        <f>VLOOKUP($B487,[1]ბიუჯეტი!$B:$K,4,FALSE)</f>
        <v>0.42372881355932207</v>
      </c>
      <c r="O487" s="77">
        <f>VLOOKUP($B487,[1]ბიუჯეტი!$B:$K,5,FALSE)</f>
        <v>292.37288135593224</v>
      </c>
      <c r="P487" s="77">
        <f>VLOOKUP($B487,[1]ბიუჯეტი!$B:$K,6,FALSE)</f>
        <v>2.5499999999999998</v>
      </c>
      <c r="Q487" s="77">
        <f>VLOOKUP($B487,[1]ბიუჯეტი!$B:$K,7,FALSE)</f>
        <v>1759.4999999999998</v>
      </c>
      <c r="R487" s="77">
        <f>VLOOKUP($B487,[1]ბიუჯეტი!$B:$K,8,FALSE)</f>
        <v>1</v>
      </c>
      <c r="S487" s="77">
        <f>VLOOKUP($B487,[1]ბიუჯეტი!$B:$K,9,FALSE)</f>
        <v>690</v>
      </c>
      <c r="T487" s="77">
        <f>VLOOKUP($B487,[1]ბიუჯეტი!$B:$K,10,FALSE)</f>
        <v>2741.8728813559319</v>
      </c>
      <c r="V487" s="78">
        <f t="shared" si="65"/>
        <v>0</v>
      </c>
      <c r="W487" s="78">
        <f t="shared" si="66"/>
        <v>0</v>
      </c>
      <c r="X487" s="78">
        <f t="shared" si="67"/>
        <v>0</v>
      </c>
      <c r="Y487" s="78">
        <f t="shared" si="68"/>
        <v>0</v>
      </c>
    </row>
    <row r="488" spans="1:25" x14ac:dyDescent="0.35">
      <c r="A488" s="51">
        <v>58</v>
      </c>
      <c r="B488" s="23" t="s">
        <v>155</v>
      </c>
      <c r="C488" s="4" t="s">
        <v>49</v>
      </c>
      <c r="D488" s="1">
        <f>69*3+28*3</f>
        <v>291</v>
      </c>
      <c r="E488" s="1">
        <f>SUM(K489:K491)/D488</f>
        <v>82.822033898305079</v>
      </c>
      <c r="F488" s="1">
        <f>SUM(F489:F491)</f>
        <v>24101.211864406778</v>
      </c>
      <c r="G488" s="1">
        <f>ხელფასი!D40</f>
        <v>51</v>
      </c>
      <c r="H488" s="1">
        <f>G488*D488</f>
        <v>14841</v>
      </c>
      <c r="I488" s="1">
        <v>0</v>
      </c>
      <c r="J488" s="1">
        <f>I488*D488</f>
        <v>0</v>
      </c>
      <c r="K488" s="1">
        <f t="shared" si="69"/>
        <v>38942.211864406781</v>
      </c>
      <c r="M488" s="77">
        <f>VLOOKUP(B488,[1]ბიუჯეტი!$B:$K,3,FALSE)</f>
        <v>207</v>
      </c>
      <c r="N488" s="77">
        <f>VLOOKUP($B488,[1]ბიუჯეტი!$B:$K,4,FALSE)</f>
        <v>0</v>
      </c>
      <c r="O488" s="77">
        <f>VLOOKUP($B488,[1]ბიუჯეტი!$B:$K,5,FALSE)</f>
        <v>17144.161016949151</v>
      </c>
      <c r="P488" s="77">
        <f>VLOOKUP($B488,[1]ბიუჯეტი!$B:$K,6,FALSE)</f>
        <v>51</v>
      </c>
      <c r="Q488" s="77">
        <f>VLOOKUP($B488,[1]ბიუჯეტი!$B:$K,7,FALSE)</f>
        <v>10557</v>
      </c>
      <c r="R488" s="77">
        <f>VLOOKUP($B488,[1]ბიუჯეტი!$B:$K,8,FALSE)</f>
        <v>0</v>
      </c>
      <c r="S488" s="77">
        <f>VLOOKUP($B488,[1]ბიუჯეტი!$B:$K,9,FALSE)</f>
        <v>0</v>
      </c>
      <c r="T488" s="77">
        <f>VLOOKUP($B488,[1]ბიუჯეტი!$B:$K,10,FALSE)</f>
        <v>27701.161016949151</v>
      </c>
      <c r="V488" s="78">
        <f t="shared" si="65"/>
        <v>82.822033898305079</v>
      </c>
      <c r="W488" s="78">
        <f t="shared" si="66"/>
        <v>0</v>
      </c>
      <c r="X488" s="78">
        <f t="shared" si="67"/>
        <v>0</v>
      </c>
      <c r="Y488" s="78">
        <f t="shared" si="68"/>
        <v>84</v>
      </c>
    </row>
    <row r="489" spans="1:25" hidden="1" outlineLevel="1" x14ac:dyDescent="0.35">
      <c r="A489" s="51"/>
      <c r="B489" s="3" t="s">
        <v>417</v>
      </c>
      <c r="C489" s="4" t="s">
        <v>55</v>
      </c>
      <c r="D489" s="1">
        <f>D488</f>
        <v>291</v>
      </c>
      <c r="E489" s="1">
        <f>SUMIFS(მასალა!D3:D466,მასალა!B3:B466,ბიუჯეტი!B489)</f>
        <v>76.271186440677965</v>
      </c>
      <c r="F489" s="1">
        <f t="shared" si="71"/>
        <v>22194.915254237287</v>
      </c>
      <c r="G489" s="1"/>
      <c r="H489" s="1"/>
      <c r="I489" s="1"/>
      <c r="J489" s="1"/>
      <c r="K489" s="1">
        <f t="shared" si="69"/>
        <v>22194.915254237287</v>
      </c>
      <c r="M489" s="77">
        <f>VLOOKUP(B489,[1]ბიუჯეტი!$B:$K,3,FALSE)</f>
        <v>207</v>
      </c>
      <c r="N489" s="77">
        <f>VLOOKUP($B489,[1]ბიუჯეტი!$B:$K,4,FALSE)</f>
        <v>76.271186440677965</v>
      </c>
      <c r="O489" s="77">
        <f>VLOOKUP($B489,[1]ბიუჯეტი!$B:$K,5,FALSE)</f>
        <v>15788.135593220339</v>
      </c>
      <c r="P489" s="77">
        <f>VLOOKUP($B489,[1]ბიუჯეტი!$B:$K,6,FALSE)</f>
        <v>0</v>
      </c>
      <c r="Q489" s="77">
        <f>VLOOKUP($B489,[1]ბიუჯეტი!$B:$K,7,FALSE)</f>
        <v>0</v>
      </c>
      <c r="R489" s="77">
        <f>VLOOKUP($B489,[1]ბიუჯეტი!$B:$K,8,FALSE)</f>
        <v>0</v>
      </c>
      <c r="S489" s="77">
        <f>VLOOKUP($B489,[1]ბიუჯეტი!$B:$K,9,FALSE)</f>
        <v>0</v>
      </c>
      <c r="T489" s="77">
        <f>VLOOKUP($B489,[1]ბიუჯეტი!$B:$K,10,FALSE)</f>
        <v>15788.135593220339</v>
      </c>
      <c r="V489" s="78">
        <f t="shared" si="65"/>
        <v>0</v>
      </c>
      <c r="W489" s="78">
        <f t="shared" si="66"/>
        <v>0</v>
      </c>
      <c r="X489" s="78">
        <f t="shared" si="67"/>
        <v>0</v>
      </c>
      <c r="Y489" s="78">
        <f t="shared" si="68"/>
        <v>84</v>
      </c>
    </row>
    <row r="490" spans="1:25" hidden="1" outlineLevel="1" x14ac:dyDescent="0.35">
      <c r="A490" s="51"/>
      <c r="B490" s="3" t="s">
        <v>63</v>
      </c>
      <c r="C490" s="4" t="s">
        <v>192</v>
      </c>
      <c r="D490" s="1">
        <f>((69+28)*3*0.3*1.4)/2</f>
        <v>61.109999999999992</v>
      </c>
      <c r="E490" s="1">
        <f>მასალა!D20</f>
        <v>11.016949152542374</v>
      </c>
      <c r="F490" s="1">
        <f>D490*E490</f>
        <v>673.24576271186436</v>
      </c>
      <c r="G490" s="1"/>
      <c r="H490" s="1"/>
      <c r="I490" s="1"/>
      <c r="J490" s="1"/>
      <c r="K490" s="1">
        <f t="shared" si="69"/>
        <v>673.24576271186436</v>
      </c>
      <c r="M490" s="77">
        <f>VLOOKUP(B490,[1]ბიუჯეტი!$B:$K,3,FALSE)</f>
        <v>8</v>
      </c>
      <c r="N490" s="77">
        <f>VLOOKUP($B490,[1]ბიუჯეტი!$B:$K,4,FALSE)</f>
        <v>11.016949152542374</v>
      </c>
      <c r="O490" s="77">
        <f>VLOOKUP($B490,[1]ბიუჯეტი!$B:$K,5,FALSE)</f>
        <v>88.13559322033899</v>
      </c>
      <c r="P490" s="77">
        <f>VLOOKUP($B490,[1]ბიუჯეტი!$B:$K,6,FALSE)</f>
        <v>0</v>
      </c>
      <c r="Q490" s="77">
        <f>VLOOKUP($B490,[1]ბიუჯეტი!$B:$K,7,FALSE)</f>
        <v>0</v>
      </c>
      <c r="R490" s="77">
        <f>VLOOKUP($B490,[1]ბიუჯეტი!$B:$K,8,FALSE)</f>
        <v>0</v>
      </c>
      <c r="S490" s="77">
        <f>VLOOKUP($B490,[1]ბიუჯეტი!$B:$K,9,FALSE)</f>
        <v>0</v>
      </c>
      <c r="T490" s="77">
        <f>VLOOKUP($B490,[1]ბიუჯეტი!$B:$K,10,FALSE)</f>
        <v>88.13559322033899</v>
      </c>
      <c r="V490" s="78">
        <f t="shared" si="65"/>
        <v>0</v>
      </c>
      <c r="W490" s="78">
        <f t="shared" si="66"/>
        <v>0</v>
      </c>
      <c r="X490" s="78">
        <f t="shared" si="67"/>
        <v>0</v>
      </c>
      <c r="Y490" s="78">
        <f t="shared" si="68"/>
        <v>53.109999999999992</v>
      </c>
    </row>
    <row r="491" spans="1:25" hidden="1" outlineLevel="1" x14ac:dyDescent="0.35">
      <c r="A491" s="51"/>
      <c r="B491" s="3" t="s">
        <v>393</v>
      </c>
      <c r="C491" s="4" t="s">
        <v>40</v>
      </c>
      <c r="D491" s="1">
        <f>D488</f>
        <v>291</v>
      </c>
      <c r="E491" s="1">
        <f>SUMIFS(მასალა!D3:D468,მასალა!B3:B468,ბიუჯეტი!B491)</f>
        <v>4.2372881355932206</v>
      </c>
      <c r="F491" s="1">
        <f t="shared" si="71"/>
        <v>1233.0508474576272</v>
      </c>
      <c r="G491" s="1"/>
      <c r="H491" s="1"/>
      <c r="I491" s="1"/>
      <c r="J491" s="1"/>
      <c r="K491" s="1">
        <f t="shared" si="69"/>
        <v>1233.0508474576272</v>
      </c>
      <c r="M491" s="77">
        <f>VLOOKUP(B491,[1]ბიუჯეტი!$B:$K,3,FALSE)</f>
        <v>207</v>
      </c>
      <c r="N491" s="77">
        <f>VLOOKUP($B491,[1]ბიუჯეტი!$B:$K,4,FALSE)</f>
        <v>4.2372881355932206</v>
      </c>
      <c r="O491" s="77">
        <f>VLOOKUP($B491,[1]ბიუჯეტი!$B:$K,5,FALSE)</f>
        <v>877.11864406779671</v>
      </c>
      <c r="P491" s="77">
        <f>VLOOKUP($B491,[1]ბიუჯეტი!$B:$K,6,FALSE)</f>
        <v>0</v>
      </c>
      <c r="Q491" s="77">
        <f>VLOOKUP($B491,[1]ბიუჯეტი!$B:$K,7,FALSE)</f>
        <v>0</v>
      </c>
      <c r="R491" s="77">
        <f>VLOOKUP($B491,[1]ბიუჯეტი!$B:$K,8,FALSE)</f>
        <v>0</v>
      </c>
      <c r="S491" s="77">
        <f>VLOOKUP($B491,[1]ბიუჯეტი!$B:$K,9,FALSE)</f>
        <v>0</v>
      </c>
      <c r="T491" s="77">
        <f>VLOOKUP($B491,[1]ბიუჯეტი!$B:$K,10,FALSE)</f>
        <v>877.11864406779671</v>
      </c>
      <c r="V491" s="78">
        <f t="shared" si="65"/>
        <v>0</v>
      </c>
      <c r="W491" s="78">
        <f t="shared" si="66"/>
        <v>0</v>
      </c>
      <c r="X491" s="78">
        <f t="shared" si="67"/>
        <v>0</v>
      </c>
      <c r="Y491" s="78">
        <f t="shared" si="68"/>
        <v>84</v>
      </c>
    </row>
    <row r="492" spans="1:25" collapsed="1" x14ac:dyDescent="0.35">
      <c r="A492" s="51">
        <v>59</v>
      </c>
      <c r="B492" s="23" t="s">
        <v>29</v>
      </c>
      <c r="C492" s="4" t="s">
        <v>30</v>
      </c>
      <c r="D492" s="1">
        <v>120</v>
      </c>
      <c r="E492" s="1"/>
      <c r="F492" s="1">
        <f t="shared" si="71"/>
        <v>0</v>
      </c>
      <c r="G492" s="1">
        <f>4*80*1.275</f>
        <v>408</v>
      </c>
      <c r="H492" s="1">
        <f t="shared" si="72"/>
        <v>48960</v>
      </c>
      <c r="I492" s="1">
        <v>0</v>
      </c>
      <c r="J492" s="1">
        <f t="shared" si="70"/>
        <v>0</v>
      </c>
      <c r="K492" s="1">
        <f t="shared" si="69"/>
        <v>48960</v>
      </c>
      <c r="M492" s="77">
        <f>VLOOKUP(B492,[1]ბიუჯეტი!$B:$K,3,FALSE)</f>
        <v>60</v>
      </c>
      <c r="N492" s="77">
        <f>VLOOKUP($B492,[1]ბიუჯეტი!$B:$K,4,FALSE)</f>
        <v>0</v>
      </c>
      <c r="O492" s="77">
        <f>VLOOKUP($B492,[1]ბიუჯეტი!$B:$K,5,FALSE)</f>
        <v>0</v>
      </c>
      <c r="P492" s="77">
        <f>VLOOKUP($B492,[1]ბიუჯეტი!$B:$K,6,FALSE)</f>
        <v>408</v>
      </c>
      <c r="Q492" s="77">
        <f>VLOOKUP($B492,[1]ბიუჯეტი!$B:$K,7,FALSE)</f>
        <v>24480</v>
      </c>
      <c r="R492" s="77">
        <f>VLOOKUP($B492,[1]ბიუჯეტი!$B:$K,8,FALSE)</f>
        <v>0</v>
      </c>
      <c r="S492" s="77">
        <f>VLOOKUP($B492,[1]ბიუჯეტი!$B:$K,9,FALSE)</f>
        <v>0</v>
      </c>
      <c r="T492" s="77">
        <f>VLOOKUP($B492,[1]ბიუჯეტი!$B:$K,10,FALSE)</f>
        <v>24480</v>
      </c>
      <c r="V492" s="78">
        <f t="shared" si="65"/>
        <v>0</v>
      </c>
      <c r="W492" s="78">
        <f t="shared" si="66"/>
        <v>0</v>
      </c>
      <c r="X492" s="78">
        <f t="shared" si="67"/>
        <v>0</v>
      </c>
      <c r="Y492" s="78">
        <f t="shared" si="68"/>
        <v>60</v>
      </c>
    </row>
    <row r="493" spans="1:25" x14ac:dyDescent="0.35">
      <c r="A493" s="51">
        <v>60</v>
      </c>
      <c r="B493" s="23" t="s">
        <v>37</v>
      </c>
      <c r="C493" s="4" t="s">
        <v>39</v>
      </c>
      <c r="D493" s="1">
        <v>4</v>
      </c>
      <c r="E493" s="1">
        <f>9500/1.18</f>
        <v>8050.8474576271192</v>
      </c>
      <c r="F493" s="1">
        <f t="shared" si="71"/>
        <v>32203.389830508477</v>
      </c>
      <c r="G493" s="1">
        <v>0</v>
      </c>
      <c r="H493" s="1">
        <f t="shared" si="72"/>
        <v>0</v>
      </c>
      <c r="I493" s="1">
        <f>9500/1.18</f>
        <v>8050.8474576271192</v>
      </c>
      <c r="J493" s="1">
        <f t="shared" si="70"/>
        <v>32203.389830508477</v>
      </c>
      <c r="K493" s="1">
        <f>F493+H493+J493</f>
        <v>64406.779661016953</v>
      </c>
      <c r="M493" s="77">
        <f>VLOOKUP(B493,[1]ბიუჯეტი!$B:$K,3,FALSE)</f>
        <v>2</v>
      </c>
      <c r="N493" s="77">
        <f>VLOOKUP($B493,[1]ბიუჯეტი!$B:$K,4,FALSE)</f>
        <v>8050.8474576271192</v>
      </c>
      <c r="O493" s="77">
        <f>VLOOKUP($B493,[1]ბიუჯეტი!$B:$K,5,FALSE)</f>
        <v>16101.694915254238</v>
      </c>
      <c r="P493" s="77">
        <f>VLOOKUP($B493,[1]ბიუჯეტი!$B:$K,6,FALSE)</f>
        <v>0</v>
      </c>
      <c r="Q493" s="77">
        <f>VLOOKUP($B493,[1]ბიუჯეტი!$B:$K,7,FALSE)</f>
        <v>0</v>
      </c>
      <c r="R493" s="77">
        <f>VLOOKUP($B493,[1]ბიუჯეტი!$B:$K,8,FALSE)</f>
        <v>8050.8474576271192</v>
      </c>
      <c r="S493" s="77">
        <f>VLOOKUP($B493,[1]ბიუჯეტი!$B:$K,9,FALSE)</f>
        <v>16101.694915254238</v>
      </c>
      <c r="T493" s="77">
        <f>VLOOKUP($B493,[1]ბიუჯეტი!$B:$K,10,FALSE)</f>
        <v>32203.389830508477</v>
      </c>
      <c r="V493" s="78">
        <f t="shared" si="65"/>
        <v>0</v>
      </c>
      <c r="W493" s="78">
        <f t="shared" si="66"/>
        <v>0</v>
      </c>
      <c r="X493" s="78">
        <f t="shared" si="67"/>
        <v>0</v>
      </c>
      <c r="Y493" s="78">
        <f t="shared" si="68"/>
        <v>2</v>
      </c>
    </row>
    <row r="494" spans="1:25" x14ac:dyDescent="0.35">
      <c r="A494" s="2"/>
      <c r="B494" s="16" t="s">
        <v>8</v>
      </c>
      <c r="C494" s="4"/>
      <c r="D494" s="1"/>
      <c r="E494" s="1"/>
      <c r="F494" s="25">
        <f>SUM(F62,F90,F94,F107,F130,F141,F162,F167,F168,F185,F195,F199,F206,F216,F229,F242,F259,F275,F284,F297,F307,F322,F347,F370,F374,F377,F379,F381,F385,F388,F392,F395,F399,F404,F406,F407,F420,F425,F432,F448,F461,F466,F473,F476,F480,F481,F482,F483,F484,F487,F492,F488,F493,F486,F123,F405)</f>
        <v>1056105.6904774269</v>
      </c>
      <c r="G494" s="1"/>
      <c r="H494" s="25">
        <f>SUM(H62,H90,H94,H107,H130,H141,H162,H167,H168,H185,H195,H199,H206,H216,H229,H242,H259,H275,H284,H297,H307,H322,H347,H370,H374,H377,H379,H381,H385,H388,H392,H395,H399,H404,H406,H407,H420,H425,H432,H448,H461,H466,H473,H476,H480,H481,H482,H483,H484,H487,H492,H488,H493,H486,H123,H405)</f>
        <v>775983.31115999992</v>
      </c>
      <c r="I494" s="22"/>
      <c r="J494" s="25">
        <f>SUM(J62,J90,J94,J107,J130,J141,J162,J167,J168,J185,J195,J199,J206,J216,J229,J242,J259,J275,J284,J297,J307,J322,J347,J370,J374,J377,J379,J381,J385,J388,J392,J395,J399,J404,J406,J407,J420,J425,J432,J448,J461,J466,J473,J476,J480,J481,J482,J483,J484,J487,J492,J488,J493,J486,J123,J405,J477,J478,J479)</f>
        <v>766099.31369491538</v>
      </c>
      <c r="K494" s="25">
        <f>SUM(K62,K90,K94,K107,K130,K141,K162,K167,K168,K185,K195,K199,K206,K216,K229,K242,K259,K275,K284,K297,K307,K322,K347,K370,K374,K377,K379,K381,K385,K388,K392,K395,K399,K404,K406,K407,K420,K425,K432,K448,K461,K479,K466,K473,K476,K480,K481,K482,K483,K484,K487,K492,K488,K493,K486,K477,K478,K405,K123,K485)</f>
        <v>2599259.3153323419</v>
      </c>
      <c r="L494" s="76">
        <v>38984.745762711864</v>
      </c>
      <c r="M494" s="77">
        <f>VLOOKUP(B494,[1]ბიუჯეტი!$B:$K,3,FALSE)</f>
        <v>0</v>
      </c>
      <c r="N494" s="77">
        <f>VLOOKUP($B494,[1]ბიუჯეტი!$B:$K,4,FALSE)</f>
        <v>0</v>
      </c>
      <c r="O494" s="77">
        <f>VLOOKUP($B494,[1]ბიუჯეტი!$B:$K,5,FALSE)</f>
        <v>0</v>
      </c>
      <c r="P494" s="77">
        <f>VLOOKUP($B494,[1]ბიუჯეტი!$B:$K,6,FALSE)</f>
        <v>0</v>
      </c>
      <c r="Q494" s="77">
        <f>VLOOKUP($B494,[1]ბიუჯეტი!$B:$K,7,FALSE)</f>
        <v>0</v>
      </c>
      <c r="R494" s="77">
        <f>VLOOKUP($B494,[1]ბიუჯეტი!$B:$K,8,FALSE)</f>
        <v>0</v>
      </c>
      <c r="S494" s="77">
        <f>VLOOKUP($B494,[1]ბიუჯეტი!$B:$K,9,FALSE)</f>
        <v>138264.73340932201</v>
      </c>
      <c r="T494" s="77">
        <f>VLOOKUP($B494,[1]ბიუჯეტი!$B:$K,10,FALSE)</f>
        <v>138264.73340932201</v>
      </c>
    </row>
    <row r="495" spans="1:25" x14ac:dyDescent="0.35">
      <c r="A495" s="2"/>
      <c r="B495" s="16" t="s">
        <v>15</v>
      </c>
      <c r="C495" s="17">
        <v>7.3999999999999996E-2</v>
      </c>
      <c r="D495" s="18"/>
      <c r="E495" s="19"/>
      <c r="F495" s="20"/>
      <c r="G495" s="18"/>
      <c r="H495" s="20"/>
      <c r="I495" s="20"/>
      <c r="J495" s="20"/>
      <c r="K495" s="34">
        <f>K494*C495</f>
        <v>192345.18933459331</v>
      </c>
      <c r="L495" s="34">
        <f>L494*C495</f>
        <v>2884.8711864406778</v>
      </c>
      <c r="M495" s="77">
        <f>VLOOKUP(B495,[1]ბიუჯეტი!$B:$K,3,FALSE)</f>
        <v>0</v>
      </c>
      <c r="N495" s="77">
        <f>VLOOKUP($B495,[1]ბიუჯეტი!$B:$K,4,FALSE)</f>
        <v>0</v>
      </c>
      <c r="O495" s="77">
        <f>VLOOKUP($B495,[1]ბიუჯეტი!$B:$K,5,FALSE)</f>
        <v>0</v>
      </c>
      <c r="P495" s="77">
        <f>VLOOKUP($B495,[1]ბიუჯეტი!$B:$K,6,FALSE)</f>
        <v>0</v>
      </c>
      <c r="Q495" s="77">
        <f>VLOOKUP($B495,[1]ბიუჯეტი!$B:$K,7,FALSE)</f>
        <v>0</v>
      </c>
      <c r="R495" s="77">
        <f>VLOOKUP($B495,[1]ბიუჯეტი!$B:$K,8,FALSE)</f>
        <v>0</v>
      </c>
      <c r="S495" s="77">
        <f>VLOOKUP($B495,[1]ბიუჯეტი!$B:$K,9,FALSE)</f>
        <v>0</v>
      </c>
      <c r="T495" s="77">
        <f>VLOOKUP($B495,[1]ბიუჯეტი!$B:$K,10,FALSE)</f>
        <v>10231.590272289828</v>
      </c>
    </row>
    <row r="496" spans="1:25" x14ac:dyDescent="0.35">
      <c r="A496" s="2"/>
      <c r="B496" s="16" t="s">
        <v>8</v>
      </c>
      <c r="C496" s="21"/>
      <c r="D496" s="18"/>
      <c r="E496" s="19"/>
      <c r="F496" s="20"/>
      <c r="G496" s="18"/>
      <c r="H496" s="22"/>
      <c r="I496" s="20"/>
      <c r="J496" s="20"/>
      <c r="K496" s="20">
        <f>SUM(K494:K495)</f>
        <v>2791604.5046669352</v>
      </c>
      <c r="L496" s="20">
        <f>SUM(L494:L495)</f>
        <v>41869.616949152543</v>
      </c>
      <c r="M496" s="77">
        <f>VLOOKUP(B496,[1]ბიუჯეტი!$B:$K,3,FALSE)</f>
        <v>0</v>
      </c>
      <c r="N496" s="77">
        <f>VLOOKUP($B496,[1]ბიუჯეტი!$B:$K,4,FALSE)</f>
        <v>0</v>
      </c>
      <c r="O496" s="77">
        <f>VLOOKUP($B496,[1]ბიუჯეტი!$B:$K,5,FALSE)</f>
        <v>0</v>
      </c>
      <c r="P496" s="77">
        <f>VLOOKUP($B496,[1]ბიუჯეტი!$B:$K,6,FALSE)</f>
        <v>0</v>
      </c>
      <c r="Q496" s="77">
        <f>VLOOKUP($B496,[1]ბიუჯეტი!$B:$K,7,FALSE)</f>
        <v>0</v>
      </c>
      <c r="R496" s="77">
        <f>VLOOKUP($B496,[1]ბიუჯეტი!$B:$K,8,FALSE)</f>
        <v>0</v>
      </c>
      <c r="S496" s="77">
        <f>VLOOKUP($B496,[1]ბიუჯეტი!$B:$K,9,FALSE)</f>
        <v>138264.73340932201</v>
      </c>
      <c r="T496" s="77">
        <f>VLOOKUP($B496,[1]ბიუჯეტი!$B:$K,10,FALSE)</f>
        <v>138264.73340932201</v>
      </c>
    </row>
    <row r="497" spans="1:20" x14ac:dyDescent="0.35">
      <c r="A497" s="2"/>
      <c r="B497" s="16" t="s">
        <v>42</v>
      </c>
      <c r="C497" s="17">
        <v>3.5000000000000003E-2</v>
      </c>
      <c r="D497" s="18"/>
      <c r="E497" s="19"/>
      <c r="F497" s="22"/>
      <c r="G497" s="18"/>
      <c r="H497" s="22"/>
      <c r="I497" s="22"/>
      <c r="J497" s="22"/>
      <c r="K497" s="20">
        <f>K496*C497</f>
        <v>97706.157663342747</v>
      </c>
      <c r="L497" s="20">
        <f>L496*C497</f>
        <v>1465.4365932203391</v>
      </c>
      <c r="M497" s="77">
        <f>VLOOKUP(B497,[1]ბიუჯეტი!$B:$K,3,FALSE)</f>
        <v>0</v>
      </c>
      <c r="N497" s="77">
        <f>VLOOKUP($B497,[1]ბიუჯეტი!$B:$K,4,FALSE)</f>
        <v>0</v>
      </c>
      <c r="O497" s="77">
        <f>VLOOKUP($B497,[1]ბიუჯეტი!$B:$K,5,FALSE)</f>
        <v>0</v>
      </c>
      <c r="P497" s="77">
        <f>VLOOKUP($B497,[1]ბიუჯეტი!$B:$K,6,FALSE)</f>
        <v>0</v>
      </c>
      <c r="Q497" s="77">
        <f>VLOOKUP($B497,[1]ბიუჯეტი!$B:$K,7,FALSE)</f>
        <v>0</v>
      </c>
      <c r="R497" s="77">
        <f>VLOOKUP($B497,[1]ბიუჯეტი!$B:$K,8,FALSE)</f>
        <v>0</v>
      </c>
      <c r="S497" s="77">
        <f>VLOOKUP($B497,[1]ბიუჯეტი!$B:$K,9,FALSE)</f>
        <v>0</v>
      </c>
      <c r="T497" s="77">
        <f>VLOOKUP($B497,[1]ბიუჯეტი!$B:$K,10,FALSE)</f>
        <v>5353.2924687221075</v>
      </c>
    </row>
    <row r="498" spans="1:20" x14ac:dyDescent="0.35">
      <c r="A498" s="2"/>
      <c r="B498" s="16" t="s">
        <v>8</v>
      </c>
      <c r="C498" s="4"/>
      <c r="D498" s="18"/>
      <c r="E498" s="18"/>
      <c r="F498" s="22"/>
      <c r="G498" s="18"/>
      <c r="H498" s="22"/>
      <c r="I498" s="22"/>
      <c r="J498" s="22"/>
      <c r="K498" s="20">
        <f>SUM(K496:K497)</f>
        <v>2889310.6623302777</v>
      </c>
      <c r="L498" s="20">
        <f>SUM(L496:L497)</f>
        <v>43335.05354237288</v>
      </c>
      <c r="M498" s="77">
        <f>VLOOKUP(B498,[1]ბიუჯეტი!$B:$K,3,FALSE)</f>
        <v>0</v>
      </c>
      <c r="N498" s="77">
        <f>VLOOKUP($B498,[1]ბიუჯეტი!$B:$K,4,FALSE)</f>
        <v>0</v>
      </c>
      <c r="O498" s="77">
        <f>VLOOKUP($B498,[1]ბიუჯეტი!$B:$K,5,FALSE)</f>
        <v>0</v>
      </c>
      <c r="P498" s="77">
        <f>VLOOKUP($B498,[1]ბიუჯეტი!$B:$K,6,FALSE)</f>
        <v>0</v>
      </c>
      <c r="Q498" s="77">
        <f>VLOOKUP($B498,[1]ბიუჯეტი!$B:$K,7,FALSE)</f>
        <v>0</v>
      </c>
      <c r="R498" s="77">
        <f>VLOOKUP($B498,[1]ბიუჯეტი!$B:$K,8,FALSE)</f>
        <v>0</v>
      </c>
      <c r="S498" s="77">
        <f>VLOOKUP($B498,[1]ბიუჯეტი!$B:$K,9,FALSE)</f>
        <v>138264.73340932201</v>
      </c>
      <c r="T498" s="77">
        <f>VLOOKUP($B498,[1]ბიუჯეტი!$B:$K,10,FALSE)</f>
        <v>138264.73340932201</v>
      </c>
    </row>
    <row r="499" spans="1:20" x14ac:dyDescent="0.35">
      <c r="A499" s="2"/>
      <c r="B499" s="16" t="s">
        <v>16</v>
      </c>
      <c r="C499" s="17">
        <v>0.16500000000000001</v>
      </c>
      <c r="D499" s="18"/>
      <c r="E499" s="19"/>
      <c r="F499" s="22"/>
      <c r="G499" s="18"/>
      <c r="H499" s="22"/>
      <c r="I499" s="22"/>
      <c r="J499" s="22"/>
      <c r="K499" s="20">
        <f>K498*C499</f>
        <v>476736.25928449584</v>
      </c>
      <c r="L499" s="20">
        <f>L498*C499</f>
        <v>7150.2838344915253</v>
      </c>
      <c r="M499" s="77">
        <f>VLOOKUP(B499,[1]ბიუჯეტი!$B:$K,3,FALSE)</f>
        <v>0</v>
      </c>
      <c r="N499" s="77">
        <f>VLOOKUP($B499,[1]ბიუჯეტი!$B:$K,4,FALSE)</f>
        <v>0</v>
      </c>
      <c r="O499" s="77">
        <f>VLOOKUP($B499,[1]ბიუჯეტი!$B:$K,5,FALSE)</f>
        <v>0</v>
      </c>
      <c r="P499" s="77">
        <f>VLOOKUP($B499,[1]ბიუჯეტი!$B:$K,6,FALSE)</f>
        <v>0</v>
      </c>
      <c r="Q499" s="77">
        <f>VLOOKUP($B499,[1]ბიუჯეტი!$B:$K,7,FALSE)</f>
        <v>0</v>
      </c>
      <c r="R499" s="77">
        <f>VLOOKUP($B499,[1]ბიუჯეტი!$B:$K,8,FALSE)</f>
        <v>0</v>
      </c>
      <c r="S499" s="77">
        <f>VLOOKUP($B499,[1]ბიუჯეტი!$B:$K,9,FALSE)</f>
        <v>0</v>
      </c>
      <c r="T499" s="77">
        <f>VLOOKUP($B499,[1]ბიუჯეტი!$B:$K,10,FALSE)</f>
        <v>22162.630820509523</v>
      </c>
    </row>
    <row r="500" spans="1:20" x14ac:dyDescent="0.35">
      <c r="A500" s="2"/>
      <c r="B500" s="16" t="s">
        <v>8</v>
      </c>
      <c r="C500" s="4"/>
      <c r="D500" s="18"/>
      <c r="E500" s="18"/>
      <c r="F500" s="22"/>
      <c r="G500" s="18"/>
      <c r="H500" s="22"/>
      <c r="I500" s="22"/>
      <c r="J500" s="22"/>
      <c r="K500" s="20">
        <f>SUM(K498:K499)</f>
        <v>3366046.9216147736</v>
      </c>
      <c r="L500" s="20">
        <f>SUM(L498:L499)</f>
        <v>50485.337376864409</v>
      </c>
      <c r="M500" s="77">
        <f>VLOOKUP(B500,[1]ბიუჯეტი!$B:$K,3,FALSE)</f>
        <v>0</v>
      </c>
      <c r="N500" s="77">
        <f>VLOOKUP($B500,[1]ბიუჯეტი!$B:$K,4,FALSE)</f>
        <v>0</v>
      </c>
      <c r="O500" s="77">
        <f>VLOOKUP($B500,[1]ბიუჯეტი!$B:$K,5,FALSE)</f>
        <v>0</v>
      </c>
      <c r="P500" s="77">
        <f>VLOOKUP($B500,[1]ბიუჯეტი!$B:$K,6,FALSE)</f>
        <v>0</v>
      </c>
      <c r="Q500" s="77">
        <f>VLOOKUP($B500,[1]ბიუჯეტი!$B:$K,7,FALSE)</f>
        <v>0</v>
      </c>
      <c r="R500" s="77">
        <f>VLOOKUP($B500,[1]ბიუჯეტი!$B:$K,8,FALSE)</f>
        <v>0</v>
      </c>
      <c r="S500" s="77">
        <f>VLOOKUP($B500,[1]ბიუჯეტი!$B:$K,9,FALSE)</f>
        <v>138264.73340932201</v>
      </c>
      <c r="T500" s="77">
        <f>VLOOKUP($B500,[1]ბიუჯეტი!$B:$K,10,FALSE)</f>
        <v>138264.73340932201</v>
      </c>
    </row>
    <row r="501" spans="1:20" x14ac:dyDescent="0.35">
      <c r="A501" s="2"/>
      <c r="B501" s="16" t="s">
        <v>17</v>
      </c>
      <c r="C501" s="17">
        <v>0.18</v>
      </c>
      <c r="D501" s="18"/>
      <c r="E501" s="18"/>
      <c r="F501" s="22"/>
      <c r="G501" s="18"/>
      <c r="H501" s="22"/>
      <c r="I501" s="22"/>
      <c r="J501" s="22"/>
      <c r="K501" s="20">
        <f>K500*C501</f>
        <v>605888.44589065923</v>
      </c>
      <c r="L501" s="20">
        <f>L500*C501</f>
        <v>9087.3607278355939</v>
      </c>
      <c r="M501" s="77">
        <f>VLOOKUP(B501,[1]ბიუჯეტი!$B:$K,3,FALSE)</f>
        <v>0</v>
      </c>
      <c r="N501" s="77">
        <f>VLOOKUP($B501,[1]ბიუჯეტი!$B:$K,4,FALSE)</f>
        <v>0</v>
      </c>
      <c r="O501" s="77">
        <f>VLOOKUP($B501,[1]ბიუჯეტი!$B:$K,5,FALSE)</f>
        <v>0</v>
      </c>
      <c r="P501" s="77">
        <f>VLOOKUP($B501,[1]ბიუჯეტი!$B:$K,6,FALSE)</f>
        <v>0</v>
      </c>
      <c r="Q501" s="77">
        <f>VLOOKUP($B501,[1]ბიუჯეტი!$B:$K,7,FALSE)</f>
        <v>0</v>
      </c>
      <c r="R501" s="77">
        <f>VLOOKUP($B501,[1]ბიუჯეტი!$B:$K,8,FALSE)</f>
        <v>0</v>
      </c>
      <c r="S501" s="77">
        <f>VLOOKUP($B501,[1]ბიუჯეტი!$B:$K,9,FALSE)</f>
        <v>0</v>
      </c>
      <c r="T501" s="77">
        <f>VLOOKUP($B501,[1]ბიუჯეტი!$B:$K,10,FALSE)</f>
        <v>32484.084602632523</v>
      </c>
    </row>
    <row r="502" spans="1:20" x14ac:dyDescent="0.35">
      <c r="A502" s="2"/>
      <c r="B502" s="16" t="s">
        <v>18</v>
      </c>
      <c r="C502" s="4"/>
      <c r="D502" s="18"/>
      <c r="E502" s="18"/>
      <c r="F502" s="22"/>
      <c r="G502" s="18"/>
      <c r="H502" s="22"/>
      <c r="I502" s="22"/>
      <c r="J502" s="22"/>
      <c r="K502" s="20">
        <f>SUM(K500:K501)</f>
        <v>3971935.367505433</v>
      </c>
      <c r="L502" s="20">
        <f>SUM(L500:L501)</f>
        <v>59572.698104700001</v>
      </c>
      <c r="M502" s="77">
        <f>VLOOKUP(B502,[1]ბიუჯეტი!$B:$K,3,FALSE)</f>
        <v>0</v>
      </c>
      <c r="N502" s="77">
        <f>VLOOKUP($B502,[1]ბიუჯეტი!$B:$K,4,FALSE)</f>
        <v>0</v>
      </c>
      <c r="O502" s="77">
        <f>VLOOKUP($B502,[1]ბიუჯეტი!$B:$K,5,FALSE)</f>
        <v>0</v>
      </c>
      <c r="P502" s="77">
        <f>VLOOKUP($B502,[1]ბიუჯეტი!$B:$K,6,FALSE)</f>
        <v>0</v>
      </c>
      <c r="Q502" s="77">
        <f>VLOOKUP($B502,[1]ბიუჯეტი!$B:$K,7,FALSE)</f>
        <v>0</v>
      </c>
      <c r="R502" s="77">
        <f>VLOOKUP($B502,[1]ბიუჯეტი!$B:$K,8,FALSE)</f>
        <v>0</v>
      </c>
      <c r="S502" s="77">
        <f>VLOOKUP($B502,[1]ბიუჯეტი!$B:$K,9,FALSE)</f>
        <v>0</v>
      </c>
      <c r="T502" s="77">
        <f>VLOOKUP($B502,[1]ბიუჯეტი!$B:$K,10,FALSE)</f>
        <v>212951.22128392433</v>
      </c>
    </row>
    <row r="503" spans="1:20" x14ac:dyDescent="0.35">
      <c r="J503" s="43"/>
    </row>
    <row r="504" spans="1:20" x14ac:dyDescent="0.35">
      <c r="K504" s="43">
        <f>K502+K59+K25</f>
        <v>6834649.2086101035</v>
      </c>
    </row>
    <row r="505" spans="1:20" x14ac:dyDescent="0.35">
      <c r="K505" s="43">
        <f>[1]ბიუჯეტი!$K$501+[1]ბიუჯეტი!$K$59+[1]ბიუჯეტი!$K$25</f>
        <v>6751210.1312993253</v>
      </c>
    </row>
    <row r="507" spans="1:20" x14ac:dyDescent="0.35">
      <c r="K507" s="43">
        <f>K504-K505</f>
        <v>83439.077310778201</v>
      </c>
    </row>
  </sheetData>
  <autoFilter ref="A61:K502" xr:uid="{00000000-0009-0000-0000-000001000000}"/>
  <mergeCells count="5">
    <mergeCell ref="A1:K1"/>
    <mergeCell ref="A2:K2"/>
    <mergeCell ref="A3:K3"/>
    <mergeCell ref="A4:K4"/>
    <mergeCell ref="I5:K5"/>
  </mergeCells>
  <pageMargins left="0.7" right="0.7" top="0.75" bottom="0.75" header="0.3" footer="0.3"/>
  <pageSetup orientation="portrait" r:id="rId1"/>
  <ignoredErrors>
    <ignoredError sqref="K47:K48 K51:K58 H94 H90 E323:F323 H474:J475 J473 E391:H398 F239:J241 F201:J201 F199:F200 H200:J200 F203:J203 F202 H202:J202 F205:J205 F204 H204:J204 F208:J209 F206:F207 H206:J207 F216:F217 F221 F220:G220 I220:J220 F225 F224:G224 I224:J224 F228:G228 I228:J228 F236 H236:J236 F233:J235 F229:F230 F231:J231 F237:J237 H229:J230 F255:J258 F254 H254:J254 F252:J253 F248 H248:J248 F244:J247 F242:F243 H242:J243 H259 F277:J279 I275:J275 F275:F276 H276:J276 F281:J283 F280 H280:J280 F288:J288 I284:J284 F299:J300 F311:J311 F307:H308 J307:J308 F315:J315 F312:H312 J312 F321:J321 F318:H318 J318 F322 H322:J322 E324:H324 D336:H336 E335:F335 H323 H335 D358 E349:H349 D369 E360:H360 F259:F260 J259 F403:H403 E402:F402 H402 F401:H401 E399:F400 H399:H400 E407:F408 E423:F423 F422:H422 E426:F426 F424:H424 F425 H492:J492 D465 E458:F458 D449:F449 E452:F452 H452 E455:F455 H455 H458 E448:F448 H448:H449 E470:F470 E466:F467 E473:H473 D334 D347:H347 E414:F414 E420:H420 D469 D472 H493 J493:K493 E432:F433 F431:H431 E430:F430 F429:H429 E428:F428 F427:H427 E443:F443 H443 F434:H437 F444:H447 H466:H467 H470 H426 H432:H433 E438:F438 H438 H430 H428 E348:F348 H348 E359:F359 H359 H199 F211:J212 F210 H210:J210 F214:J215 F213 H213:J213 I218:J218 F218:G218 I222:J222 F222:G222 I226:J226 F226:G226 H216:J217 H221:J221 H225:J225 H260:J260 F286:J286 F284:F285 H285:J285 F290:J292 F289 H289:J289 F294:J296 F293 H293:J293 F298 H297:J298 F302:J303 F301 H301:J301 F305:J306 F304 H304:J304 F309:J309 F313:J313 F319:J319 D325:D332 F325:H332 F334:H334 D346 F346:H346 D337:D344 F337:H344 D351:D355 F350:H356 F358:H358 D362:D366 F361:H367 F369:H369 E370:H389 H476 J476 H404 F404 F406 D463 E461:F462 F465:H465 F463:H463 F409:H413 F415:H419 H406:H408 H414 E421:F421 H421 H423 D442 F439:H442 F471:H472 F468:H469 D450:D451 D453:D454 D456:D457 D459:D460 F453:H454 F456:H457 F459:H460 H484:J484 H488:J488 H461:H462 H480:H483 J480:J483 F450:H451 H486:H487 J486:J487 F249:J250" formula="1"/>
    <ignoredError sqref="D370 D381 D385 D388 D396 D399:D400 D407 D419:D420 D422 D424 D413 D392 D402" formula="1" formulaRange="1"/>
    <ignoredError sqref="C370:C373 C406:C432 C377:C389 C391:C40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51CEE-D6FA-4478-808E-9DA83CAF5103}">
  <dimension ref="A1:M113"/>
  <sheetViews>
    <sheetView tabSelected="1" topLeftCell="A25" workbookViewId="0">
      <selection activeCell="L45" sqref="L45"/>
    </sheetView>
  </sheetViews>
  <sheetFormatPr defaultRowHeight="14.5" x14ac:dyDescent="0.35"/>
  <cols>
    <col min="1" max="1" width="4.90625" customWidth="1"/>
    <col min="2" max="2" width="11.453125" customWidth="1"/>
    <col min="3" max="3" width="19.453125" customWidth="1"/>
    <col min="4" max="4" width="17.08984375" customWidth="1"/>
    <col min="5" max="5" width="26.1796875" bestFit="1" customWidth="1"/>
    <col min="6" max="6" width="24.453125" customWidth="1"/>
    <col min="7" max="7" width="27.08984375" bestFit="1" customWidth="1"/>
    <col min="8" max="8" width="17.54296875" bestFit="1" customWidth="1"/>
    <col min="9" max="9" width="8.54296875" bestFit="1" customWidth="1"/>
    <col min="10" max="10" width="7.54296875" customWidth="1"/>
  </cols>
  <sheetData>
    <row r="1" spans="1:10" ht="16" x14ac:dyDescent="0.35">
      <c r="A1" s="88" t="s">
        <v>197</v>
      </c>
      <c r="B1" s="89"/>
      <c r="C1" s="89"/>
      <c r="D1" s="89"/>
      <c r="E1" s="89"/>
      <c r="F1" s="89"/>
      <c r="G1" s="89"/>
      <c r="H1" s="89"/>
      <c r="I1" s="89"/>
      <c r="J1" s="90"/>
    </row>
    <row r="2" spans="1:10" ht="16" x14ac:dyDescent="0.35">
      <c r="A2" s="6" t="s">
        <v>0</v>
      </c>
      <c r="B2" s="6" t="s">
        <v>198</v>
      </c>
      <c r="C2" s="6" t="s">
        <v>19</v>
      </c>
      <c r="D2" s="6" t="s">
        <v>199</v>
      </c>
      <c r="E2" s="6" t="s">
        <v>152</v>
      </c>
      <c r="F2" s="6" t="s">
        <v>200</v>
      </c>
      <c r="G2" s="6" t="s">
        <v>288</v>
      </c>
      <c r="H2" s="6" t="s">
        <v>249</v>
      </c>
      <c r="I2" s="6" t="s">
        <v>8</v>
      </c>
      <c r="J2" s="6" t="s">
        <v>201</v>
      </c>
    </row>
    <row r="3" spans="1:10" x14ac:dyDescent="0.35">
      <c r="A3" s="7">
        <v>1</v>
      </c>
      <c r="B3" s="7">
        <v>2</v>
      </c>
      <c r="C3" s="7">
        <v>3</v>
      </c>
      <c r="D3" s="7">
        <v>4</v>
      </c>
      <c r="E3" s="7">
        <v>5</v>
      </c>
      <c r="F3" s="7">
        <v>6</v>
      </c>
      <c r="G3" s="7">
        <v>7</v>
      </c>
      <c r="H3" s="7">
        <v>8</v>
      </c>
      <c r="I3" s="7">
        <v>9</v>
      </c>
      <c r="J3" s="7">
        <v>10</v>
      </c>
    </row>
    <row r="4" spans="1:10" s="56" customFormat="1" x14ac:dyDescent="0.35">
      <c r="A4" s="52">
        <v>1</v>
      </c>
      <c r="B4" s="53">
        <v>-2.2999999999999998</v>
      </c>
      <c r="C4" s="52">
        <v>1</v>
      </c>
      <c r="D4" s="54">
        <v>0</v>
      </c>
      <c r="E4" s="55">
        <f>((16.4+16.4+2+2+7+7.6+2.5+5.17+5.17+2.52)*2.32)*3</f>
        <v>464.64959999999985</v>
      </c>
      <c r="F4" s="55">
        <f>((2+7+7+7.4+2+4.8+5.1)*2.32)*3</f>
        <v>245.68799999999996</v>
      </c>
      <c r="G4" s="54">
        <f>1.5*3</f>
        <v>4.5</v>
      </c>
      <c r="H4" s="54">
        <f>2.5*3</f>
        <v>7.5</v>
      </c>
      <c r="I4" s="54">
        <f>SUM(D4:H4)</f>
        <v>722.33759999999984</v>
      </c>
      <c r="J4" s="54"/>
    </row>
    <row r="5" spans="1:10" s="56" customFormat="1" x14ac:dyDescent="0.35">
      <c r="A5" s="52">
        <v>2</v>
      </c>
      <c r="B5" s="53">
        <v>0</v>
      </c>
      <c r="C5" s="52">
        <v>2</v>
      </c>
      <c r="D5" s="54">
        <f>(3.3+2.4+1.5+4.2)*2.97*3+(6.5+6.5+7+7+7+7+3.6+6.5+2.7)*2.6*3</f>
        <v>521.21400000000006</v>
      </c>
      <c r="E5" s="54">
        <f>((7+2.9+4.2+8+7+1.6+1.4+1.8+5.6+2.65+1.2)*2.97)*2+(2.65+2.9+7+1.2+7+1.8+1.8+7+8+4+1.6)*2.97</f>
        <v>391.00050000000005</v>
      </c>
      <c r="F5" s="54">
        <f>((5+6.7+0.84)*2.97)*2+((6.5+6.7+0.85)*2.97)</f>
        <v>116.2161</v>
      </c>
      <c r="G5" s="54">
        <f>12*1.5</f>
        <v>18</v>
      </c>
      <c r="H5" s="54">
        <f>(4.2+1.5+2.4+3.3)*3</f>
        <v>34.199999999999996</v>
      </c>
      <c r="I5" s="54">
        <f>SUM(D5:H5)-I15-D56+E56+F56*2.2</f>
        <v>932.21060000000023</v>
      </c>
      <c r="J5" s="54"/>
    </row>
    <row r="6" spans="1:10" s="56" customFormat="1" x14ac:dyDescent="0.35">
      <c r="A6" s="52">
        <v>3</v>
      </c>
      <c r="B6" s="53">
        <v>3.2</v>
      </c>
      <c r="C6" s="52">
        <v>3</v>
      </c>
      <c r="D6" s="54">
        <f>(((7+7+2.7+3.1+3.6+5.1+7+3.4+3.4)*2.6)+((3.4+0.8+4+3.6+1.3+3.6+1.3)*2.97))*2+(6.5+6.5+6.5+7+7+7+7+2.7+2.7)*2.6+(4.2+1.6+4.2+1.6)*2.97</f>
        <v>498.87200000000001</v>
      </c>
      <c r="E6" s="54">
        <f>((7+6.5+1.6+2.9+5.35+1.3+1.5)*2.97)*2+(7+7+6.5+1.3+1.5+2.9)*2.97</f>
        <v>233.14500000000004</v>
      </c>
      <c r="F6" s="54">
        <f>((2.7+7.6+7)*2.97)*2+((6.5+6.5+7.8)*2.97)</f>
        <v>164.53800000000001</v>
      </c>
      <c r="G6" s="54">
        <f>13*1.5</f>
        <v>19.5</v>
      </c>
      <c r="H6" s="54">
        <f>3.6+3.6+4+3.4+3.2+2.3+3.6+3.6+4+3.4+3.2+2.3+4.2+4.2</f>
        <v>48.600000000000009</v>
      </c>
      <c r="I6" s="54">
        <f>SUM(D6:H6)-I17-D57+G57*2.2+25</f>
        <v>832.94500000000005</v>
      </c>
      <c r="J6" s="54"/>
    </row>
    <row r="7" spans="1:10" s="56" customFormat="1" x14ac:dyDescent="0.35">
      <c r="A7" s="52">
        <v>3</v>
      </c>
      <c r="B7" s="53">
        <v>6.4</v>
      </c>
      <c r="C7" s="52">
        <v>3</v>
      </c>
      <c r="D7" s="54">
        <f>(((7+7+2.7+3.1+3.6+5.1+7+3.4+3.4)*2.6)+((3.4+0.8+4+3.6+1.3+3.6+1.3)*2.97))*2+(6.5+6.5+6.5+7+7+7+7+2.7+2.7)*2.6+(4.2+1.6+4.2+1.6)*2.97</f>
        <v>498.87200000000001</v>
      </c>
      <c r="E7" s="54">
        <f>((7+6.5+1.6+2.9+5.35+1.3+1.5)*2.97)*2+(7+7+6.5+1.3+1.5+2.9)*2.97</f>
        <v>233.14500000000004</v>
      </c>
      <c r="F7" s="54">
        <f>((2.7+7.6+7)*2.97)*2+((6.5+6.5+7.8)*2.97)</f>
        <v>164.53800000000001</v>
      </c>
      <c r="G7" s="54">
        <f>13*1.5</f>
        <v>19.5</v>
      </c>
      <c r="H7" s="54">
        <f>3.6+3.6+4+3.4+3.2+2.3+3.6+3.6+4+3.4+3.2+2.3+4.2+4.2</f>
        <v>48.600000000000009</v>
      </c>
      <c r="I7" s="54">
        <f>SUM(D7:H7)-I18-D58+G58*2.2+25</f>
        <v>832.94500000000005</v>
      </c>
      <c r="J7" s="54"/>
    </row>
    <row r="8" spans="1:10" s="56" customFormat="1" x14ac:dyDescent="0.35">
      <c r="A8" s="52">
        <v>4</v>
      </c>
      <c r="B8" s="53">
        <v>9.6</v>
      </c>
      <c r="C8" s="52">
        <v>4</v>
      </c>
      <c r="D8" s="54">
        <f>(((7+7+2.7+3.1+3.6+5.1+7+3.4+3.4)*2.6)+((3.4+0.8+4+3.6+1.3+3.6+1.3)*2.97))*2+(6.5+6.5+6.5+7+7+7+7+2.7+2.7)*2.6+(4.2+1.6+4.2+1.6)*2.97</f>
        <v>498.87200000000001</v>
      </c>
      <c r="E8" s="54">
        <f>((7+6.5+1.6+2.9+5.35+1.3+1.5)*2.97)*2+(7+7+6.5+1.3+1.5+2.9)*2.97</f>
        <v>233.14500000000004</v>
      </c>
      <c r="F8" s="54">
        <f>((2.7+7.6+7)*2.97)*2+((6.5+6.5+7.8)*2.97)</f>
        <v>164.53800000000001</v>
      </c>
      <c r="G8" s="54">
        <f>13*1.5</f>
        <v>19.5</v>
      </c>
      <c r="H8" s="54">
        <f>3.6+3.6+4+3.4+3.2+2.3+3.6+3.6+4+3.4+3.2+2.3+4.2+4.2</f>
        <v>48.600000000000009</v>
      </c>
      <c r="I8" s="54">
        <f>SUM(D8:H8)-I18-D59+G59*2.2+25</f>
        <v>832.94500000000005</v>
      </c>
      <c r="J8" s="54"/>
    </row>
    <row r="9" spans="1:10" x14ac:dyDescent="0.35">
      <c r="A9" s="8"/>
      <c r="B9" s="12"/>
      <c r="C9" s="8"/>
      <c r="D9" s="10"/>
      <c r="E9" s="10">
        <f>(20.6-7.5)+(17-3.5)+14.8+10+8+2.5+3+11+11+5</f>
        <v>91.9</v>
      </c>
      <c r="F9" s="10"/>
      <c r="G9" s="10"/>
      <c r="H9" s="10"/>
      <c r="I9" s="12">
        <f>SUM(I4:I8)</f>
        <v>4153.3832000000002</v>
      </c>
      <c r="J9" s="12">
        <f>SUM(J4:J8)</f>
        <v>0</v>
      </c>
    </row>
    <row r="10" spans="1:10" x14ac:dyDescent="0.35">
      <c r="E10" s="76">
        <f>E9*2.32*3</f>
        <v>639.62400000000002</v>
      </c>
    </row>
    <row r="11" spans="1:10" ht="16" x14ac:dyDescent="0.35">
      <c r="A11" s="88" t="s">
        <v>202</v>
      </c>
      <c r="B11" s="89"/>
      <c r="C11" s="89"/>
      <c r="D11" s="89"/>
      <c r="E11" s="89"/>
      <c r="F11" s="89"/>
      <c r="G11" s="89"/>
      <c r="H11" s="89"/>
      <c r="I11" s="89"/>
      <c r="J11" s="90"/>
    </row>
    <row r="12" spans="1:10" ht="16" x14ac:dyDescent="0.35">
      <c r="A12" s="6" t="s">
        <v>0</v>
      </c>
      <c r="B12" s="6" t="s">
        <v>198</v>
      </c>
      <c r="C12" s="6" t="s">
        <v>19</v>
      </c>
      <c r="D12" s="6"/>
      <c r="E12" s="6">
        <f>(14.4+5.5+13.4+10.5+7.6+2.2+2.4+2.4+1.8+1.8+2.25+1.55+3+8.65+9.6)*2.97*3</f>
        <v>775.6155</v>
      </c>
      <c r="F12" s="6"/>
      <c r="G12" s="6"/>
      <c r="H12" s="6"/>
      <c r="I12" s="6" t="s">
        <v>8</v>
      </c>
      <c r="J12" s="6" t="s">
        <v>201</v>
      </c>
    </row>
    <row r="13" spans="1:10" x14ac:dyDescent="0.35">
      <c r="A13" s="7">
        <v>1</v>
      </c>
      <c r="B13" s="7">
        <v>2</v>
      </c>
      <c r="C13" s="7">
        <v>3</v>
      </c>
      <c r="D13" s="7">
        <v>4</v>
      </c>
      <c r="E13" s="7">
        <v>5</v>
      </c>
      <c r="F13" s="7">
        <v>6</v>
      </c>
      <c r="G13" s="7">
        <v>7</v>
      </c>
      <c r="H13" s="7">
        <v>8</v>
      </c>
      <c r="I13" s="7">
        <v>9</v>
      </c>
      <c r="J13" s="7">
        <v>10</v>
      </c>
    </row>
    <row r="14" spans="1:10" s="56" customFormat="1" x14ac:dyDescent="0.35">
      <c r="A14" s="52">
        <v>1</v>
      </c>
      <c r="B14" s="53">
        <v>-2.2999999999999998</v>
      </c>
      <c r="C14" s="52">
        <v>1</v>
      </c>
      <c r="D14" s="54">
        <f>1.6*0.6*15</f>
        <v>14.399999999999999</v>
      </c>
      <c r="E14" s="54"/>
      <c r="F14" s="54"/>
      <c r="G14" s="54"/>
      <c r="H14" s="54"/>
      <c r="I14" s="54">
        <f>SUM(D14:H14)</f>
        <v>14.399999999999999</v>
      </c>
      <c r="J14" s="54"/>
    </row>
    <row r="15" spans="1:10" s="56" customFormat="1" x14ac:dyDescent="0.35">
      <c r="A15" s="52">
        <v>2</v>
      </c>
      <c r="B15" s="53">
        <v>0</v>
      </c>
      <c r="C15" s="52">
        <v>2</v>
      </c>
      <c r="D15" s="54">
        <f>(1.6*1.6)*5+(1*1.6)*2+(1.6*2.5)*24+(1*2.5)*3+(1.7*2.6)*6</f>
        <v>146.02000000000001</v>
      </c>
      <c r="F15" s="54"/>
      <c r="G15" s="54"/>
      <c r="H15" s="54"/>
      <c r="I15" s="54">
        <f>SUM(D15:H15)</f>
        <v>146.02000000000001</v>
      </c>
      <c r="J15" s="54"/>
    </row>
    <row r="16" spans="1:10" s="56" customFormat="1" x14ac:dyDescent="0.35">
      <c r="A16" s="52">
        <v>2</v>
      </c>
      <c r="B16" s="53">
        <v>3.2</v>
      </c>
      <c r="C16" s="52">
        <v>2</v>
      </c>
      <c r="D16" s="54">
        <f>(1.6*1.6)*6+(1*1.6)*2+(1.6*2.5)*16+(1*2.5)*2+(1.7*2.5)*4+(1.5*2.5)*6+(5.25*2.5)*2</f>
        <v>153.31</v>
      </c>
      <c r="E16" s="54"/>
      <c r="F16" s="54"/>
      <c r="G16" s="54"/>
      <c r="H16" s="54"/>
      <c r="I16" s="54">
        <f>SUM(D16:H16)</f>
        <v>153.31</v>
      </c>
      <c r="J16" s="54"/>
    </row>
    <row r="17" spans="1:11" s="56" customFormat="1" x14ac:dyDescent="0.35">
      <c r="A17" s="52">
        <v>3</v>
      </c>
      <c r="B17" s="53">
        <v>6.4</v>
      </c>
      <c r="C17" s="52">
        <v>3</v>
      </c>
      <c r="D17" s="54">
        <f>(1.6*1.6)*6+(1*1.6)*2+(1.6*2.5)*16+(1*2.5)*2+(1.7*2.5)*4+(1.5*2.5)*6+(5.25*2.5)*2</f>
        <v>153.31</v>
      </c>
      <c r="E17" s="54"/>
      <c r="F17" s="54"/>
      <c r="G17" s="54"/>
      <c r="H17" s="54"/>
      <c r="I17" s="54">
        <f>SUM(D17:H17)</f>
        <v>153.31</v>
      </c>
      <c r="J17" s="54"/>
    </row>
    <row r="18" spans="1:11" s="56" customFormat="1" x14ac:dyDescent="0.35">
      <c r="A18" s="52">
        <v>4</v>
      </c>
      <c r="B18" s="53">
        <v>9.6</v>
      </c>
      <c r="C18" s="52">
        <v>4</v>
      </c>
      <c r="D18" s="54">
        <f>(1.6*1.6)*6+(1*1.6)*2+(1.6*2.5)*16+(1*2.5)*2+(1.7*2.5)*4+(1.5*2.5)*6+(5.25*2.5)*2</f>
        <v>153.31</v>
      </c>
      <c r="E18" s="54"/>
      <c r="F18" s="54"/>
      <c r="G18" s="54"/>
      <c r="H18" s="54"/>
      <c r="I18" s="54">
        <f>SUM(D18:H18)</f>
        <v>153.31</v>
      </c>
      <c r="J18" s="54"/>
    </row>
    <row r="19" spans="1:11" x14ac:dyDescent="0.35">
      <c r="A19" s="8"/>
      <c r="B19" s="12"/>
      <c r="C19" s="8"/>
      <c r="D19" s="10"/>
      <c r="E19" s="10"/>
      <c r="F19" s="10"/>
      <c r="G19" s="10"/>
      <c r="H19" s="10"/>
      <c r="I19" s="12">
        <f>SUM(I14:I18)</f>
        <v>620.35</v>
      </c>
      <c r="J19" s="12">
        <f>SUM(J14:J18)</f>
        <v>0</v>
      </c>
    </row>
    <row r="21" spans="1:11" ht="16" x14ac:dyDescent="0.35">
      <c r="A21" s="88" t="s">
        <v>199</v>
      </c>
      <c r="B21" s="89"/>
      <c r="C21" s="89"/>
      <c r="D21" s="89"/>
      <c r="E21" s="89"/>
      <c r="F21" s="89"/>
      <c r="G21" s="89"/>
      <c r="H21" s="89"/>
      <c r="I21" s="89"/>
      <c r="J21" s="90"/>
    </row>
    <row r="22" spans="1:11" s="56" customFormat="1" ht="16" x14ac:dyDescent="0.35">
      <c r="A22" s="57" t="s">
        <v>0</v>
      </c>
      <c r="B22" s="57" t="s">
        <v>198</v>
      </c>
      <c r="C22" s="57" t="s">
        <v>19</v>
      </c>
      <c r="D22" s="57" t="s">
        <v>203</v>
      </c>
      <c r="E22" s="57" t="s">
        <v>204</v>
      </c>
      <c r="F22" s="57" t="s">
        <v>205</v>
      </c>
      <c r="G22" s="57" t="s">
        <v>242</v>
      </c>
      <c r="H22" s="57" t="s">
        <v>206</v>
      </c>
      <c r="I22" s="57" t="s">
        <v>8</v>
      </c>
      <c r="J22" s="57" t="s">
        <v>201</v>
      </c>
    </row>
    <row r="23" spans="1:11" s="56" customFormat="1" x14ac:dyDescent="0.35">
      <c r="A23" s="58">
        <v>1</v>
      </c>
      <c r="B23" s="58">
        <v>2</v>
      </c>
      <c r="C23" s="58">
        <v>3</v>
      </c>
      <c r="D23" s="58">
        <v>4</v>
      </c>
      <c r="E23" s="58">
        <v>5</v>
      </c>
      <c r="F23" s="58">
        <v>6</v>
      </c>
      <c r="G23" s="58">
        <v>7</v>
      </c>
      <c r="H23" s="58">
        <v>8</v>
      </c>
      <c r="I23" s="58">
        <v>9</v>
      </c>
      <c r="J23" s="58">
        <v>10</v>
      </c>
    </row>
    <row r="24" spans="1:11" s="56" customFormat="1" x14ac:dyDescent="0.35">
      <c r="A24" s="52">
        <v>1</v>
      </c>
      <c r="B24" s="53">
        <v>-2.2999999999999998</v>
      </c>
      <c r="C24" s="52">
        <v>1</v>
      </c>
      <c r="D24" s="54">
        <v>0</v>
      </c>
      <c r="E24" s="54"/>
      <c r="F24" s="54">
        <v>0</v>
      </c>
      <c r="G24" s="54"/>
      <c r="H24" s="54">
        <f>1.6*15</f>
        <v>24</v>
      </c>
      <c r="I24" s="54">
        <f t="shared" ref="I24:I29" si="0">SUM(D24:H24)</f>
        <v>24</v>
      </c>
      <c r="J24" s="54"/>
    </row>
    <row r="25" spans="1:11" s="56" customFormat="1" x14ac:dyDescent="0.35">
      <c r="A25" s="52">
        <v>2</v>
      </c>
      <c r="B25" s="53">
        <v>0</v>
      </c>
      <c r="C25" s="52">
        <v>2</v>
      </c>
      <c r="D25" s="91">
        <v>894.5</v>
      </c>
      <c r="E25" s="54">
        <f>(1.8+3.1+2.2+1.3+4+0.9)*2.97*2+6.9*2.6*6+1.8+3.1+2.15+4+1.4+0.9*2.97</f>
        <v>201.76500000000004</v>
      </c>
      <c r="F25" s="59">
        <f>1.6*25+2.6*12+1*2+3.8*2+3*9</f>
        <v>107.8</v>
      </c>
      <c r="G25" s="91">
        <v>0</v>
      </c>
      <c r="H25" s="59">
        <f>1.6*5+1*2+1.7*6</f>
        <v>20.2</v>
      </c>
      <c r="I25" s="54">
        <f t="shared" si="0"/>
        <v>1224.2650000000001</v>
      </c>
      <c r="J25" s="54"/>
    </row>
    <row r="26" spans="1:11" s="56" customFormat="1" x14ac:dyDescent="0.35">
      <c r="A26" s="52">
        <v>3</v>
      </c>
      <c r="B26" s="53">
        <v>3.2</v>
      </c>
      <c r="C26" s="52">
        <v>3</v>
      </c>
      <c r="D26" s="92"/>
      <c r="E26" s="54">
        <f>((0.7+3.3+1.2+0.7+3.3+1.2+3.9+2+4+1.6+0.4+0.8+3.4+0.8+3.1)*2+1.2+1.55+2.7+4.2+1.55+2.7)*2.97</f>
        <v>221.85900000000001</v>
      </c>
      <c r="F26" s="94">
        <f>(1.6*24+1.7*4+1*4+2.6*22+3.1*2+3.2*13)*3</f>
        <v>462.6</v>
      </c>
      <c r="G26" s="92"/>
      <c r="H26" s="59">
        <f>1.5*6+1*2+1.6*6</f>
        <v>20.6</v>
      </c>
      <c r="I26" s="54">
        <f t="shared" si="0"/>
        <v>705.05900000000008</v>
      </c>
      <c r="J26" s="54"/>
      <c r="K26" s="56">
        <f>87+144+87+25+28+51+51+29+25+131+45+131+57+6</f>
        <v>897</v>
      </c>
    </row>
    <row r="27" spans="1:11" s="56" customFormat="1" x14ac:dyDescent="0.35">
      <c r="A27" s="52">
        <v>4</v>
      </c>
      <c r="B27" s="53">
        <v>6.4</v>
      </c>
      <c r="C27" s="52">
        <v>4</v>
      </c>
      <c r="D27" s="92"/>
      <c r="E27" s="54">
        <f>((0.7+3.3+1.2+0.7+3.3+1.2+3.9+2+4+1.6+0.4+0.8+3.4+0.8+3.1)*2+1.2+1.55+2.7+4.2+1.55+2.7)*2.97</f>
        <v>221.85900000000001</v>
      </c>
      <c r="F27" s="95"/>
      <c r="G27" s="92"/>
      <c r="H27" s="59">
        <f>1.5*6+1*2+1.6*6</f>
        <v>20.6</v>
      </c>
      <c r="I27" s="54">
        <f t="shared" si="0"/>
        <v>242.459</v>
      </c>
      <c r="J27" s="54"/>
    </row>
    <row r="28" spans="1:11" s="56" customFormat="1" x14ac:dyDescent="0.35">
      <c r="A28" s="52">
        <v>5</v>
      </c>
      <c r="B28" s="53">
        <v>9.6</v>
      </c>
      <c r="C28" s="52">
        <v>5</v>
      </c>
      <c r="D28" s="92"/>
      <c r="E28" s="54">
        <f>((0.7+3.3+1.2+0.7+3.3+1.2+3.9+2+4+1.6+0.4+0.8+3.4+0.8+3.1)*2+1.2+1.55+2.7+4.2+1.55+2.7)*2.97</f>
        <v>221.85900000000001</v>
      </c>
      <c r="F28" s="96"/>
      <c r="G28" s="92"/>
      <c r="H28" s="59">
        <f>1.5*6+1*2+1.6*6</f>
        <v>20.6</v>
      </c>
      <c r="I28" s="54">
        <f t="shared" si="0"/>
        <v>242.459</v>
      </c>
      <c r="J28" s="54"/>
    </row>
    <row r="29" spans="1:11" s="56" customFormat="1" x14ac:dyDescent="0.35">
      <c r="A29" s="52"/>
      <c r="B29" s="53"/>
      <c r="C29" s="52">
        <v>6</v>
      </c>
      <c r="D29" s="93"/>
      <c r="E29" s="54"/>
      <c r="F29" s="59">
        <v>6</v>
      </c>
      <c r="G29" s="93"/>
      <c r="H29" s="54"/>
      <c r="I29" s="54">
        <f t="shared" si="0"/>
        <v>6</v>
      </c>
      <c r="J29" s="54"/>
    </row>
    <row r="30" spans="1:11" s="56" customFormat="1" x14ac:dyDescent="0.35">
      <c r="A30" s="52"/>
      <c r="B30" s="53"/>
      <c r="C30" s="52"/>
      <c r="D30" s="54"/>
      <c r="E30" s="54"/>
      <c r="F30" s="54"/>
      <c r="G30" s="54"/>
      <c r="H30" s="54"/>
      <c r="I30" s="53">
        <f>SUM(I24:I29)</f>
        <v>2444.2419999999997</v>
      </c>
      <c r="J30" s="53">
        <f>SUM(J25:J28)</f>
        <v>0</v>
      </c>
    </row>
    <row r="32" spans="1:11" s="56" customFormat="1" ht="16" x14ac:dyDescent="0.35">
      <c r="A32" s="85" t="s">
        <v>207</v>
      </c>
      <c r="B32" s="86"/>
      <c r="C32" s="86"/>
      <c r="D32" s="86"/>
      <c r="E32" s="86"/>
      <c r="F32" s="86"/>
      <c r="G32" s="86"/>
      <c r="H32" s="86"/>
      <c r="I32" s="86"/>
      <c r="J32" s="87"/>
    </row>
    <row r="33" spans="1:13" s="56" customFormat="1" ht="16" x14ac:dyDescent="0.35">
      <c r="A33" s="57" t="s">
        <v>0</v>
      </c>
      <c r="B33" s="57" t="s">
        <v>198</v>
      </c>
      <c r="C33" s="57" t="s">
        <v>19</v>
      </c>
      <c r="D33" s="57" t="s">
        <v>208</v>
      </c>
      <c r="E33" s="57" t="s">
        <v>209</v>
      </c>
      <c r="F33" s="57" t="s">
        <v>210</v>
      </c>
      <c r="G33" s="57" t="s">
        <v>211</v>
      </c>
      <c r="H33" s="57" t="s">
        <v>212</v>
      </c>
      <c r="I33" s="57" t="s">
        <v>8</v>
      </c>
      <c r="J33" s="57" t="s">
        <v>201</v>
      </c>
    </row>
    <row r="34" spans="1:13" s="56" customFormat="1" x14ac:dyDescent="0.35">
      <c r="A34" s="58">
        <v>1</v>
      </c>
      <c r="B34" s="58">
        <v>2</v>
      </c>
      <c r="C34" s="58">
        <v>3</v>
      </c>
      <c r="D34" s="58">
        <v>4</v>
      </c>
      <c r="E34" s="58">
        <v>5</v>
      </c>
      <c r="F34" s="58">
        <v>6</v>
      </c>
      <c r="G34" s="58">
        <v>7</v>
      </c>
      <c r="H34" s="58">
        <v>8</v>
      </c>
      <c r="I34" s="58">
        <v>9</v>
      </c>
      <c r="J34" s="58">
        <v>10</v>
      </c>
    </row>
    <row r="35" spans="1:13" s="56" customFormat="1" x14ac:dyDescent="0.35">
      <c r="A35" s="52">
        <v>1</v>
      </c>
      <c r="B35" s="53">
        <v>-2.2999999999999998</v>
      </c>
      <c r="C35" s="52">
        <v>1</v>
      </c>
      <c r="D35" s="54">
        <v>0</v>
      </c>
      <c r="E35" s="54"/>
      <c r="F35" s="54">
        <v>0</v>
      </c>
      <c r="G35" s="54">
        <f>1.9*3*2.32</f>
        <v>13.223999999999997</v>
      </c>
      <c r="H35" s="54">
        <v>0</v>
      </c>
      <c r="I35" s="54">
        <f>SUM(D35:H35)</f>
        <v>13.223999999999997</v>
      </c>
      <c r="J35" s="54"/>
    </row>
    <row r="36" spans="1:13" s="56" customFormat="1" x14ac:dyDescent="0.35">
      <c r="A36" s="52">
        <v>2</v>
      </c>
      <c r="B36" s="53">
        <v>0</v>
      </c>
      <c r="C36" s="52">
        <v>2</v>
      </c>
      <c r="D36" s="54">
        <v>0</v>
      </c>
      <c r="E36" s="54">
        <v>0</v>
      </c>
      <c r="F36" s="54">
        <f>23.6*2.97</f>
        <v>70.092000000000013</v>
      </c>
      <c r="G36" s="54">
        <f>15.3*2.97</f>
        <v>45.441000000000003</v>
      </c>
      <c r="H36" s="54">
        <v>68.25</v>
      </c>
      <c r="I36" s="54">
        <f>SUM(D36:H36)</f>
        <v>183.78300000000002</v>
      </c>
      <c r="J36" s="54"/>
    </row>
    <row r="37" spans="1:13" s="56" customFormat="1" x14ac:dyDescent="0.35">
      <c r="A37" s="52">
        <v>2</v>
      </c>
      <c r="B37" s="53">
        <v>3.2</v>
      </c>
      <c r="C37" s="52">
        <v>3</v>
      </c>
      <c r="D37" s="54">
        <v>0</v>
      </c>
      <c r="E37" s="54">
        <v>0</v>
      </c>
      <c r="F37" s="54">
        <f>31.8*2.98</f>
        <v>94.763999999999996</v>
      </c>
      <c r="G37" s="54">
        <f>15.3*2.97</f>
        <v>45.441000000000003</v>
      </c>
      <c r="H37" s="54">
        <v>68.25</v>
      </c>
      <c r="I37" s="54">
        <f>SUM(D37:H37)</f>
        <v>208.45499999999998</v>
      </c>
      <c r="J37" s="54"/>
    </row>
    <row r="38" spans="1:13" s="56" customFormat="1" x14ac:dyDescent="0.35">
      <c r="A38" s="52">
        <v>3</v>
      </c>
      <c r="B38" s="53">
        <v>6.4</v>
      </c>
      <c r="C38" s="52">
        <v>4</v>
      </c>
      <c r="D38" s="54">
        <v>0</v>
      </c>
      <c r="E38" s="54">
        <v>0</v>
      </c>
      <c r="F38" s="54">
        <f>31.8*2.98</f>
        <v>94.763999999999996</v>
      </c>
      <c r="G38" s="54">
        <f>15.3*2.97</f>
        <v>45.441000000000003</v>
      </c>
      <c r="H38" s="54">
        <v>68.25</v>
      </c>
      <c r="I38" s="54">
        <f>SUM(D38:H38)</f>
        <v>208.45499999999998</v>
      </c>
      <c r="J38" s="54"/>
    </row>
    <row r="39" spans="1:13" s="56" customFormat="1" x14ac:dyDescent="0.35">
      <c r="A39" s="52">
        <v>4</v>
      </c>
      <c r="B39" s="53">
        <v>9.6</v>
      </c>
      <c r="C39" s="52">
        <v>5</v>
      </c>
      <c r="D39" s="54">
        <v>0</v>
      </c>
      <c r="E39" s="54">
        <v>0</v>
      </c>
      <c r="F39" s="54">
        <f>31.8*2.98</f>
        <v>94.763999999999996</v>
      </c>
      <c r="G39" s="54">
        <f>15.3*2.97</f>
        <v>45.441000000000003</v>
      </c>
      <c r="H39" s="54">
        <v>68.25</v>
      </c>
      <c r="I39" s="54">
        <f>SUM(D39:H39)</f>
        <v>208.45499999999998</v>
      </c>
      <c r="J39" s="54"/>
      <c r="M39" s="60"/>
    </row>
    <row r="40" spans="1:13" s="56" customFormat="1" x14ac:dyDescent="0.35">
      <c r="A40" s="52"/>
      <c r="B40" s="53"/>
      <c r="C40" s="52"/>
      <c r="D40" s="54"/>
      <c r="E40" s="54"/>
      <c r="F40" s="54"/>
      <c r="G40" s="54"/>
      <c r="H40" s="54"/>
      <c r="I40" s="53">
        <f>SUM(I35:I39)</f>
        <v>822.37199999999984</v>
      </c>
      <c r="J40" s="53">
        <f>SUM(J35:J39)</f>
        <v>0</v>
      </c>
    </row>
    <row r="42" spans="1:13" s="56" customFormat="1" ht="16" x14ac:dyDescent="0.35">
      <c r="A42" s="85" t="s">
        <v>152</v>
      </c>
      <c r="B42" s="86"/>
      <c r="C42" s="86"/>
      <c r="D42" s="86"/>
      <c r="E42" s="86"/>
      <c r="F42" s="86"/>
      <c r="G42" s="86"/>
      <c r="H42" s="86"/>
      <c r="I42" s="86"/>
      <c r="J42" s="87"/>
    </row>
    <row r="43" spans="1:13" s="56" customFormat="1" ht="16" x14ac:dyDescent="0.35">
      <c r="A43" s="57" t="s">
        <v>0</v>
      </c>
      <c r="B43" s="57" t="s">
        <v>198</v>
      </c>
      <c r="C43" s="57" t="s">
        <v>19</v>
      </c>
      <c r="D43" s="57" t="s">
        <v>213</v>
      </c>
      <c r="E43" s="57" t="s">
        <v>214</v>
      </c>
      <c r="F43" s="57" t="s">
        <v>215</v>
      </c>
      <c r="G43" s="57" t="s">
        <v>241</v>
      </c>
      <c r="H43" s="57" t="s">
        <v>243</v>
      </c>
      <c r="I43" s="57" t="s">
        <v>8</v>
      </c>
      <c r="J43" s="57" t="s">
        <v>201</v>
      </c>
    </row>
    <row r="44" spans="1:13" s="56" customFormat="1" x14ac:dyDescent="0.35">
      <c r="A44" s="58">
        <v>1</v>
      </c>
      <c r="B44" s="58">
        <v>2</v>
      </c>
      <c r="C44" s="58">
        <v>3</v>
      </c>
      <c r="D44" s="58">
        <v>4</v>
      </c>
      <c r="E44" s="58">
        <v>5</v>
      </c>
      <c r="F44" s="58">
        <v>6</v>
      </c>
      <c r="G44" s="58">
        <v>7</v>
      </c>
      <c r="H44" s="58">
        <v>8</v>
      </c>
      <c r="I44" s="58">
        <v>9</v>
      </c>
      <c r="J44" s="58">
        <v>10</v>
      </c>
    </row>
    <row r="45" spans="1:13" s="56" customFormat="1" x14ac:dyDescent="0.35">
      <c r="A45" s="52">
        <v>1</v>
      </c>
      <c r="B45" s="53">
        <v>-2.2999999999999998</v>
      </c>
      <c r="C45" s="52">
        <v>1</v>
      </c>
      <c r="D45" s="54">
        <f>259.6*2.32</f>
        <v>602.27200000000005</v>
      </c>
      <c r="E45" s="54">
        <f t="shared" ref="E45:F49" si="1">D45</f>
        <v>602.27200000000005</v>
      </c>
      <c r="F45" s="54">
        <f t="shared" si="1"/>
        <v>602.27200000000005</v>
      </c>
      <c r="G45" s="54">
        <f>(0.75*2.32)*3</f>
        <v>5.2199999999999989</v>
      </c>
      <c r="H45" s="54">
        <f>1.94*3</f>
        <v>5.82</v>
      </c>
      <c r="I45" s="54">
        <f>SUM(D45:H45)</f>
        <v>1817.8560000000002</v>
      </c>
      <c r="J45" s="54"/>
      <c r="K45" s="56">
        <f>(12.9+11.6+4.25+4.25+1.7+3+3+15)*2.32</f>
        <v>129.22399999999999</v>
      </c>
      <c r="L45" s="56">
        <f>K45*3</f>
        <v>387.67199999999997</v>
      </c>
    </row>
    <row r="46" spans="1:13" s="56" customFormat="1" x14ac:dyDescent="0.35">
      <c r="A46" s="52">
        <v>2</v>
      </c>
      <c r="B46" s="53">
        <v>0</v>
      </c>
      <c r="C46" s="52">
        <v>2</v>
      </c>
      <c r="D46" s="54">
        <f>158.45*2.98</f>
        <v>472.18099999999998</v>
      </c>
      <c r="E46" s="54">
        <f t="shared" si="1"/>
        <v>472.18099999999998</v>
      </c>
      <c r="F46" s="54">
        <f t="shared" si="1"/>
        <v>472.18099999999998</v>
      </c>
      <c r="G46" s="54">
        <f>(3.6*2.97)*3</f>
        <v>32.076000000000001</v>
      </c>
      <c r="H46" s="54">
        <f>8.45*3</f>
        <v>25.349999999999998</v>
      </c>
      <c r="I46" s="54">
        <f>SUM(D46:H46)</f>
        <v>1473.9689999999998</v>
      </c>
      <c r="J46" s="54"/>
    </row>
    <row r="47" spans="1:13" s="56" customFormat="1" x14ac:dyDescent="0.35">
      <c r="A47" s="52">
        <v>2</v>
      </c>
      <c r="B47" s="53">
        <v>3.2</v>
      </c>
      <c r="C47" s="52">
        <v>3</v>
      </c>
      <c r="D47" s="54">
        <f>104.1*2.98</f>
        <v>310.21799999999996</v>
      </c>
      <c r="E47" s="54">
        <f t="shared" si="1"/>
        <v>310.21799999999996</v>
      </c>
      <c r="F47" s="54">
        <f t="shared" si="1"/>
        <v>310.21799999999996</v>
      </c>
      <c r="G47" s="54">
        <f>(3.6*2.97)*3</f>
        <v>32.076000000000001</v>
      </c>
      <c r="H47" s="54">
        <f>8.45*3</f>
        <v>25.349999999999998</v>
      </c>
      <c r="I47" s="54">
        <f>SUM(D47:H47)</f>
        <v>988.07999999999993</v>
      </c>
      <c r="J47" s="54"/>
    </row>
    <row r="48" spans="1:13" s="56" customFormat="1" x14ac:dyDescent="0.35">
      <c r="A48" s="52">
        <v>3</v>
      </c>
      <c r="B48" s="53">
        <v>6.4</v>
      </c>
      <c r="C48" s="52">
        <v>4</v>
      </c>
      <c r="D48" s="54">
        <f>104.1*2.98</f>
        <v>310.21799999999996</v>
      </c>
      <c r="E48" s="54">
        <f t="shared" si="1"/>
        <v>310.21799999999996</v>
      </c>
      <c r="F48" s="54">
        <f t="shared" si="1"/>
        <v>310.21799999999996</v>
      </c>
      <c r="G48" s="54">
        <f>(3.6*2.97)*3</f>
        <v>32.076000000000001</v>
      </c>
      <c r="H48" s="54">
        <f>8.45*3</f>
        <v>25.349999999999998</v>
      </c>
      <c r="I48" s="54">
        <f>SUM(D48:H48)</f>
        <v>988.07999999999993</v>
      </c>
      <c r="J48" s="54"/>
    </row>
    <row r="49" spans="1:10" s="56" customFormat="1" x14ac:dyDescent="0.35">
      <c r="A49" s="52">
        <v>4</v>
      </c>
      <c r="B49" s="53">
        <v>9.6</v>
      </c>
      <c r="C49" s="52">
        <v>5</v>
      </c>
      <c r="D49" s="54">
        <f>104.1*2.98</f>
        <v>310.21799999999996</v>
      </c>
      <c r="E49" s="54">
        <f t="shared" si="1"/>
        <v>310.21799999999996</v>
      </c>
      <c r="F49" s="54">
        <f t="shared" si="1"/>
        <v>310.21799999999996</v>
      </c>
      <c r="G49" s="54">
        <f>(3.6*2.97)*3</f>
        <v>32.076000000000001</v>
      </c>
      <c r="H49" s="54">
        <f>8.45*3</f>
        <v>25.349999999999998</v>
      </c>
      <c r="I49" s="54">
        <f>SUM(D49:H49)</f>
        <v>988.07999999999993</v>
      </c>
      <c r="J49" s="54"/>
    </row>
    <row r="50" spans="1:10" s="56" customFormat="1" x14ac:dyDescent="0.35">
      <c r="A50" s="52"/>
      <c r="B50" s="53"/>
      <c r="C50" s="52"/>
      <c r="D50" s="54"/>
      <c r="E50" s="54"/>
      <c r="F50" s="54"/>
      <c r="G50" s="54"/>
      <c r="H50" s="54"/>
      <c r="I50" s="53">
        <f>SUM(I45:I49)</f>
        <v>6256.0649999999996</v>
      </c>
      <c r="J50" s="53">
        <f>SUM(J45:J49)</f>
        <v>0</v>
      </c>
    </row>
    <row r="52" spans="1:10" s="56" customFormat="1" ht="16" x14ac:dyDescent="0.35">
      <c r="A52" s="85" t="s">
        <v>216</v>
      </c>
      <c r="B52" s="86"/>
      <c r="C52" s="86"/>
      <c r="D52" s="86"/>
      <c r="E52" s="86"/>
      <c r="F52" s="86"/>
      <c r="G52" s="86"/>
      <c r="H52" s="86"/>
      <c r="I52" s="86"/>
      <c r="J52" s="87"/>
    </row>
    <row r="53" spans="1:10" s="56" customFormat="1" ht="16" x14ac:dyDescent="0.35">
      <c r="A53" s="57" t="s">
        <v>0</v>
      </c>
      <c r="B53" s="57" t="s">
        <v>198</v>
      </c>
      <c r="C53" s="57" t="s">
        <v>19</v>
      </c>
      <c r="D53" s="57" t="s">
        <v>217</v>
      </c>
      <c r="E53" s="57" t="s">
        <v>218</v>
      </c>
      <c r="F53" s="57" t="s">
        <v>219</v>
      </c>
      <c r="G53" s="57" t="s">
        <v>220</v>
      </c>
      <c r="H53" s="57" t="s">
        <v>331</v>
      </c>
      <c r="I53" s="57" t="s">
        <v>8</v>
      </c>
      <c r="J53" s="57" t="s">
        <v>201</v>
      </c>
    </row>
    <row r="54" spans="1:10" s="56" customFormat="1" x14ac:dyDescent="0.35">
      <c r="A54" s="58">
        <v>1</v>
      </c>
      <c r="B54" s="58">
        <v>2</v>
      </c>
      <c r="C54" s="58">
        <v>3</v>
      </c>
      <c r="D54" s="58">
        <v>4</v>
      </c>
      <c r="E54" s="58">
        <v>5</v>
      </c>
      <c r="F54" s="58">
        <v>6</v>
      </c>
      <c r="G54" s="58">
        <v>7</v>
      </c>
      <c r="H54" s="58">
        <v>8</v>
      </c>
      <c r="I54" s="58">
        <v>9</v>
      </c>
      <c r="J54" s="58">
        <v>10</v>
      </c>
    </row>
    <row r="55" spans="1:10" s="56" customFormat="1" x14ac:dyDescent="0.35">
      <c r="A55" s="52">
        <v>1</v>
      </c>
      <c r="B55" s="53">
        <v>-2.2999999999999998</v>
      </c>
      <c r="C55" s="52">
        <v>1</v>
      </c>
      <c r="D55" s="54">
        <v>30</v>
      </c>
      <c r="E55" s="54">
        <v>0</v>
      </c>
      <c r="F55" s="54">
        <v>0</v>
      </c>
      <c r="G55" s="54">
        <v>3</v>
      </c>
      <c r="H55" s="54">
        <v>0</v>
      </c>
      <c r="I55" s="54">
        <f>SUM(D55:H55)</f>
        <v>33</v>
      </c>
      <c r="J55" s="54"/>
    </row>
    <row r="56" spans="1:10" s="56" customFormat="1" x14ac:dyDescent="0.35">
      <c r="A56" s="52">
        <v>2</v>
      </c>
      <c r="B56" s="53">
        <v>0</v>
      </c>
      <c r="C56" s="52">
        <v>2</v>
      </c>
      <c r="D56" s="54">
        <v>12</v>
      </c>
      <c r="E56" s="54">
        <v>3</v>
      </c>
      <c r="F56" s="54">
        <v>3</v>
      </c>
      <c r="G56" s="54">
        <v>0</v>
      </c>
      <c r="H56" s="54">
        <v>12</v>
      </c>
      <c r="I56" s="54">
        <f>SUM(D56:H56)</f>
        <v>30</v>
      </c>
      <c r="J56" s="54"/>
    </row>
    <row r="57" spans="1:10" s="56" customFormat="1" x14ac:dyDescent="0.35">
      <c r="A57" s="52">
        <v>3</v>
      </c>
      <c r="B57" s="53">
        <v>3.2</v>
      </c>
      <c r="C57" s="52">
        <v>2</v>
      </c>
      <c r="D57" s="54">
        <v>10</v>
      </c>
      <c r="E57" s="54">
        <v>0</v>
      </c>
      <c r="F57" s="54">
        <v>0</v>
      </c>
      <c r="G57" s="54">
        <v>3</v>
      </c>
      <c r="H57" s="54">
        <v>10</v>
      </c>
      <c r="I57" s="54">
        <f>SUM(D57:H57)</f>
        <v>23</v>
      </c>
      <c r="J57" s="54"/>
    </row>
    <row r="58" spans="1:10" s="56" customFormat="1" x14ac:dyDescent="0.35">
      <c r="A58" s="52">
        <v>4</v>
      </c>
      <c r="B58" s="53">
        <v>6.4</v>
      </c>
      <c r="C58" s="52">
        <v>3</v>
      </c>
      <c r="D58" s="54">
        <v>10</v>
      </c>
      <c r="E58" s="54">
        <v>0</v>
      </c>
      <c r="F58" s="54">
        <v>0</v>
      </c>
      <c r="G58" s="54">
        <v>3</v>
      </c>
      <c r="H58" s="54">
        <v>10</v>
      </c>
      <c r="I58" s="54">
        <f>SUM(D58:H58)</f>
        <v>23</v>
      </c>
      <c r="J58" s="54"/>
    </row>
    <row r="59" spans="1:10" s="56" customFormat="1" x14ac:dyDescent="0.35">
      <c r="A59" s="52">
        <v>5</v>
      </c>
      <c r="B59" s="53">
        <v>9.6</v>
      </c>
      <c r="C59" s="52">
        <v>4</v>
      </c>
      <c r="D59" s="54">
        <v>10</v>
      </c>
      <c r="E59" s="54">
        <v>0</v>
      </c>
      <c r="F59" s="54">
        <v>0</v>
      </c>
      <c r="G59" s="54">
        <v>3</v>
      </c>
      <c r="H59" s="54">
        <v>10</v>
      </c>
      <c r="I59" s="54">
        <f>SUM(D59:H59)</f>
        <v>23</v>
      </c>
      <c r="J59" s="54"/>
    </row>
    <row r="60" spans="1:10" s="56" customFormat="1" x14ac:dyDescent="0.35">
      <c r="A60" s="52"/>
      <c r="B60" s="53"/>
      <c r="C60" s="52"/>
      <c r="D60" s="54"/>
      <c r="E60" s="54"/>
      <c r="F60" s="54"/>
      <c r="G60" s="54"/>
      <c r="H60" s="54"/>
      <c r="I60" s="53">
        <f>SUM(I55:I59)</f>
        <v>132</v>
      </c>
      <c r="J60" s="53">
        <f>SUM(J55:J59)</f>
        <v>0</v>
      </c>
    </row>
    <row r="62" spans="1:10" s="56" customFormat="1" ht="16" x14ac:dyDescent="0.35">
      <c r="A62" s="85" t="s">
        <v>221</v>
      </c>
      <c r="B62" s="86"/>
      <c r="C62" s="86"/>
      <c r="D62" s="86"/>
      <c r="E62" s="86"/>
      <c r="F62" s="86"/>
      <c r="G62" s="86"/>
      <c r="H62" s="86"/>
      <c r="I62" s="86"/>
      <c r="J62" s="87"/>
    </row>
    <row r="63" spans="1:10" s="56" customFormat="1" ht="16" x14ac:dyDescent="0.35">
      <c r="A63" s="57" t="s">
        <v>0</v>
      </c>
      <c r="B63" s="57" t="s">
        <v>198</v>
      </c>
      <c r="C63" s="57" t="s">
        <v>19</v>
      </c>
      <c r="D63" s="57" t="s">
        <v>222</v>
      </c>
      <c r="E63" s="57" t="s">
        <v>223</v>
      </c>
      <c r="F63" s="61" t="s">
        <v>327</v>
      </c>
      <c r="G63" s="61" t="s">
        <v>328</v>
      </c>
      <c r="H63" s="57"/>
      <c r="I63" s="57" t="s">
        <v>8</v>
      </c>
      <c r="J63" s="57" t="s">
        <v>201</v>
      </c>
    </row>
    <row r="64" spans="1:10" s="56" customFormat="1" x14ac:dyDescent="0.35">
      <c r="A64" s="58">
        <v>1</v>
      </c>
      <c r="B64" s="58">
        <v>2</v>
      </c>
      <c r="C64" s="58">
        <v>3</v>
      </c>
      <c r="D64" s="58">
        <v>4</v>
      </c>
      <c r="E64" s="58">
        <v>5</v>
      </c>
      <c r="F64" s="58">
        <v>6</v>
      </c>
      <c r="G64" s="58">
        <v>7</v>
      </c>
      <c r="H64" s="58">
        <v>8</v>
      </c>
      <c r="I64" s="58">
        <v>9</v>
      </c>
      <c r="J64" s="58">
        <v>10</v>
      </c>
    </row>
    <row r="65" spans="1:10" s="56" customFormat="1" x14ac:dyDescent="0.35">
      <c r="A65" s="52">
        <v>1</v>
      </c>
      <c r="B65" s="53">
        <v>-2.2999999999999998</v>
      </c>
      <c r="C65" s="52">
        <v>1</v>
      </c>
      <c r="D65" s="54">
        <v>0</v>
      </c>
      <c r="E65" s="54">
        <v>0</v>
      </c>
      <c r="F65" s="54">
        <f>(2.1+3.2+0.3)*3</f>
        <v>16.8</v>
      </c>
      <c r="G65" s="54">
        <f>(2.1+3.2)*3</f>
        <v>15.900000000000002</v>
      </c>
      <c r="H65" s="54"/>
      <c r="I65" s="54">
        <f>SUM(D65:H65)</f>
        <v>32.700000000000003</v>
      </c>
      <c r="J65" s="54"/>
    </row>
    <row r="66" spans="1:10" s="56" customFormat="1" x14ac:dyDescent="0.35">
      <c r="A66" s="52">
        <v>2</v>
      </c>
      <c r="B66" s="53">
        <v>0</v>
      </c>
      <c r="C66" s="52">
        <v>2</v>
      </c>
      <c r="D66" s="54">
        <v>57.9</v>
      </c>
      <c r="E66" s="54">
        <f>(0.6+0.6+0.6+0.6+0.6+0.6)*2.6</f>
        <v>9.3600000000000012</v>
      </c>
      <c r="F66" s="54">
        <f>(3.2+3.2+0.3)*3</f>
        <v>20.100000000000001</v>
      </c>
      <c r="G66" s="54">
        <f>(3.2+3.2)*3</f>
        <v>19.200000000000003</v>
      </c>
      <c r="H66" s="54"/>
      <c r="I66" s="54">
        <f>SUM(D66:H66)</f>
        <v>106.56000000000002</v>
      </c>
      <c r="J66" s="54"/>
    </row>
    <row r="67" spans="1:10" s="56" customFormat="1" x14ac:dyDescent="0.35">
      <c r="A67" s="52">
        <v>3</v>
      </c>
      <c r="B67" s="53">
        <v>3.2</v>
      </c>
      <c r="C67" s="52">
        <v>2</v>
      </c>
      <c r="D67" s="54">
        <f>(5.45+1.6+2.9+5.5+3.25+5+1.8+1.8+0.35+0.35+0.35+0.35)*2+1.2+1.2+5.9+3.8+1.8+1.2+1.2+5.9+3.8+1.8</f>
        <v>85.200000000000031</v>
      </c>
      <c r="E67" s="54">
        <f>(0.6+0.6+0.6+0.6)*2.6+(1.6+0.81+1.2+0.8+1.8+0.8+1.6+0.81+1.2+0.8+1.8+0.8)*3</f>
        <v>48.300000000000004</v>
      </c>
      <c r="F67" s="54">
        <f>(3.2+3.2+0.3)*3</f>
        <v>20.100000000000001</v>
      </c>
      <c r="G67" s="54">
        <f>(3.2+3.2)*3</f>
        <v>19.200000000000003</v>
      </c>
      <c r="H67" s="54"/>
      <c r="I67" s="54">
        <f>SUM(D67:H67)</f>
        <v>172.8</v>
      </c>
      <c r="J67" s="54"/>
    </row>
    <row r="68" spans="1:10" s="56" customFormat="1" x14ac:dyDescent="0.35">
      <c r="A68" s="52">
        <v>4</v>
      </c>
      <c r="B68" s="53">
        <v>6.4</v>
      </c>
      <c r="C68" s="52">
        <v>3</v>
      </c>
      <c r="D68" s="54">
        <f>(5.45+1.6+2.9+5.5+3.25+5+1.8+1.8+0.35+0.35+0.35+0.35)*2+1.2+1.2+5.9+3.8+1.8+1.2+1.2+5.9+3.8+1.8</f>
        <v>85.200000000000031</v>
      </c>
      <c r="E68" s="54">
        <f>(0.6+0.6+0.6+0.6)*2.6+(1.6+0.81+1.2+0.8+1.8+0.8+1.6+0.81+1.2+0.8+1.8+0.8)*3</f>
        <v>48.300000000000004</v>
      </c>
      <c r="F68" s="54">
        <f>(3.2+3.2+0.3)*3</f>
        <v>20.100000000000001</v>
      </c>
      <c r="G68" s="54">
        <f>(3.2+3.2)*3</f>
        <v>19.200000000000003</v>
      </c>
      <c r="H68" s="54"/>
      <c r="I68" s="54">
        <f>SUM(D68:H68)</f>
        <v>172.8</v>
      </c>
      <c r="J68" s="54"/>
    </row>
    <row r="69" spans="1:10" s="56" customFormat="1" x14ac:dyDescent="0.35">
      <c r="A69" s="52">
        <v>5</v>
      </c>
      <c r="B69" s="53">
        <v>9.6</v>
      </c>
      <c r="C69" s="52">
        <v>4</v>
      </c>
      <c r="D69" s="54">
        <f>(5.45+1.6+2.9+5.5+3.25+5+1.8+1.8+0.35+0.35+0.35+0.35)*2+1.2+1.2+5.9+3.8+1.8+1.2+1.2+5.9+3.8+1.8</f>
        <v>85.200000000000031</v>
      </c>
      <c r="E69" s="54">
        <f>(0.6+0.6+0.6+0.6)*2.6+(1.6+0.81+1.2+0.8+1.8+0.8+1.6+0.81+1.2+0.8+1.8+0.8)*3</f>
        <v>48.300000000000004</v>
      </c>
      <c r="F69" s="54">
        <f>(3.2+3.2+0.3+1.6)*3</f>
        <v>24.900000000000002</v>
      </c>
      <c r="G69" s="54">
        <f>(3.2+3.2)*3</f>
        <v>19.200000000000003</v>
      </c>
      <c r="H69" s="54"/>
      <c r="I69" s="54">
        <f>SUM(D69:H69)</f>
        <v>177.60000000000002</v>
      </c>
      <c r="J69" s="54"/>
    </row>
    <row r="70" spans="1:10" s="56" customFormat="1" x14ac:dyDescent="0.35">
      <c r="A70" s="52"/>
      <c r="B70" s="53"/>
      <c r="C70" s="52"/>
      <c r="D70" s="54"/>
      <c r="E70" s="54"/>
      <c r="F70" s="54"/>
      <c r="G70" s="54"/>
      <c r="H70" s="54"/>
      <c r="I70" s="53">
        <f>SUM(I65:I69)</f>
        <v>662.46</v>
      </c>
      <c r="J70" s="53">
        <f>SUM(J65:J69)</f>
        <v>0</v>
      </c>
    </row>
    <row r="71" spans="1:10" s="56" customFormat="1" x14ac:dyDescent="0.35"/>
    <row r="72" spans="1:10" ht="16" x14ac:dyDescent="0.35">
      <c r="A72" s="88" t="s">
        <v>224</v>
      </c>
      <c r="B72" s="89"/>
      <c r="C72" s="89"/>
      <c r="D72" s="89"/>
      <c r="E72" s="89"/>
      <c r="F72" s="89"/>
      <c r="G72" s="89"/>
      <c r="H72" s="89"/>
      <c r="I72" s="89"/>
      <c r="J72" s="90"/>
    </row>
    <row r="73" spans="1:10" s="56" customFormat="1" ht="16" x14ac:dyDescent="0.35">
      <c r="A73" s="57" t="s">
        <v>0</v>
      </c>
      <c r="B73" s="57" t="s">
        <v>198</v>
      </c>
      <c r="C73" s="57" t="s">
        <v>19</v>
      </c>
      <c r="D73" s="57" t="s">
        <v>152</v>
      </c>
      <c r="E73" s="57" t="s">
        <v>209</v>
      </c>
      <c r="F73" s="57" t="s">
        <v>225</v>
      </c>
      <c r="G73" s="57"/>
      <c r="H73" s="57"/>
      <c r="I73" s="57" t="s">
        <v>8</v>
      </c>
      <c r="J73" s="57" t="s">
        <v>201</v>
      </c>
    </row>
    <row r="74" spans="1:10" s="56" customFormat="1" x14ac:dyDescent="0.35">
      <c r="A74" s="58">
        <v>1</v>
      </c>
      <c r="B74" s="58">
        <v>2</v>
      </c>
      <c r="C74" s="58">
        <v>3</v>
      </c>
      <c r="D74" s="58">
        <v>4</v>
      </c>
      <c r="E74" s="58">
        <v>5</v>
      </c>
      <c r="F74" s="58">
        <v>6</v>
      </c>
      <c r="G74" s="58">
        <v>7</v>
      </c>
      <c r="H74" s="58">
        <v>8</v>
      </c>
      <c r="I74" s="58">
        <v>9</v>
      </c>
      <c r="J74" s="58">
        <v>10</v>
      </c>
    </row>
    <row r="75" spans="1:10" s="56" customFormat="1" x14ac:dyDescent="0.35">
      <c r="A75" s="52">
        <v>1</v>
      </c>
      <c r="B75" s="53">
        <v>-2.2999999999999998</v>
      </c>
      <c r="C75" s="52">
        <v>1</v>
      </c>
      <c r="D75" s="54">
        <v>239.28</v>
      </c>
      <c r="E75" s="54">
        <v>0</v>
      </c>
      <c r="F75" s="54">
        <v>126</v>
      </c>
      <c r="G75" s="54"/>
      <c r="H75" s="54"/>
      <c r="I75" s="54">
        <f>SUM(D75:H75)</f>
        <v>365.28</v>
      </c>
      <c r="J75" s="54"/>
    </row>
    <row r="76" spans="1:10" s="56" customFormat="1" x14ac:dyDescent="0.35">
      <c r="A76" s="52">
        <v>1</v>
      </c>
      <c r="B76" s="53">
        <v>0</v>
      </c>
      <c r="C76" s="52">
        <v>2</v>
      </c>
      <c r="D76" s="54">
        <v>115.05</v>
      </c>
      <c r="E76" s="54">
        <f>(6.7+5.1)*3</f>
        <v>35.400000000000006</v>
      </c>
      <c r="F76" s="54">
        <v>78</v>
      </c>
      <c r="G76" s="54"/>
      <c r="H76" s="54"/>
      <c r="I76" s="54">
        <f>SUM(D76:H76)</f>
        <v>228.45</v>
      </c>
      <c r="J76" s="54"/>
    </row>
    <row r="77" spans="1:10" s="56" customFormat="1" x14ac:dyDescent="0.35">
      <c r="A77" s="52">
        <v>2</v>
      </c>
      <c r="B77" s="53">
        <v>3.2</v>
      </c>
      <c r="C77" s="52">
        <v>3</v>
      </c>
      <c r="D77" s="54">
        <v>94.8</v>
      </c>
      <c r="E77" s="54">
        <f>0.6+0.6+3.6+3.6+17.3+11+7.9+0.6+0.6+3.6+3.6+17.3+11+7.9+8+8+2.1+12.1</f>
        <v>119.4</v>
      </c>
      <c r="F77" s="54">
        <v>73</v>
      </c>
      <c r="G77" s="54"/>
      <c r="H77" s="54"/>
      <c r="I77" s="54">
        <f>SUM(D77:H77)</f>
        <v>287.2</v>
      </c>
      <c r="J77" s="54"/>
    </row>
    <row r="78" spans="1:10" s="56" customFormat="1" x14ac:dyDescent="0.35">
      <c r="A78" s="52">
        <v>3</v>
      </c>
      <c r="B78" s="53">
        <v>6.4</v>
      </c>
      <c r="C78" s="52">
        <v>4</v>
      </c>
      <c r="D78" s="54">
        <v>94.8</v>
      </c>
      <c r="E78" s="54">
        <f>0.6+0.6+3.6+3.6+17.3+11+7.9+0.6+0.6+3.6+3.6+17.3+11+7.9+8+8+2.1+12.1</f>
        <v>119.4</v>
      </c>
      <c r="F78" s="54">
        <v>73</v>
      </c>
      <c r="G78" s="54"/>
      <c r="H78" s="54"/>
      <c r="I78" s="54">
        <f>SUM(D78:H78)</f>
        <v>287.2</v>
      </c>
      <c r="J78" s="54"/>
    </row>
    <row r="79" spans="1:10" s="56" customFormat="1" x14ac:dyDescent="0.35">
      <c r="A79" s="52">
        <v>4</v>
      </c>
      <c r="B79" s="53">
        <v>9.6</v>
      </c>
      <c r="C79" s="52">
        <v>5</v>
      </c>
      <c r="D79" s="54">
        <v>94.8</v>
      </c>
      <c r="E79" s="54">
        <f>0.6+0.6+3.6+3.6+17.3+11+7.9+0.6+0.6+3.6+3.6+17.3+11+7.9+8+8+2.1+12.1</f>
        <v>119.4</v>
      </c>
      <c r="F79" s="54">
        <v>73</v>
      </c>
      <c r="G79" s="54"/>
      <c r="H79" s="54"/>
      <c r="I79" s="54">
        <f>SUM(D79:H79)</f>
        <v>287.2</v>
      </c>
      <c r="J79" s="54"/>
    </row>
    <row r="80" spans="1:10" s="56" customFormat="1" x14ac:dyDescent="0.35">
      <c r="A80" s="52"/>
      <c r="B80" s="53"/>
      <c r="C80" s="52"/>
      <c r="D80" s="54"/>
      <c r="E80" s="54"/>
      <c r="F80" s="54"/>
      <c r="G80" s="54"/>
      <c r="H80" s="54"/>
      <c r="I80" s="53">
        <f>SUM(I75:I79)</f>
        <v>1455.3300000000002</v>
      </c>
      <c r="J80" s="53">
        <f>SUM(J75:J79)</f>
        <v>0</v>
      </c>
    </row>
    <row r="82" spans="1:13" s="56" customFormat="1" ht="16" x14ac:dyDescent="0.35">
      <c r="A82" s="85" t="s">
        <v>226</v>
      </c>
      <c r="B82" s="86"/>
      <c r="C82" s="86"/>
      <c r="D82" s="86"/>
      <c r="E82" s="86"/>
      <c r="F82" s="86"/>
      <c r="G82" s="86"/>
      <c r="H82" s="86"/>
      <c r="I82" s="86"/>
      <c r="J82" s="87"/>
    </row>
    <row r="83" spans="1:13" s="56" customFormat="1" ht="16" x14ac:dyDescent="0.35">
      <c r="A83" s="57" t="s">
        <v>0</v>
      </c>
      <c r="B83" s="57" t="s">
        <v>198</v>
      </c>
      <c r="C83" s="57" t="s">
        <v>19</v>
      </c>
      <c r="D83" s="57" t="s">
        <v>227</v>
      </c>
      <c r="E83" s="57" t="s">
        <v>209</v>
      </c>
      <c r="F83" s="57" t="s">
        <v>251</v>
      </c>
      <c r="G83" s="57"/>
      <c r="H83" s="57"/>
      <c r="I83" s="57" t="s">
        <v>8</v>
      </c>
      <c r="J83" s="57" t="s">
        <v>201</v>
      </c>
    </row>
    <row r="84" spans="1:13" s="56" customFormat="1" x14ac:dyDescent="0.35">
      <c r="A84" s="58">
        <v>1</v>
      </c>
      <c r="B84" s="58">
        <v>2</v>
      </c>
      <c r="C84" s="58">
        <v>3</v>
      </c>
      <c r="D84" s="58">
        <v>4</v>
      </c>
      <c r="E84" s="58">
        <v>5</v>
      </c>
      <c r="F84" s="58">
        <v>6</v>
      </c>
      <c r="G84" s="58">
        <v>7</v>
      </c>
      <c r="H84" s="58">
        <v>8</v>
      </c>
      <c r="I84" s="58">
        <v>9</v>
      </c>
      <c r="J84" s="58">
        <v>10</v>
      </c>
    </row>
    <row r="85" spans="1:13" s="56" customFormat="1" x14ac:dyDescent="0.35">
      <c r="A85" s="52">
        <v>1</v>
      </c>
      <c r="B85" s="53">
        <v>-2.2999999999999998</v>
      </c>
      <c r="C85" s="52">
        <v>1</v>
      </c>
      <c r="D85" s="54">
        <v>0</v>
      </c>
      <c r="E85" s="54">
        <f>E75</f>
        <v>0</v>
      </c>
      <c r="F85" s="54">
        <f>D75</f>
        <v>239.28</v>
      </c>
      <c r="G85" s="54"/>
      <c r="H85" s="54"/>
      <c r="I85" s="54">
        <f>SUM(D85:H85)</f>
        <v>239.28</v>
      </c>
      <c r="J85" s="54"/>
      <c r="M85" s="60"/>
    </row>
    <row r="86" spans="1:13" s="56" customFormat="1" x14ac:dyDescent="0.35">
      <c r="A86" s="52">
        <v>2</v>
      </c>
      <c r="B86" s="53">
        <v>0</v>
      </c>
      <c r="C86" s="52">
        <v>2</v>
      </c>
      <c r="D86" s="54">
        <v>565.6</v>
      </c>
      <c r="E86" s="54">
        <f>E76</f>
        <v>35.400000000000006</v>
      </c>
      <c r="F86" s="54">
        <f>D76</f>
        <v>115.05</v>
      </c>
      <c r="G86" s="54"/>
      <c r="H86" s="54"/>
      <c r="I86" s="54">
        <f>SUM(D86:H86)</f>
        <v>716.05</v>
      </c>
      <c r="J86" s="54"/>
      <c r="M86" s="60"/>
    </row>
    <row r="87" spans="1:13" s="56" customFormat="1" x14ac:dyDescent="0.35">
      <c r="A87" s="52">
        <v>2</v>
      </c>
      <c r="B87" s="53">
        <v>3.2</v>
      </c>
      <c r="C87" s="52">
        <v>3</v>
      </c>
      <c r="D87" s="54">
        <v>619.29999999999995</v>
      </c>
      <c r="E87" s="54">
        <f>E77</f>
        <v>119.4</v>
      </c>
      <c r="F87" s="54">
        <f>D77</f>
        <v>94.8</v>
      </c>
      <c r="G87" s="54"/>
      <c r="H87" s="54"/>
      <c r="I87" s="54">
        <f>SUM(D87:H87)</f>
        <v>833.49999999999989</v>
      </c>
      <c r="J87" s="54"/>
      <c r="M87" s="60"/>
    </row>
    <row r="88" spans="1:13" s="56" customFormat="1" x14ac:dyDescent="0.35">
      <c r="A88" s="52">
        <v>3</v>
      </c>
      <c r="B88" s="53">
        <v>6.4</v>
      </c>
      <c r="C88" s="52">
        <v>4</v>
      </c>
      <c r="D88" s="54">
        <v>619.29999999999995</v>
      </c>
      <c r="E88" s="54">
        <f>E78</f>
        <v>119.4</v>
      </c>
      <c r="F88" s="54">
        <f>D78</f>
        <v>94.8</v>
      </c>
      <c r="G88" s="54"/>
      <c r="H88" s="54"/>
      <c r="I88" s="54">
        <f>SUM(D88:H88)</f>
        <v>833.49999999999989</v>
      </c>
      <c r="J88" s="54"/>
    </row>
    <row r="89" spans="1:13" s="56" customFormat="1" x14ac:dyDescent="0.35">
      <c r="A89" s="52">
        <v>4</v>
      </c>
      <c r="B89" s="53">
        <v>9.6</v>
      </c>
      <c r="C89" s="52">
        <v>5</v>
      </c>
      <c r="D89" s="54">
        <v>619.29999999999995</v>
      </c>
      <c r="E89" s="54">
        <f>E79</f>
        <v>119.4</v>
      </c>
      <c r="F89" s="54">
        <f>D79</f>
        <v>94.8</v>
      </c>
      <c r="G89" s="54"/>
      <c r="H89" s="54"/>
      <c r="I89" s="54">
        <f>SUM(D89:H89)</f>
        <v>833.49999999999989</v>
      </c>
      <c r="J89" s="54"/>
    </row>
    <row r="90" spans="1:13" s="56" customFormat="1" x14ac:dyDescent="0.35">
      <c r="A90" s="52"/>
      <c r="B90" s="53"/>
      <c r="C90" s="52"/>
      <c r="D90" s="54"/>
      <c r="E90" s="54"/>
      <c r="F90" s="54"/>
      <c r="G90" s="54"/>
      <c r="H90" s="54"/>
      <c r="I90" s="53">
        <f>SUM(I85:I89)</f>
        <v>3455.83</v>
      </c>
      <c r="J90" s="53">
        <f>SUM(J85:J89)</f>
        <v>0</v>
      </c>
    </row>
    <row r="92" spans="1:13" s="56" customFormat="1" ht="16" x14ac:dyDescent="0.35">
      <c r="A92" s="85" t="s">
        <v>228</v>
      </c>
      <c r="B92" s="86"/>
      <c r="C92" s="86"/>
      <c r="D92" s="86"/>
      <c r="E92" s="86"/>
      <c r="F92" s="86"/>
      <c r="G92" s="86"/>
      <c r="H92" s="86"/>
      <c r="I92" s="86"/>
      <c r="J92" s="87"/>
    </row>
    <row r="93" spans="1:13" s="56" customFormat="1" ht="16" x14ac:dyDescent="0.35">
      <c r="A93" s="57" t="s">
        <v>0</v>
      </c>
      <c r="B93" s="57" t="s">
        <v>198</v>
      </c>
      <c r="C93" s="57" t="s">
        <v>19</v>
      </c>
      <c r="D93" s="57" t="s">
        <v>229</v>
      </c>
      <c r="E93" s="57" t="s">
        <v>230</v>
      </c>
      <c r="F93" s="57" t="s">
        <v>231</v>
      </c>
      <c r="G93" s="57"/>
      <c r="H93" s="57"/>
      <c r="I93" s="57" t="s">
        <v>8</v>
      </c>
      <c r="J93" s="57" t="s">
        <v>201</v>
      </c>
    </row>
    <row r="94" spans="1:13" s="56" customFormat="1" x14ac:dyDescent="0.35">
      <c r="A94" s="58">
        <v>1</v>
      </c>
      <c r="B94" s="58">
        <v>2</v>
      </c>
      <c r="C94" s="58">
        <v>3</v>
      </c>
      <c r="D94" s="58">
        <v>4</v>
      </c>
      <c r="E94" s="58">
        <v>5</v>
      </c>
      <c r="F94" s="58">
        <v>6</v>
      </c>
      <c r="G94" s="58">
        <v>7</v>
      </c>
      <c r="H94" s="58">
        <v>8</v>
      </c>
      <c r="I94" s="58">
        <v>9</v>
      </c>
      <c r="J94" s="58">
        <v>10</v>
      </c>
    </row>
    <row r="95" spans="1:13" s="56" customFormat="1" x14ac:dyDescent="0.35">
      <c r="A95" s="52">
        <v>1</v>
      </c>
      <c r="B95" s="53">
        <v>-2.2999999999999998</v>
      </c>
      <c r="C95" s="52">
        <v>1</v>
      </c>
      <c r="D95" s="54">
        <v>0</v>
      </c>
      <c r="E95" s="54">
        <v>0</v>
      </c>
      <c r="F95" s="54"/>
      <c r="G95" s="54"/>
      <c r="H95" s="54"/>
      <c r="I95" s="54">
        <f>SUM(D95:H95)</f>
        <v>0</v>
      </c>
      <c r="J95" s="54"/>
    </row>
    <row r="96" spans="1:13" s="56" customFormat="1" x14ac:dyDescent="0.35">
      <c r="A96" s="52">
        <v>2</v>
      </c>
      <c r="B96" s="53">
        <v>0</v>
      </c>
      <c r="C96" s="52">
        <v>2</v>
      </c>
      <c r="D96" s="54">
        <f>349.72*2.97</f>
        <v>1038.6684000000002</v>
      </c>
      <c r="E96" s="54">
        <f>103.45*2.97</f>
        <v>307.24650000000003</v>
      </c>
      <c r="F96" s="54"/>
      <c r="G96" s="54"/>
      <c r="H96" s="54"/>
      <c r="I96" s="54">
        <f>SUM(D96:H96)</f>
        <v>1345.9149000000002</v>
      </c>
      <c r="J96" s="54"/>
    </row>
    <row r="97" spans="1:10" s="56" customFormat="1" x14ac:dyDescent="0.35">
      <c r="A97" s="52">
        <v>2</v>
      </c>
      <c r="B97" s="53">
        <v>3.2</v>
      </c>
      <c r="C97" s="52">
        <v>3</v>
      </c>
      <c r="D97" s="54">
        <f>351.83*2.97</f>
        <v>1044.9350999999999</v>
      </c>
      <c r="E97" s="54">
        <f>121.8*2.97</f>
        <v>361.74600000000004</v>
      </c>
      <c r="F97" s="54"/>
      <c r="G97" s="54"/>
      <c r="H97" s="54"/>
      <c r="I97" s="54">
        <f>SUM(D97:H97)</f>
        <v>1406.6811</v>
      </c>
      <c r="J97" s="54"/>
    </row>
    <row r="98" spans="1:10" s="56" customFormat="1" x14ac:dyDescent="0.35">
      <c r="A98" s="52">
        <v>3</v>
      </c>
      <c r="B98" s="53">
        <v>6.4</v>
      </c>
      <c r="C98" s="52">
        <v>4</v>
      </c>
      <c r="D98" s="54">
        <f>351.83*2.97</f>
        <v>1044.9350999999999</v>
      </c>
      <c r="E98" s="54">
        <f>121.8*2.97</f>
        <v>361.74600000000004</v>
      </c>
      <c r="F98" s="54"/>
      <c r="G98" s="54"/>
      <c r="H98" s="54"/>
      <c r="I98" s="54">
        <f>SUM(D98:H98)</f>
        <v>1406.6811</v>
      </c>
      <c r="J98" s="54"/>
    </row>
    <row r="99" spans="1:10" s="56" customFormat="1" x14ac:dyDescent="0.35">
      <c r="A99" s="52">
        <v>4</v>
      </c>
      <c r="B99" s="53">
        <v>9.6</v>
      </c>
      <c r="C99" s="52">
        <v>5</v>
      </c>
      <c r="D99" s="54">
        <f>351.83*2.97</f>
        <v>1044.9350999999999</v>
      </c>
      <c r="E99" s="54">
        <f>121.8*2.97</f>
        <v>361.74600000000004</v>
      </c>
      <c r="F99" s="54"/>
      <c r="G99" s="54"/>
      <c r="H99" s="54"/>
      <c r="I99" s="54">
        <f>SUM(D99:H99)</f>
        <v>1406.6811</v>
      </c>
      <c r="J99" s="54"/>
    </row>
    <row r="100" spans="1:10" s="56" customFormat="1" x14ac:dyDescent="0.35">
      <c r="A100" s="52"/>
      <c r="B100" s="53"/>
      <c r="C100" s="52"/>
      <c r="D100" s="54"/>
      <c r="E100" s="54"/>
      <c r="F100" s="54"/>
      <c r="G100" s="54"/>
      <c r="H100" s="54"/>
      <c r="I100" s="53">
        <f>SUM(I95:I99)</f>
        <v>5565.9582</v>
      </c>
      <c r="J100" s="53">
        <f>SUM(J95:J99)</f>
        <v>0</v>
      </c>
    </row>
    <row r="101" spans="1:10" ht="15" thickBot="1" x14ac:dyDescent="0.4"/>
    <row r="102" spans="1:10" ht="16" thickBot="1" x14ac:dyDescent="0.4">
      <c r="B102" s="82" t="s">
        <v>409</v>
      </c>
      <c r="C102" s="83"/>
      <c r="D102" s="83"/>
      <c r="E102" s="83"/>
      <c r="F102" s="83"/>
      <c r="G102" s="83"/>
      <c r="H102" s="84"/>
    </row>
    <row r="103" spans="1:10" ht="16" x14ac:dyDescent="0.35">
      <c r="A103" s="6" t="s">
        <v>0</v>
      </c>
      <c r="B103" s="68" t="s">
        <v>198</v>
      </c>
      <c r="C103" s="68" t="s">
        <v>19</v>
      </c>
      <c r="D103" s="68" t="s">
        <v>410</v>
      </c>
      <c r="E103" s="68" t="s">
        <v>411</v>
      </c>
      <c r="F103" s="68" t="s">
        <v>412</v>
      </c>
      <c r="G103" s="68" t="s">
        <v>413</v>
      </c>
      <c r="H103" s="68"/>
      <c r="I103" s="6" t="s">
        <v>8</v>
      </c>
      <c r="J103" s="6" t="s">
        <v>201</v>
      </c>
    </row>
    <row r="104" spans="1:10" x14ac:dyDescent="0.35">
      <c r="A104" s="7">
        <v>1</v>
      </c>
      <c r="B104" s="7">
        <v>2</v>
      </c>
      <c r="C104" s="7">
        <v>3</v>
      </c>
      <c r="D104" s="7">
        <v>4</v>
      </c>
      <c r="E104" s="7">
        <v>5</v>
      </c>
      <c r="F104" s="7">
        <v>6</v>
      </c>
      <c r="G104" s="7">
        <v>7</v>
      </c>
      <c r="H104" s="7">
        <v>8</v>
      </c>
      <c r="I104" s="7">
        <v>9</v>
      </c>
      <c r="J104" s="7">
        <v>10</v>
      </c>
    </row>
    <row r="105" spans="1:10" x14ac:dyDescent="0.35">
      <c r="A105" s="8">
        <v>1</v>
      </c>
      <c r="B105" s="12">
        <v>-2.2999999999999998</v>
      </c>
      <c r="C105" s="8">
        <v>1</v>
      </c>
      <c r="D105" s="10">
        <f>ფართები!C7</f>
        <v>962.16000000000008</v>
      </c>
      <c r="E105" s="10">
        <f>(3.8*3.5)*3+((2.3+2.6+2.3+2.6)*4.85*3)</f>
        <v>182.49</v>
      </c>
      <c r="F105" s="67">
        <f>((21.1+15.2)*2)*1.95+((21.1+15.2)*2)*1.95+((21.1+15.2)*2)*1.95</f>
        <v>424.71</v>
      </c>
      <c r="G105" s="10">
        <v>0</v>
      </c>
      <c r="H105" s="10"/>
      <c r="I105" s="10">
        <f>SUM(D105:H105)</f>
        <v>1569.3600000000001</v>
      </c>
      <c r="J105" s="10"/>
    </row>
    <row r="106" spans="1:10" x14ac:dyDescent="0.35">
      <c r="A106" s="8">
        <v>2</v>
      </c>
      <c r="B106" s="12">
        <v>0</v>
      </c>
      <c r="C106" s="8">
        <v>2</v>
      </c>
      <c r="D106" s="10">
        <f>ფართები!C8</f>
        <v>962.16000000000008</v>
      </c>
      <c r="E106" s="10">
        <f>((2.3+2.6+2.3+2.6)*2.97)*3</f>
        <v>87.318000000000012</v>
      </c>
      <c r="F106" s="10">
        <f>(6.5*2.6)*3</f>
        <v>50.7</v>
      </c>
      <c r="G106" s="10"/>
      <c r="H106" s="10"/>
      <c r="I106" s="10">
        <f>SUM(D106:H106)-I117-I158*2.2</f>
        <v>1100.1780000000001</v>
      </c>
      <c r="J106" s="10"/>
    </row>
    <row r="107" spans="1:10" x14ac:dyDescent="0.35">
      <c r="A107" s="8">
        <v>3</v>
      </c>
      <c r="B107" s="12">
        <v>3.2</v>
      </c>
      <c r="C107" s="8">
        <v>3</v>
      </c>
      <c r="D107" s="10">
        <f>ფართები!C9</f>
        <v>1031.8399999999997</v>
      </c>
      <c r="E107" s="10">
        <f>((2.3+2.6+2.3+2.6)*2.97)*3</f>
        <v>87.318000000000012</v>
      </c>
      <c r="F107" s="10">
        <f>(6.5*2.6)*3</f>
        <v>50.7</v>
      </c>
      <c r="G107" s="10"/>
      <c r="H107" s="10"/>
      <c r="I107" s="10">
        <f>SUM(D107:H107)-I119-I160*2.2</f>
        <v>1169.8579999999997</v>
      </c>
      <c r="J107" s="10"/>
    </row>
    <row r="108" spans="1:10" x14ac:dyDescent="0.35">
      <c r="A108" s="8">
        <v>3</v>
      </c>
      <c r="B108" s="12">
        <v>6.4</v>
      </c>
      <c r="C108" s="8">
        <v>3</v>
      </c>
      <c r="D108" s="10">
        <f>ფართები!C10</f>
        <v>1031.8399999999997</v>
      </c>
      <c r="E108" s="10">
        <f>((2.3+2.6+2.3+2.6)*2.97)*3</f>
        <v>87.318000000000012</v>
      </c>
      <c r="F108" s="10">
        <f>(6.5*2.6)*3</f>
        <v>50.7</v>
      </c>
      <c r="G108" s="10"/>
      <c r="H108" s="10"/>
      <c r="I108" s="10">
        <f>SUM(D108:H108)-I120-I161*2.2</f>
        <v>1169.8579999999997</v>
      </c>
      <c r="J108" s="10"/>
    </row>
    <row r="109" spans="1:10" x14ac:dyDescent="0.35">
      <c r="A109" s="8">
        <v>3</v>
      </c>
      <c r="B109" s="12">
        <v>9.6</v>
      </c>
      <c r="C109" s="8">
        <v>3</v>
      </c>
      <c r="D109" s="10">
        <f>ფართები!C11</f>
        <v>1031.8399999999997</v>
      </c>
      <c r="E109" s="10">
        <f>((2.3+2.6+2.3+2.6)*2.97)*3</f>
        <v>87.318000000000012</v>
      </c>
      <c r="F109" s="10">
        <f>(6.5*2.6)*3</f>
        <v>50.7</v>
      </c>
      <c r="G109" s="10"/>
      <c r="H109" s="10"/>
      <c r="I109" s="10">
        <f>SUM(D109:H109)-I121-I162*2.2</f>
        <v>1169.8579999999997</v>
      </c>
      <c r="J109" s="10"/>
    </row>
    <row r="110" spans="1:10" x14ac:dyDescent="0.35">
      <c r="A110" s="8">
        <v>4</v>
      </c>
      <c r="B110" s="69" t="s">
        <v>414</v>
      </c>
      <c r="C110" s="8">
        <v>4</v>
      </c>
      <c r="D110" s="10">
        <f>ფართები!C12</f>
        <v>1029.32</v>
      </c>
      <c r="E110" s="10">
        <f>(2.3*2.6+((2.3+2.3+2.3+2.6)*0.95))*3</f>
        <v>45.015000000000001</v>
      </c>
      <c r="F110" s="10">
        <f>((22.1+15.2)*2)*3</f>
        <v>223.79999999999998</v>
      </c>
      <c r="G110" s="10">
        <v>48</v>
      </c>
      <c r="H110" s="10"/>
      <c r="I110" s="10">
        <f>SUM(D110:H110)-I120-I161*2.2</f>
        <v>1346.135</v>
      </c>
      <c r="J110" s="10"/>
    </row>
    <row r="111" spans="1:10" x14ac:dyDescent="0.35">
      <c r="A111" s="8"/>
      <c r="B111" s="12"/>
      <c r="C111" s="8"/>
      <c r="D111" s="10"/>
      <c r="E111" s="10"/>
      <c r="F111" s="10"/>
      <c r="G111" s="10"/>
      <c r="H111" s="10"/>
      <c r="I111" s="12">
        <f>SUM(I105:I110)</f>
        <v>7525.2469999999994</v>
      </c>
      <c r="J111" s="12">
        <f>SUM(J105:J110)</f>
        <v>0</v>
      </c>
    </row>
    <row r="113" customFormat="1" x14ac:dyDescent="0.35"/>
  </sheetData>
  <mergeCells count="14">
    <mergeCell ref="G25:G29"/>
    <mergeCell ref="A52:J52"/>
    <mergeCell ref="A1:J1"/>
    <mergeCell ref="A11:J11"/>
    <mergeCell ref="A21:J21"/>
    <mergeCell ref="A32:J32"/>
    <mergeCell ref="A42:J42"/>
    <mergeCell ref="F26:F28"/>
    <mergeCell ref="D25:D29"/>
    <mergeCell ref="B102:H102"/>
    <mergeCell ref="A62:J62"/>
    <mergeCell ref="A72:J72"/>
    <mergeCell ref="A82:J82"/>
    <mergeCell ref="A92:J92"/>
  </mergeCells>
  <pageMargins left="0.7" right="0.7" top="0.75" bottom="0.75" header="0.3" footer="0.3"/>
  <pageSetup orientation="portrait" r:id="rId1"/>
  <ignoredErrors>
    <ignoredError sqref="J9 J19 J30 J40 J50 J6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671BB-2E89-4A2E-9A29-6EF59A4915FE}">
  <dimension ref="A1:H114"/>
  <sheetViews>
    <sheetView topLeftCell="A22" workbookViewId="0">
      <selection activeCell="D35" sqref="D35"/>
    </sheetView>
  </sheetViews>
  <sheetFormatPr defaultRowHeight="14.5" x14ac:dyDescent="0.35"/>
  <cols>
    <col min="2" max="2" width="33.453125" bestFit="1" customWidth="1"/>
    <col min="3" max="3" width="7.81640625" bestFit="1" customWidth="1"/>
    <col min="4" max="4" width="11.453125" customWidth="1"/>
    <col min="5" max="5" width="8.36328125" customWidth="1"/>
    <col min="7" max="7" width="11.36328125" bestFit="1" customWidth="1"/>
  </cols>
  <sheetData>
    <row r="1" spans="1:8" ht="32" x14ac:dyDescent="0.35">
      <c r="A1" s="39" t="s">
        <v>0</v>
      </c>
      <c r="B1" s="39" t="s">
        <v>1</v>
      </c>
      <c r="C1" s="39" t="s">
        <v>2</v>
      </c>
      <c r="D1" s="39" t="s">
        <v>4</v>
      </c>
      <c r="E1" s="74" t="s">
        <v>437</v>
      </c>
      <c r="G1" s="75" t="s">
        <v>438</v>
      </c>
    </row>
    <row r="2" spans="1:8" x14ac:dyDescent="0.35">
      <c r="A2" s="40">
        <v>1</v>
      </c>
      <c r="B2" s="40">
        <v>2</v>
      </c>
      <c r="C2" s="40">
        <v>3</v>
      </c>
      <c r="D2" s="40">
        <v>5</v>
      </c>
    </row>
    <row r="3" spans="1:8" x14ac:dyDescent="0.35">
      <c r="A3" s="42"/>
      <c r="B3" s="3" t="s">
        <v>196</v>
      </c>
      <c r="C3" s="4" t="s">
        <v>9</v>
      </c>
      <c r="D3" s="1">
        <f>40/1.18</f>
        <v>33.898305084745765</v>
      </c>
      <c r="E3" s="72">
        <v>33.898305084745765</v>
      </c>
      <c r="F3" s="43">
        <f>D3-E3</f>
        <v>0</v>
      </c>
      <c r="G3" s="72">
        <v>33.898305084745765</v>
      </c>
      <c r="H3" s="43">
        <f>D3-G3</f>
        <v>0</v>
      </c>
    </row>
    <row r="4" spans="1:8" x14ac:dyDescent="0.35">
      <c r="A4" s="42"/>
      <c r="B4" s="3" t="s">
        <v>256</v>
      </c>
      <c r="C4" s="4" t="s">
        <v>9</v>
      </c>
      <c r="D4" s="1">
        <f>45/1.18</f>
        <v>38.135593220338983</v>
      </c>
      <c r="E4" s="72">
        <v>38.135593220338983</v>
      </c>
      <c r="F4" s="43">
        <f t="shared" ref="F4:F67" si="0">D4-E4</f>
        <v>0</v>
      </c>
      <c r="G4" s="72">
        <v>38.135593220338983</v>
      </c>
      <c r="H4" s="43">
        <f t="shared" ref="H4:H67" si="1">D4-G4</f>
        <v>0</v>
      </c>
    </row>
    <row r="5" spans="1:8" x14ac:dyDescent="0.35">
      <c r="A5" s="2"/>
      <c r="B5" s="3" t="s">
        <v>195</v>
      </c>
      <c r="C5" s="4" t="s">
        <v>9</v>
      </c>
      <c r="D5" s="66">
        <f>205/1.18</f>
        <v>173.72881355932205</v>
      </c>
      <c r="E5" s="73">
        <v>173.72881355932205</v>
      </c>
      <c r="F5" s="43">
        <f t="shared" si="0"/>
        <v>0</v>
      </c>
      <c r="G5" s="72">
        <v>173.72881355932205</v>
      </c>
      <c r="H5" s="43">
        <f t="shared" si="1"/>
        <v>0</v>
      </c>
    </row>
    <row r="6" spans="1:8" x14ac:dyDescent="0.35">
      <c r="A6" s="2"/>
      <c r="B6" s="3" t="s">
        <v>38</v>
      </c>
      <c r="C6" s="4" t="s">
        <v>9</v>
      </c>
      <c r="D6" s="1">
        <f>259/1.18</f>
        <v>219.49152542372883</v>
      </c>
      <c r="E6" s="72">
        <v>219.49152542372883</v>
      </c>
      <c r="F6" s="43">
        <f t="shared" si="0"/>
        <v>0</v>
      </c>
      <c r="G6" s="72">
        <v>219.49152542372883</v>
      </c>
      <c r="H6" s="43">
        <f t="shared" si="1"/>
        <v>0</v>
      </c>
    </row>
    <row r="7" spans="1:8" x14ac:dyDescent="0.35">
      <c r="A7" s="2"/>
      <c r="B7" s="3" t="s">
        <v>430</v>
      </c>
      <c r="C7" s="4" t="s">
        <v>12</v>
      </c>
      <c r="D7" s="46">
        <f>830*ფართები!E3/1.18</f>
        <v>1906.1864406779664</v>
      </c>
      <c r="E7" s="72">
        <v>1931.2271186440678</v>
      </c>
      <c r="F7" s="43">
        <f t="shared" si="0"/>
        <v>-25.040677966101384</v>
      </c>
      <c r="G7" s="72">
        <v>1931.2271186440678</v>
      </c>
      <c r="H7" s="43">
        <f t="shared" si="1"/>
        <v>-25.040677966101384</v>
      </c>
    </row>
    <row r="8" spans="1:8" x14ac:dyDescent="0.35">
      <c r="A8" s="2"/>
      <c r="B8" s="3" t="s">
        <v>48</v>
      </c>
      <c r="C8" s="4" t="s">
        <v>49</v>
      </c>
      <c r="D8" s="1">
        <f>1.97/1.18</f>
        <v>1.6694915254237288</v>
      </c>
      <c r="E8" s="72">
        <v>1.6694915254237288</v>
      </c>
      <c r="F8" s="43">
        <f t="shared" si="0"/>
        <v>0</v>
      </c>
      <c r="G8" s="72">
        <v>1.6694915254237288</v>
      </c>
      <c r="H8" s="43">
        <f t="shared" si="1"/>
        <v>0</v>
      </c>
    </row>
    <row r="9" spans="1:8" x14ac:dyDescent="0.35">
      <c r="A9" s="2"/>
      <c r="B9" s="3" t="s">
        <v>405</v>
      </c>
      <c r="C9" s="4" t="s">
        <v>190</v>
      </c>
      <c r="D9" s="1">
        <f>116/1.18</f>
        <v>98.305084745762713</v>
      </c>
      <c r="E9" s="72">
        <v>98.305084745762713</v>
      </c>
      <c r="F9" s="43">
        <f t="shared" si="0"/>
        <v>0</v>
      </c>
      <c r="G9" s="72">
        <v>98.305084745762713</v>
      </c>
      <c r="H9" s="43">
        <f t="shared" si="1"/>
        <v>0</v>
      </c>
    </row>
    <row r="10" spans="1:8" x14ac:dyDescent="0.35">
      <c r="A10" s="2"/>
      <c r="B10" s="3" t="s">
        <v>50</v>
      </c>
      <c r="C10" s="4" t="s">
        <v>9</v>
      </c>
      <c r="D10" s="1">
        <f>70/1.18</f>
        <v>59.322033898305087</v>
      </c>
      <c r="E10" s="72">
        <v>59.322033898305087</v>
      </c>
      <c r="F10" s="43">
        <f t="shared" si="0"/>
        <v>0</v>
      </c>
      <c r="G10" s="72">
        <v>59.322033898305087</v>
      </c>
      <c r="H10" s="43">
        <f t="shared" si="1"/>
        <v>0</v>
      </c>
    </row>
    <row r="11" spans="1:8" x14ac:dyDescent="0.35">
      <c r="A11" s="2"/>
      <c r="B11" s="3" t="s">
        <v>51</v>
      </c>
      <c r="C11" s="4" t="s">
        <v>12</v>
      </c>
      <c r="D11" s="1">
        <f>313.29/1.18</f>
        <v>265.50000000000006</v>
      </c>
      <c r="E11" s="72">
        <v>265.47457627118644</v>
      </c>
      <c r="F11" s="43">
        <f t="shared" si="0"/>
        <v>2.5423728813620983E-2</v>
      </c>
      <c r="G11" s="72">
        <v>265.47457627118644</v>
      </c>
      <c r="H11" s="43">
        <f t="shared" si="1"/>
        <v>2.5423728813620983E-2</v>
      </c>
    </row>
    <row r="12" spans="1:8" x14ac:dyDescent="0.35">
      <c r="A12" s="2"/>
      <c r="B12" s="3" t="s">
        <v>54</v>
      </c>
      <c r="C12" s="4" t="s">
        <v>55</v>
      </c>
      <c r="D12" s="1">
        <f>0.95/1.18</f>
        <v>0.80508474576271183</v>
      </c>
      <c r="E12" s="72">
        <v>0.80508474576271183</v>
      </c>
      <c r="F12" s="43">
        <f t="shared" si="0"/>
        <v>0</v>
      </c>
      <c r="G12" s="72">
        <v>0.80508474576271183</v>
      </c>
      <c r="H12" s="43">
        <f t="shared" si="1"/>
        <v>0</v>
      </c>
    </row>
    <row r="13" spans="1:8" x14ac:dyDescent="0.35">
      <c r="A13" s="2"/>
      <c r="B13" s="3" t="s">
        <v>206</v>
      </c>
      <c r="C13" s="4" t="s">
        <v>10</v>
      </c>
      <c r="D13" s="1">
        <f>78/1.18</f>
        <v>66.101694915254242</v>
      </c>
      <c r="E13" s="72">
        <v>66.101694915254242</v>
      </c>
      <c r="F13" s="43">
        <f t="shared" si="0"/>
        <v>0</v>
      </c>
      <c r="G13" s="72">
        <v>66.101694915254242</v>
      </c>
      <c r="H13" s="43">
        <f t="shared" si="1"/>
        <v>0</v>
      </c>
    </row>
    <row r="14" spans="1:8" x14ac:dyDescent="0.35">
      <c r="A14" s="2"/>
      <c r="B14" s="3" t="s">
        <v>90</v>
      </c>
      <c r="C14" s="4" t="s">
        <v>9</v>
      </c>
      <c r="D14" s="1">
        <f>70/1.18</f>
        <v>59.322033898305087</v>
      </c>
      <c r="E14" s="72">
        <v>59.322033898305087</v>
      </c>
      <c r="F14" s="43">
        <f t="shared" si="0"/>
        <v>0</v>
      </c>
      <c r="G14" s="72">
        <v>59.322033898305087</v>
      </c>
      <c r="H14" s="43">
        <f t="shared" si="1"/>
        <v>0</v>
      </c>
    </row>
    <row r="15" spans="1:8" x14ac:dyDescent="0.35">
      <c r="A15" s="2"/>
      <c r="B15" s="3" t="s">
        <v>257</v>
      </c>
      <c r="C15" s="4" t="s">
        <v>10</v>
      </c>
      <c r="D15" s="1">
        <f>70/1.18</f>
        <v>59.322033898305087</v>
      </c>
      <c r="E15" s="72">
        <v>59.322033898305087</v>
      </c>
      <c r="F15" s="43">
        <f t="shared" si="0"/>
        <v>0</v>
      </c>
      <c r="G15" s="72">
        <v>59.322033898305087</v>
      </c>
      <c r="H15" s="43">
        <f t="shared" si="1"/>
        <v>0</v>
      </c>
    </row>
    <row r="16" spans="1:8" x14ac:dyDescent="0.35">
      <c r="A16" s="2"/>
      <c r="B16" s="3" t="s">
        <v>258</v>
      </c>
      <c r="C16" s="4" t="s">
        <v>10</v>
      </c>
      <c r="D16" s="1">
        <f>40/1.18</f>
        <v>33.898305084745765</v>
      </c>
      <c r="E16" s="72">
        <v>33.898305084745765</v>
      </c>
      <c r="F16" s="43">
        <f t="shared" si="0"/>
        <v>0</v>
      </c>
      <c r="G16" s="72">
        <v>33.898305084745765</v>
      </c>
      <c r="H16" s="43">
        <f t="shared" si="1"/>
        <v>0</v>
      </c>
    </row>
    <row r="17" spans="1:8" x14ac:dyDescent="0.35">
      <c r="A17" s="2"/>
      <c r="B17" s="3" t="s">
        <v>62</v>
      </c>
      <c r="C17" s="4" t="s">
        <v>10</v>
      </c>
      <c r="D17" s="1">
        <f>140/1.18</f>
        <v>118.64406779661017</v>
      </c>
      <c r="E17" s="72">
        <v>118.64406779661017</v>
      </c>
      <c r="F17" s="43">
        <f t="shared" si="0"/>
        <v>0</v>
      </c>
      <c r="G17" s="72">
        <v>118.64406779661017</v>
      </c>
      <c r="H17" s="43">
        <f t="shared" si="1"/>
        <v>0</v>
      </c>
    </row>
    <row r="18" spans="1:8" x14ac:dyDescent="0.35">
      <c r="A18" s="2"/>
      <c r="B18" s="3" t="s">
        <v>74</v>
      </c>
      <c r="C18" s="4" t="s">
        <v>75</v>
      </c>
      <c r="D18" s="1">
        <f>14.4/1.18</f>
        <v>12.203389830508476</v>
      </c>
      <c r="E18" s="72">
        <v>12.203389830508476</v>
      </c>
      <c r="F18" s="43">
        <f t="shared" si="0"/>
        <v>0</v>
      </c>
      <c r="G18" s="72">
        <v>12.203389830508476</v>
      </c>
      <c r="H18" s="43">
        <f t="shared" si="1"/>
        <v>0</v>
      </c>
    </row>
    <row r="19" spans="1:8" x14ac:dyDescent="0.35">
      <c r="A19" s="2"/>
      <c r="B19" s="3" t="s">
        <v>404</v>
      </c>
      <c r="C19" s="4" t="s">
        <v>192</v>
      </c>
      <c r="D19" s="1">
        <f>140/1.18</f>
        <v>118.64406779661017</v>
      </c>
      <c r="E19" s="72">
        <v>118.64406779661017</v>
      </c>
      <c r="F19" s="43">
        <f t="shared" si="0"/>
        <v>0</v>
      </c>
      <c r="G19" s="72">
        <v>118.64406779661017</v>
      </c>
      <c r="H19" s="43">
        <f t="shared" si="1"/>
        <v>0</v>
      </c>
    </row>
    <row r="20" spans="1:8" x14ac:dyDescent="0.35">
      <c r="A20" s="2"/>
      <c r="B20" s="3" t="s">
        <v>63</v>
      </c>
      <c r="C20" s="4" t="s">
        <v>49</v>
      </c>
      <c r="D20" s="1">
        <f>13/1.18</f>
        <v>11.016949152542374</v>
      </c>
      <c r="E20" s="72">
        <v>11.016949152542374</v>
      </c>
      <c r="F20" s="43">
        <f t="shared" si="0"/>
        <v>0</v>
      </c>
      <c r="G20" s="72">
        <v>11.016949152542374</v>
      </c>
      <c r="H20" s="43">
        <f t="shared" si="1"/>
        <v>0</v>
      </c>
    </row>
    <row r="21" spans="1:8" x14ac:dyDescent="0.35">
      <c r="A21" s="2"/>
      <c r="B21" s="3" t="s">
        <v>416</v>
      </c>
      <c r="C21" s="4" t="s">
        <v>193</v>
      </c>
      <c r="D21" s="50">
        <f>45/1.18</f>
        <v>38.135593220338983</v>
      </c>
      <c r="E21" s="72">
        <v>38.135593220338983</v>
      </c>
      <c r="F21" s="43">
        <f t="shared" si="0"/>
        <v>0</v>
      </c>
      <c r="G21" s="72">
        <v>38.135593220338983</v>
      </c>
      <c r="H21" s="43">
        <f t="shared" si="1"/>
        <v>0</v>
      </c>
    </row>
    <row r="22" spans="1:8" x14ac:dyDescent="0.35">
      <c r="A22" s="2"/>
      <c r="B22" s="3" t="s">
        <v>70</v>
      </c>
      <c r="C22" s="4" t="s">
        <v>49</v>
      </c>
      <c r="D22" s="1">
        <f>16.5/1.18</f>
        <v>13.983050847457628</v>
      </c>
      <c r="E22" s="72">
        <v>13.983050847457628</v>
      </c>
      <c r="F22" s="43">
        <f t="shared" si="0"/>
        <v>0</v>
      </c>
      <c r="G22" s="72">
        <v>13.983050847457628</v>
      </c>
      <c r="H22" s="43">
        <f t="shared" si="1"/>
        <v>0</v>
      </c>
    </row>
    <row r="23" spans="1:8" x14ac:dyDescent="0.35">
      <c r="A23" s="2"/>
      <c r="B23" s="3" t="s">
        <v>80</v>
      </c>
      <c r="C23" s="4" t="s">
        <v>49</v>
      </c>
      <c r="D23" s="1">
        <f>1.25/1.18</f>
        <v>1.0593220338983051</v>
      </c>
      <c r="E23" s="72">
        <v>1.0593220338983051</v>
      </c>
      <c r="F23" s="43">
        <f t="shared" si="0"/>
        <v>0</v>
      </c>
      <c r="G23" s="72">
        <v>1.0593220338983051</v>
      </c>
      <c r="H23" s="43">
        <f t="shared" si="1"/>
        <v>0</v>
      </c>
    </row>
    <row r="24" spans="1:8" x14ac:dyDescent="0.35">
      <c r="A24" s="2"/>
      <c r="B24" s="3" t="s">
        <v>82</v>
      </c>
      <c r="C24" s="4" t="s">
        <v>10</v>
      </c>
      <c r="D24" s="1">
        <f>23/1.18</f>
        <v>19.491525423728813</v>
      </c>
      <c r="E24" s="72">
        <v>19.491525423728813</v>
      </c>
      <c r="F24" s="43">
        <f t="shared" si="0"/>
        <v>0</v>
      </c>
      <c r="G24" s="72">
        <v>19.491525423728813</v>
      </c>
      <c r="H24" s="43">
        <f t="shared" si="1"/>
        <v>0</v>
      </c>
    </row>
    <row r="25" spans="1:8" x14ac:dyDescent="0.35">
      <c r="A25" s="2"/>
      <c r="B25" s="3" t="s">
        <v>83</v>
      </c>
      <c r="C25" s="4" t="s">
        <v>10</v>
      </c>
      <c r="D25" s="1">
        <f>4/1.18</f>
        <v>3.3898305084745766</v>
      </c>
      <c r="E25" s="72">
        <v>3.3898305084745766</v>
      </c>
      <c r="F25" s="43">
        <f t="shared" si="0"/>
        <v>0</v>
      </c>
      <c r="G25" s="72">
        <v>3.3898305084745766</v>
      </c>
      <c r="H25" s="43">
        <f t="shared" si="1"/>
        <v>0</v>
      </c>
    </row>
    <row r="26" spans="1:8" x14ac:dyDescent="0.35">
      <c r="A26" s="2"/>
      <c r="B26" s="3" t="s">
        <v>384</v>
      </c>
      <c r="C26" s="4" t="s">
        <v>9</v>
      </c>
      <c r="D26" s="71">
        <f>850/1.18</f>
        <v>720.33898305084745</v>
      </c>
      <c r="E26" s="72">
        <v>652.54237288135596</v>
      </c>
      <c r="F26" s="43">
        <f t="shared" si="0"/>
        <v>67.796610169491487</v>
      </c>
      <c r="G26" s="72">
        <v>652.54237288135596</v>
      </c>
      <c r="H26" s="43">
        <f t="shared" si="1"/>
        <v>67.796610169491487</v>
      </c>
    </row>
    <row r="27" spans="1:8" x14ac:dyDescent="0.35">
      <c r="A27" s="2"/>
      <c r="B27" s="3" t="s">
        <v>259</v>
      </c>
      <c r="C27" s="4" t="s">
        <v>260</v>
      </c>
      <c r="D27" s="1">
        <f>3.8/1.18</f>
        <v>3.2203389830508473</v>
      </c>
      <c r="E27" s="72">
        <v>3.2203389830508473</v>
      </c>
      <c r="F27" s="43">
        <f t="shared" si="0"/>
        <v>0</v>
      </c>
      <c r="G27" s="72">
        <v>3.2203389830508473</v>
      </c>
      <c r="H27" s="43">
        <f t="shared" si="1"/>
        <v>0</v>
      </c>
    </row>
    <row r="28" spans="1:8" x14ac:dyDescent="0.35">
      <c r="A28" s="2"/>
      <c r="B28" s="3" t="s">
        <v>261</v>
      </c>
      <c r="C28" s="4" t="s">
        <v>40</v>
      </c>
      <c r="D28" s="1">
        <f>14.6/1.18</f>
        <v>12.372881355932204</v>
      </c>
      <c r="E28" s="72">
        <v>12.372881355932204</v>
      </c>
      <c r="F28" s="43">
        <f t="shared" si="0"/>
        <v>0</v>
      </c>
      <c r="G28" s="72">
        <v>12.372881355932204</v>
      </c>
      <c r="H28" s="43">
        <f t="shared" si="1"/>
        <v>0</v>
      </c>
    </row>
    <row r="29" spans="1:8" x14ac:dyDescent="0.35">
      <c r="A29" s="2"/>
      <c r="B29" s="3" t="s">
        <v>419</v>
      </c>
      <c r="C29" s="4" t="s">
        <v>420</v>
      </c>
      <c r="D29" s="1">
        <f>8/1.18</f>
        <v>6.7796610169491531</v>
      </c>
      <c r="E29" s="72">
        <v>6.7796610169491531</v>
      </c>
      <c r="F29" s="43">
        <f t="shared" si="0"/>
        <v>0</v>
      </c>
      <c r="G29" s="72">
        <v>6.7796610169491531</v>
      </c>
      <c r="H29" s="43">
        <f t="shared" si="1"/>
        <v>0</v>
      </c>
    </row>
    <row r="30" spans="1:8" x14ac:dyDescent="0.35">
      <c r="A30" s="2"/>
      <c r="B30" s="3" t="s">
        <v>262</v>
      </c>
      <c r="C30" s="4" t="s">
        <v>40</v>
      </c>
      <c r="D30" s="1">
        <f>21/1.18</f>
        <v>17.796610169491526</v>
      </c>
      <c r="E30" s="72">
        <v>17.796610169491526</v>
      </c>
      <c r="F30" s="43">
        <f t="shared" si="0"/>
        <v>0</v>
      </c>
      <c r="G30" s="72">
        <v>17.796610169491526</v>
      </c>
      <c r="H30" s="43">
        <f t="shared" si="1"/>
        <v>0</v>
      </c>
    </row>
    <row r="31" spans="1:8" x14ac:dyDescent="0.35">
      <c r="A31" s="2"/>
      <c r="B31" s="3" t="s">
        <v>91</v>
      </c>
      <c r="C31" s="4" t="s">
        <v>12</v>
      </c>
      <c r="D31" s="1">
        <f>358.72/1.18</f>
        <v>304.00000000000006</v>
      </c>
      <c r="E31" s="72">
        <v>303.98305084745766</v>
      </c>
      <c r="F31" s="43">
        <f t="shared" si="0"/>
        <v>1.6949152542395041E-2</v>
      </c>
      <c r="G31" s="72">
        <v>303.98305084745766</v>
      </c>
      <c r="H31" s="43">
        <f t="shared" si="1"/>
        <v>1.6949152542395041E-2</v>
      </c>
    </row>
    <row r="32" spans="1:8" x14ac:dyDescent="0.35">
      <c r="A32" s="2"/>
      <c r="B32" s="3" t="s">
        <v>95</v>
      </c>
      <c r="C32" s="4" t="s">
        <v>49</v>
      </c>
      <c r="D32" s="1">
        <f>14.9/1.18</f>
        <v>12.627118644067798</v>
      </c>
      <c r="E32" s="72">
        <v>12.627118644067798</v>
      </c>
      <c r="F32" s="43">
        <f t="shared" si="0"/>
        <v>0</v>
      </c>
      <c r="G32" s="72">
        <v>12.627118644067798</v>
      </c>
      <c r="H32" s="43">
        <f t="shared" si="1"/>
        <v>0</v>
      </c>
    </row>
    <row r="33" spans="1:8" x14ac:dyDescent="0.35">
      <c r="A33" s="2"/>
      <c r="B33" s="3" t="s">
        <v>96</v>
      </c>
      <c r="C33" s="4" t="s">
        <v>49</v>
      </c>
      <c r="D33" s="1">
        <f>11.1/1.18</f>
        <v>9.4067796610169498</v>
      </c>
      <c r="E33" s="72">
        <v>9.4067796610169498</v>
      </c>
      <c r="F33" s="43">
        <f t="shared" si="0"/>
        <v>0</v>
      </c>
      <c r="G33" s="72">
        <v>9.4067796610169498</v>
      </c>
      <c r="H33" s="43">
        <f t="shared" si="1"/>
        <v>0</v>
      </c>
    </row>
    <row r="34" spans="1:8" x14ac:dyDescent="0.35">
      <c r="A34" s="2"/>
      <c r="B34" s="3" t="s">
        <v>97</v>
      </c>
      <c r="C34" s="4" t="s">
        <v>49</v>
      </c>
      <c r="D34" s="1">
        <f>8.2/1.18</f>
        <v>6.9491525423728815</v>
      </c>
      <c r="E34" s="72">
        <v>6.9491525423728815</v>
      </c>
      <c r="F34" s="43">
        <f t="shared" si="0"/>
        <v>0</v>
      </c>
      <c r="G34" s="72">
        <v>6.9491525423728815</v>
      </c>
      <c r="H34" s="43">
        <f t="shared" si="1"/>
        <v>0</v>
      </c>
    </row>
    <row r="35" spans="1:8" x14ac:dyDescent="0.35">
      <c r="A35" s="2"/>
      <c r="B35" s="3" t="s">
        <v>98</v>
      </c>
      <c r="C35" s="4" t="s">
        <v>10</v>
      </c>
      <c r="D35" s="1">
        <f>2.9/1.18</f>
        <v>2.4576271186440679</v>
      </c>
      <c r="E35" s="72">
        <v>2.4576271186440679</v>
      </c>
      <c r="F35" s="43">
        <f t="shared" si="0"/>
        <v>0</v>
      </c>
      <c r="G35" s="72">
        <v>2.4576271186440679</v>
      </c>
      <c r="H35" s="43">
        <f t="shared" si="1"/>
        <v>0</v>
      </c>
    </row>
    <row r="36" spans="1:8" x14ac:dyDescent="0.35">
      <c r="A36" s="2"/>
      <c r="B36" s="3" t="s">
        <v>99</v>
      </c>
      <c r="C36" s="4" t="s">
        <v>49</v>
      </c>
      <c r="D36" s="1">
        <f>0.96/1.18</f>
        <v>0.81355932203389836</v>
      </c>
      <c r="E36" s="72">
        <v>0.81355932203389836</v>
      </c>
      <c r="F36" s="43">
        <f t="shared" si="0"/>
        <v>0</v>
      </c>
      <c r="G36" s="72">
        <v>0.81355932203389836</v>
      </c>
      <c r="H36" s="43">
        <f t="shared" si="1"/>
        <v>0</v>
      </c>
    </row>
    <row r="37" spans="1:8" x14ac:dyDescent="0.35">
      <c r="A37" s="2"/>
      <c r="B37" s="3" t="s">
        <v>100</v>
      </c>
      <c r="C37" s="4" t="s">
        <v>49</v>
      </c>
      <c r="D37" s="1">
        <f>0.035/1.18</f>
        <v>2.9661016949152547E-2</v>
      </c>
      <c r="E37" s="72">
        <v>2.9661016949152547E-2</v>
      </c>
      <c r="F37" s="43">
        <f t="shared" si="0"/>
        <v>0</v>
      </c>
      <c r="G37" s="72">
        <v>2.9661016949152547E-2</v>
      </c>
      <c r="H37" s="43">
        <f t="shared" si="1"/>
        <v>0</v>
      </c>
    </row>
    <row r="38" spans="1:8" x14ac:dyDescent="0.35">
      <c r="A38" s="2"/>
      <c r="B38" s="3" t="s">
        <v>101</v>
      </c>
      <c r="C38" s="4" t="s">
        <v>49</v>
      </c>
      <c r="D38" s="1">
        <f>0.045/1.18</f>
        <v>3.8135593220338986E-2</v>
      </c>
      <c r="E38" s="72">
        <v>3.8135593220338986E-2</v>
      </c>
      <c r="F38" s="43">
        <f t="shared" si="0"/>
        <v>0</v>
      </c>
      <c r="G38" s="72">
        <v>3.8135593220338986E-2</v>
      </c>
      <c r="H38" s="43">
        <f t="shared" si="1"/>
        <v>0</v>
      </c>
    </row>
    <row r="39" spans="1:8" x14ac:dyDescent="0.35">
      <c r="A39" s="2"/>
      <c r="B39" s="3" t="s">
        <v>263</v>
      </c>
      <c r="C39" s="4" t="s">
        <v>49</v>
      </c>
      <c r="D39" s="1">
        <f>0.095/1.18</f>
        <v>8.0508474576271194E-2</v>
      </c>
      <c r="E39" s="72">
        <v>8.0508474576271194E-2</v>
      </c>
      <c r="F39" s="43">
        <f t="shared" si="0"/>
        <v>0</v>
      </c>
      <c r="G39" s="72">
        <v>8.0508474576271194E-2</v>
      </c>
      <c r="H39" s="43">
        <f t="shared" si="1"/>
        <v>0</v>
      </c>
    </row>
    <row r="40" spans="1:8" x14ac:dyDescent="0.35">
      <c r="A40" s="2"/>
      <c r="B40" s="3" t="s">
        <v>321</v>
      </c>
      <c r="C40" s="4" t="s">
        <v>49</v>
      </c>
      <c r="D40" s="1">
        <f>0.038/1.18</f>
        <v>3.2203389830508473E-2</v>
      </c>
      <c r="E40" s="72">
        <v>3.2203389830508473E-2</v>
      </c>
      <c r="F40" s="43">
        <f t="shared" si="0"/>
        <v>0</v>
      </c>
      <c r="G40" s="72">
        <v>3.2203389830508473E-2</v>
      </c>
      <c r="H40" s="43">
        <f t="shared" si="1"/>
        <v>0</v>
      </c>
    </row>
    <row r="41" spans="1:8" x14ac:dyDescent="0.35">
      <c r="A41" s="2"/>
      <c r="B41" s="3" t="s">
        <v>264</v>
      </c>
      <c r="C41" s="4" t="s">
        <v>10</v>
      </c>
      <c r="D41" s="1">
        <f>2.5/1.18</f>
        <v>2.1186440677966103</v>
      </c>
      <c r="E41" s="72">
        <v>2.1186440677966103</v>
      </c>
      <c r="F41" s="43">
        <f t="shared" si="0"/>
        <v>0</v>
      </c>
      <c r="G41" s="72">
        <v>2.1186440677966103</v>
      </c>
      <c r="H41" s="43">
        <f t="shared" si="1"/>
        <v>0</v>
      </c>
    </row>
    <row r="42" spans="1:8" x14ac:dyDescent="0.35">
      <c r="A42" s="2"/>
      <c r="B42" s="3" t="s">
        <v>103</v>
      </c>
      <c r="C42" s="4" t="s">
        <v>49</v>
      </c>
      <c r="D42" s="1">
        <f>14.5/1.18</f>
        <v>12.288135593220339</v>
      </c>
      <c r="E42" s="72">
        <v>12.288135593220339</v>
      </c>
      <c r="F42" s="43">
        <f t="shared" si="0"/>
        <v>0</v>
      </c>
      <c r="G42" s="72">
        <v>12.288135593220339</v>
      </c>
      <c r="H42" s="43">
        <f t="shared" si="1"/>
        <v>0</v>
      </c>
    </row>
    <row r="43" spans="1:8" x14ac:dyDescent="0.35">
      <c r="A43" s="2"/>
      <c r="B43" s="3" t="s">
        <v>104</v>
      </c>
      <c r="C43" s="4" t="s">
        <v>49</v>
      </c>
      <c r="D43" s="1">
        <f>16.8/1.18</f>
        <v>14.237288135593221</v>
      </c>
      <c r="E43" s="72">
        <v>14.237288135593221</v>
      </c>
      <c r="F43" s="43">
        <f t="shared" si="0"/>
        <v>0</v>
      </c>
      <c r="G43" s="72">
        <v>14.237288135593221</v>
      </c>
      <c r="H43" s="43">
        <f t="shared" si="1"/>
        <v>0</v>
      </c>
    </row>
    <row r="44" spans="1:8" x14ac:dyDescent="0.35">
      <c r="A44" s="2"/>
      <c r="B44" s="3" t="s">
        <v>123</v>
      </c>
      <c r="C44" s="4" t="s">
        <v>40</v>
      </c>
      <c r="D44" s="1">
        <f>3.5/1.18</f>
        <v>2.9661016949152543</v>
      </c>
      <c r="E44" s="72">
        <v>2.9661016949152543</v>
      </c>
      <c r="F44" s="43">
        <f t="shared" si="0"/>
        <v>0</v>
      </c>
      <c r="G44" s="72">
        <v>2.9661016949152543</v>
      </c>
      <c r="H44" s="43">
        <f t="shared" si="1"/>
        <v>0</v>
      </c>
    </row>
    <row r="45" spans="1:8" x14ac:dyDescent="0.35">
      <c r="A45" s="2"/>
      <c r="B45" s="3" t="s">
        <v>265</v>
      </c>
      <c r="C45" s="4" t="s">
        <v>49</v>
      </c>
      <c r="D45" s="1">
        <f>35/1.18</f>
        <v>29.661016949152543</v>
      </c>
      <c r="E45" s="72">
        <v>29.661016949152543</v>
      </c>
      <c r="F45" s="43">
        <f t="shared" si="0"/>
        <v>0</v>
      </c>
      <c r="G45" s="72">
        <v>29.661016949152543</v>
      </c>
      <c r="H45" s="43">
        <f t="shared" si="1"/>
        <v>0</v>
      </c>
    </row>
    <row r="46" spans="1:8" x14ac:dyDescent="0.35">
      <c r="A46" s="2"/>
      <c r="B46" s="3" t="s">
        <v>266</v>
      </c>
      <c r="C46" s="4" t="s">
        <v>49</v>
      </c>
      <c r="D46" s="1">
        <f>85/1.18</f>
        <v>72.033898305084747</v>
      </c>
      <c r="E46" s="72">
        <v>72.033898305084747</v>
      </c>
      <c r="F46" s="43">
        <f t="shared" si="0"/>
        <v>0</v>
      </c>
      <c r="G46" s="72">
        <v>72.033898305084747</v>
      </c>
      <c r="H46" s="43">
        <f t="shared" si="1"/>
        <v>0</v>
      </c>
    </row>
    <row r="47" spans="1:8" x14ac:dyDescent="0.35">
      <c r="A47" s="2"/>
      <c r="B47" s="3" t="s">
        <v>267</v>
      </c>
      <c r="C47" s="4" t="s">
        <v>49</v>
      </c>
      <c r="D47" s="1">
        <f>35/1.18</f>
        <v>29.661016949152543</v>
      </c>
      <c r="E47" s="72">
        <v>29.661016949152543</v>
      </c>
      <c r="F47" s="43">
        <f t="shared" si="0"/>
        <v>0</v>
      </c>
      <c r="G47" s="72">
        <v>29.661016949152543</v>
      </c>
      <c r="H47" s="43">
        <f t="shared" si="1"/>
        <v>0</v>
      </c>
    </row>
    <row r="48" spans="1:8" x14ac:dyDescent="0.35">
      <c r="A48" s="2"/>
      <c r="B48" s="3" t="s">
        <v>268</v>
      </c>
      <c r="C48" s="4" t="s">
        <v>49</v>
      </c>
      <c r="D48" s="1">
        <f>6.5/1.18</f>
        <v>5.5084745762711869</v>
      </c>
      <c r="E48" s="72">
        <v>5.5084745762711869</v>
      </c>
      <c r="F48" s="43">
        <f t="shared" si="0"/>
        <v>0</v>
      </c>
      <c r="G48" s="72">
        <v>5.5084745762711869</v>
      </c>
      <c r="H48" s="43">
        <f t="shared" si="1"/>
        <v>0</v>
      </c>
    </row>
    <row r="49" spans="1:8" x14ac:dyDescent="0.35">
      <c r="A49" s="2"/>
      <c r="B49" s="3" t="s">
        <v>269</v>
      </c>
      <c r="C49" s="4" t="s">
        <v>49</v>
      </c>
      <c r="D49" s="1">
        <f>20/1.18</f>
        <v>16.949152542372882</v>
      </c>
      <c r="E49" s="72">
        <v>16.949152542372882</v>
      </c>
      <c r="F49" s="43">
        <f t="shared" si="0"/>
        <v>0</v>
      </c>
      <c r="G49" s="72">
        <v>16.949152542372882</v>
      </c>
      <c r="H49" s="43">
        <f t="shared" si="1"/>
        <v>0</v>
      </c>
    </row>
    <row r="50" spans="1:8" x14ac:dyDescent="0.35">
      <c r="A50" s="2"/>
      <c r="B50" s="3" t="s">
        <v>129</v>
      </c>
      <c r="C50" s="4" t="s">
        <v>40</v>
      </c>
      <c r="D50" s="71">
        <f>3.2/1.18</f>
        <v>2.7118644067796613</v>
      </c>
      <c r="E50" s="72">
        <v>2.5423728813559325</v>
      </c>
      <c r="F50" s="43">
        <f t="shared" si="0"/>
        <v>0.16949152542372881</v>
      </c>
      <c r="G50" s="72">
        <v>2.5423728813559325</v>
      </c>
      <c r="H50" s="43">
        <f t="shared" si="1"/>
        <v>0.16949152542372881</v>
      </c>
    </row>
    <row r="51" spans="1:8" x14ac:dyDescent="0.35">
      <c r="A51" s="2"/>
      <c r="B51" s="3" t="s">
        <v>130</v>
      </c>
      <c r="C51" s="4" t="s">
        <v>40</v>
      </c>
      <c r="D51" s="71">
        <f>1.95/1.18</f>
        <v>1.652542372881356</v>
      </c>
      <c r="E51" s="72">
        <v>1.6101694915254237</v>
      </c>
      <c r="F51" s="43">
        <f t="shared" si="0"/>
        <v>4.2372881355932313E-2</v>
      </c>
      <c r="G51" s="72">
        <v>1.6101694915254237</v>
      </c>
      <c r="H51" s="43">
        <f t="shared" si="1"/>
        <v>4.2372881355932313E-2</v>
      </c>
    </row>
    <row r="52" spans="1:8" x14ac:dyDescent="0.35">
      <c r="A52" s="2"/>
      <c r="B52" s="3" t="s">
        <v>131</v>
      </c>
      <c r="C52" s="4" t="s">
        <v>40</v>
      </c>
      <c r="D52" s="1">
        <f>1.3/1.18</f>
        <v>1.1016949152542375</v>
      </c>
      <c r="E52" s="72">
        <v>1.1016949152542375</v>
      </c>
      <c r="F52" s="43">
        <f t="shared" si="0"/>
        <v>0</v>
      </c>
      <c r="G52" s="72">
        <v>1.1016949152542375</v>
      </c>
      <c r="H52" s="43">
        <f t="shared" si="1"/>
        <v>0</v>
      </c>
    </row>
    <row r="53" spans="1:8" x14ac:dyDescent="0.35">
      <c r="A53" s="2"/>
      <c r="B53" s="3" t="s">
        <v>132</v>
      </c>
      <c r="C53" s="4" t="s">
        <v>40</v>
      </c>
      <c r="D53" s="1">
        <f>1.3/1.18</f>
        <v>1.1016949152542375</v>
      </c>
      <c r="E53" s="72">
        <v>1.1016949152542375</v>
      </c>
      <c r="F53" s="43">
        <f t="shared" si="0"/>
        <v>0</v>
      </c>
      <c r="G53" s="72">
        <v>1.1016949152542375</v>
      </c>
      <c r="H53" s="43">
        <f t="shared" si="1"/>
        <v>0</v>
      </c>
    </row>
    <row r="54" spans="1:8" x14ac:dyDescent="0.35">
      <c r="A54" s="2"/>
      <c r="B54" s="3" t="s">
        <v>270</v>
      </c>
      <c r="C54" s="4" t="s">
        <v>55</v>
      </c>
      <c r="D54" s="1">
        <f>10/1.18</f>
        <v>8.4745762711864412</v>
      </c>
      <c r="E54" s="72">
        <v>8.4745762711864412</v>
      </c>
      <c r="F54" s="43">
        <f t="shared" si="0"/>
        <v>0</v>
      </c>
      <c r="G54" s="72">
        <v>8.4745762711864412</v>
      </c>
      <c r="H54" s="43">
        <f t="shared" si="1"/>
        <v>0</v>
      </c>
    </row>
    <row r="55" spans="1:8" x14ac:dyDescent="0.35">
      <c r="A55" s="2"/>
      <c r="B55" s="3" t="s">
        <v>271</v>
      </c>
      <c r="C55" s="4" t="s">
        <v>55</v>
      </c>
      <c r="D55" s="1">
        <f>55/1.18</f>
        <v>46.610169491525426</v>
      </c>
      <c r="E55" s="72">
        <v>46.610169491525426</v>
      </c>
      <c r="F55" s="43">
        <f t="shared" si="0"/>
        <v>0</v>
      </c>
      <c r="G55" s="72">
        <v>46.610169491525426</v>
      </c>
      <c r="H55" s="43">
        <f t="shared" si="1"/>
        <v>0</v>
      </c>
    </row>
    <row r="56" spans="1:8" x14ac:dyDescent="0.35">
      <c r="A56" s="2"/>
      <c r="B56" s="3" t="s">
        <v>140</v>
      </c>
      <c r="C56" s="4" t="s">
        <v>40</v>
      </c>
      <c r="D56" s="71">
        <f>2.25/1.18</f>
        <v>1.9067796610169492</v>
      </c>
      <c r="E56" s="72">
        <v>1.7796610169491527</v>
      </c>
      <c r="F56" s="43">
        <f t="shared" si="0"/>
        <v>0.12711864406779649</v>
      </c>
      <c r="G56" s="72">
        <v>1.7796610169491527</v>
      </c>
      <c r="H56" s="43">
        <f t="shared" si="1"/>
        <v>0.12711864406779649</v>
      </c>
    </row>
    <row r="57" spans="1:8" x14ac:dyDescent="0.35">
      <c r="A57" s="2"/>
      <c r="B57" s="3" t="s">
        <v>139</v>
      </c>
      <c r="C57" s="4" t="s">
        <v>40</v>
      </c>
      <c r="D57" s="71">
        <f>10.9/1.18</f>
        <v>9.2372881355932215</v>
      </c>
      <c r="E57" s="72">
        <v>8.0508474576271194</v>
      </c>
      <c r="F57" s="43">
        <f t="shared" si="0"/>
        <v>1.1864406779661021</v>
      </c>
      <c r="G57" s="72">
        <v>8.0508474576271194</v>
      </c>
      <c r="H57" s="43">
        <f t="shared" si="1"/>
        <v>1.1864406779661021</v>
      </c>
    </row>
    <row r="58" spans="1:8" x14ac:dyDescent="0.35">
      <c r="A58" s="2"/>
      <c r="B58" s="3" t="s">
        <v>352</v>
      </c>
      <c r="C58" s="4" t="s">
        <v>40</v>
      </c>
      <c r="D58" s="1">
        <f>5.8/1.18</f>
        <v>4.9152542372881358</v>
      </c>
      <c r="E58" s="72">
        <v>4.9152542372881358</v>
      </c>
      <c r="F58" s="43">
        <f t="shared" si="0"/>
        <v>0</v>
      </c>
      <c r="G58" s="72">
        <v>4.9152542372881358</v>
      </c>
      <c r="H58" s="43">
        <f t="shared" si="1"/>
        <v>0</v>
      </c>
    </row>
    <row r="59" spans="1:8" x14ac:dyDescent="0.35">
      <c r="A59" s="2"/>
      <c r="B59" s="3" t="s">
        <v>353</v>
      </c>
      <c r="C59" s="4" t="s">
        <v>40</v>
      </c>
      <c r="D59" s="1">
        <f>7.5/1.18</f>
        <v>6.3559322033898304</v>
      </c>
      <c r="E59" s="72">
        <v>6.3559322033898304</v>
      </c>
      <c r="F59" s="43">
        <f t="shared" si="0"/>
        <v>0</v>
      </c>
      <c r="G59" s="72">
        <v>6.3559322033898304</v>
      </c>
      <c r="H59" s="43">
        <f t="shared" si="1"/>
        <v>0</v>
      </c>
    </row>
    <row r="60" spans="1:8" x14ac:dyDescent="0.35">
      <c r="A60" s="2"/>
      <c r="B60" s="3" t="s">
        <v>354</v>
      </c>
      <c r="C60" s="4" t="s">
        <v>40</v>
      </c>
      <c r="D60" s="1">
        <f>2/1.18</f>
        <v>1.6949152542372883</v>
      </c>
      <c r="E60" s="72">
        <v>1.6949152542372883</v>
      </c>
      <c r="F60" s="43">
        <f t="shared" si="0"/>
        <v>0</v>
      </c>
      <c r="G60" s="72">
        <v>1.6949152542372883</v>
      </c>
      <c r="H60" s="43">
        <f t="shared" si="1"/>
        <v>0</v>
      </c>
    </row>
    <row r="61" spans="1:8" x14ac:dyDescent="0.35">
      <c r="A61" s="2"/>
      <c r="B61" s="3" t="s">
        <v>272</v>
      </c>
      <c r="C61" s="4" t="s">
        <v>40</v>
      </c>
      <c r="D61" s="1">
        <f>5/1.18</f>
        <v>4.2372881355932206</v>
      </c>
      <c r="E61" s="72">
        <v>4.2372881355932206</v>
      </c>
      <c r="F61" s="43">
        <f t="shared" si="0"/>
        <v>0</v>
      </c>
      <c r="G61" s="72">
        <v>4.2372881355932206</v>
      </c>
      <c r="H61" s="43">
        <f t="shared" si="1"/>
        <v>0</v>
      </c>
    </row>
    <row r="62" spans="1:8" x14ac:dyDescent="0.35">
      <c r="A62" s="2"/>
      <c r="B62" s="3" t="s">
        <v>142</v>
      </c>
      <c r="C62" s="4" t="s">
        <v>40</v>
      </c>
      <c r="D62" s="1">
        <f>2.1/1.18</f>
        <v>1.7796610169491527</v>
      </c>
      <c r="E62" s="72">
        <v>1.7796610169491527</v>
      </c>
      <c r="F62" s="43">
        <f t="shared" si="0"/>
        <v>0</v>
      </c>
      <c r="G62" s="72">
        <v>1.7796610169491527</v>
      </c>
      <c r="H62" s="43">
        <f t="shared" si="1"/>
        <v>0</v>
      </c>
    </row>
    <row r="63" spans="1:8" x14ac:dyDescent="0.35">
      <c r="A63" s="2"/>
      <c r="B63" s="3" t="s">
        <v>273</v>
      </c>
      <c r="C63" s="4" t="s">
        <v>40</v>
      </c>
      <c r="D63" s="1">
        <f>2.7/1.18</f>
        <v>2.2881355932203391</v>
      </c>
      <c r="E63" s="72">
        <v>2.2881355932203391</v>
      </c>
      <c r="F63" s="43">
        <f t="shared" si="0"/>
        <v>0</v>
      </c>
      <c r="G63" s="72">
        <v>2.2881355932203391</v>
      </c>
      <c r="H63" s="43">
        <f t="shared" si="1"/>
        <v>0</v>
      </c>
    </row>
    <row r="64" spans="1:8" x14ac:dyDescent="0.35">
      <c r="A64" s="2"/>
      <c r="B64" s="3" t="s">
        <v>356</v>
      </c>
      <c r="C64" s="4" t="s">
        <v>40</v>
      </c>
      <c r="D64" s="1">
        <f>5.2/1.18</f>
        <v>4.4067796610169498</v>
      </c>
      <c r="E64" s="72">
        <v>4.4067796610169498</v>
      </c>
      <c r="F64" s="43">
        <f t="shared" si="0"/>
        <v>0</v>
      </c>
      <c r="G64" s="72">
        <v>4.4067796610169498</v>
      </c>
      <c r="H64" s="43">
        <f t="shared" si="1"/>
        <v>0</v>
      </c>
    </row>
    <row r="65" spans="1:8" x14ac:dyDescent="0.35">
      <c r="A65" s="2"/>
      <c r="B65" s="3" t="s">
        <v>274</v>
      </c>
      <c r="C65" s="4" t="s">
        <v>55</v>
      </c>
      <c r="D65" s="1">
        <f>0.7/1.18</f>
        <v>0.59322033898305082</v>
      </c>
      <c r="E65" s="72">
        <v>0.59322033898305082</v>
      </c>
      <c r="F65" s="43">
        <f t="shared" si="0"/>
        <v>0</v>
      </c>
      <c r="G65" s="72">
        <v>0.59322033898305082</v>
      </c>
      <c r="H65" s="43">
        <f t="shared" si="1"/>
        <v>0</v>
      </c>
    </row>
    <row r="66" spans="1:8" x14ac:dyDescent="0.35">
      <c r="A66" s="2"/>
      <c r="B66" s="3" t="s">
        <v>275</v>
      </c>
      <c r="C66" s="4" t="s">
        <v>55</v>
      </c>
      <c r="D66" s="1">
        <f>0.8/1.18</f>
        <v>0.67796610169491534</v>
      </c>
      <c r="E66" s="72">
        <v>0.67796610169491534</v>
      </c>
      <c r="F66" s="43">
        <f t="shared" si="0"/>
        <v>0</v>
      </c>
      <c r="G66" s="72">
        <v>0.67796610169491534</v>
      </c>
      <c r="H66" s="43">
        <f t="shared" si="1"/>
        <v>0</v>
      </c>
    </row>
    <row r="67" spans="1:8" x14ac:dyDescent="0.35">
      <c r="A67" s="2"/>
      <c r="B67" s="3" t="s">
        <v>276</v>
      </c>
      <c r="C67" s="4" t="s">
        <v>55</v>
      </c>
      <c r="D67" s="1">
        <f>1.7/1.18</f>
        <v>1.4406779661016949</v>
      </c>
      <c r="E67" s="72">
        <v>1.4406779661016949</v>
      </c>
      <c r="F67" s="43">
        <f t="shared" si="0"/>
        <v>0</v>
      </c>
      <c r="G67" s="72">
        <v>1.4406779661016949</v>
      </c>
      <c r="H67" s="43">
        <f t="shared" si="1"/>
        <v>0</v>
      </c>
    </row>
    <row r="68" spans="1:8" x14ac:dyDescent="0.35">
      <c r="A68" s="2"/>
      <c r="B68" s="3" t="s">
        <v>185</v>
      </c>
      <c r="C68" s="4" t="s">
        <v>40</v>
      </c>
      <c r="D68" s="1">
        <f>14.8/1.18</f>
        <v>12.542372881355934</v>
      </c>
      <c r="E68" s="72">
        <v>12.542372881355934</v>
      </c>
      <c r="F68" s="43">
        <f t="shared" ref="F68:F114" si="2">D68-E68</f>
        <v>0</v>
      </c>
      <c r="G68" s="72">
        <v>12.542372881355934</v>
      </c>
      <c r="H68" s="43">
        <f t="shared" ref="H68:H114" si="3">D68-G68</f>
        <v>0</v>
      </c>
    </row>
    <row r="69" spans="1:8" x14ac:dyDescent="0.35">
      <c r="A69" s="2"/>
      <c r="B69" s="3" t="s">
        <v>403</v>
      </c>
      <c r="C69" s="4" t="s">
        <v>192</v>
      </c>
      <c r="D69" s="1">
        <f>0.5/1.18</f>
        <v>0.42372881355932207</v>
      </c>
      <c r="E69" s="72">
        <v>0.42372881355932207</v>
      </c>
      <c r="F69" s="43">
        <f t="shared" si="2"/>
        <v>0</v>
      </c>
      <c r="G69" s="72">
        <v>0.38135593220338987</v>
      </c>
      <c r="H69" s="43">
        <f t="shared" si="3"/>
        <v>4.2372881355932202E-2</v>
      </c>
    </row>
    <row r="70" spans="1:8" x14ac:dyDescent="0.35">
      <c r="A70" s="2"/>
      <c r="B70" s="3" t="s">
        <v>372</v>
      </c>
      <c r="C70" s="4" t="s">
        <v>193</v>
      </c>
      <c r="D70" s="1">
        <f>1.5/1.18</f>
        <v>1.2711864406779663</v>
      </c>
      <c r="E70" s="72">
        <v>1.2711864406779663</v>
      </c>
      <c r="F70" s="43">
        <f t="shared" si="2"/>
        <v>0</v>
      </c>
      <c r="G70" s="72">
        <v>1.2711864406779663</v>
      </c>
      <c r="H70" s="43">
        <f t="shared" si="3"/>
        <v>0</v>
      </c>
    </row>
    <row r="71" spans="1:8" x14ac:dyDescent="0.35">
      <c r="A71" s="2"/>
      <c r="B71" s="3" t="s">
        <v>373</v>
      </c>
      <c r="C71" s="4" t="s">
        <v>192</v>
      </c>
      <c r="D71" s="1">
        <f>23.5/1.18</f>
        <v>19.915254237288135</v>
      </c>
      <c r="E71" s="72">
        <v>19.915254237288135</v>
      </c>
      <c r="F71" s="43">
        <f t="shared" si="2"/>
        <v>0</v>
      </c>
      <c r="G71" s="72">
        <v>19.915254237288135</v>
      </c>
      <c r="H71" s="43">
        <f t="shared" si="3"/>
        <v>0</v>
      </c>
    </row>
    <row r="72" spans="1:8" x14ac:dyDescent="0.35">
      <c r="A72" s="2"/>
      <c r="B72" s="3" t="s">
        <v>375</v>
      </c>
      <c r="C72" s="4" t="s">
        <v>192</v>
      </c>
      <c r="D72" s="71">
        <f>22.92/1.18</f>
        <v>19.423728813559325</v>
      </c>
      <c r="E72" s="72">
        <v>14.40677966101695</v>
      </c>
      <c r="F72" s="43">
        <f t="shared" si="2"/>
        <v>5.0169491525423755</v>
      </c>
      <c r="G72" s="72">
        <v>14.40677966101695</v>
      </c>
      <c r="H72" s="43">
        <f t="shared" si="3"/>
        <v>5.0169491525423755</v>
      </c>
    </row>
    <row r="73" spans="1:8" x14ac:dyDescent="0.35">
      <c r="A73" s="2"/>
      <c r="B73" s="3" t="s">
        <v>376</v>
      </c>
      <c r="C73" s="4" t="s">
        <v>192</v>
      </c>
      <c r="D73" s="1">
        <f>9/1.18</f>
        <v>7.6271186440677967</v>
      </c>
      <c r="E73" s="72">
        <v>7.6271186440677967</v>
      </c>
      <c r="F73" s="43">
        <f t="shared" si="2"/>
        <v>0</v>
      </c>
      <c r="G73" s="72">
        <v>7.6271186440677967</v>
      </c>
      <c r="H73" s="43">
        <f t="shared" si="3"/>
        <v>0</v>
      </c>
    </row>
    <row r="74" spans="1:8" x14ac:dyDescent="0.35">
      <c r="A74" s="2"/>
      <c r="B74" s="3" t="s">
        <v>277</v>
      </c>
      <c r="C74" s="4" t="s">
        <v>192</v>
      </c>
      <c r="D74" s="1">
        <f>420/1.18</f>
        <v>355.93220338983053</v>
      </c>
      <c r="E74" s="72">
        <v>355.93220338983053</v>
      </c>
      <c r="F74" s="43">
        <f t="shared" si="2"/>
        <v>0</v>
      </c>
      <c r="G74" s="72">
        <v>355.93220338983053</v>
      </c>
      <c r="H74" s="43">
        <f t="shared" si="3"/>
        <v>0</v>
      </c>
    </row>
    <row r="75" spans="1:8" x14ac:dyDescent="0.35">
      <c r="A75" s="47"/>
      <c r="B75" s="3" t="s">
        <v>401</v>
      </c>
      <c r="C75" s="4" t="s">
        <v>192</v>
      </c>
      <c r="D75" s="1">
        <f>18.5/1.18</f>
        <v>15.677966101694915</v>
      </c>
      <c r="E75" s="72">
        <v>15.677966101694915</v>
      </c>
      <c r="F75" s="43">
        <f t="shared" si="2"/>
        <v>0</v>
      </c>
      <c r="G75" s="72">
        <v>15.677966101694915</v>
      </c>
      <c r="H75" s="43">
        <f t="shared" si="3"/>
        <v>0</v>
      </c>
    </row>
    <row r="76" spans="1:8" x14ac:dyDescent="0.35">
      <c r="A76" s="47"/>
      <c r="B76" s="3" t="s">
        <v>402</v>
      </c>
      <c r="C76" s="4" t="s">
        <v>192</v>
      </c>
      <c r="D76" s="1">
        <f>23.5/1.18</f>
        <v>19.915254237288135</v>
      </c>
      <c r="E76" s="72">
        <v>19.915254237288135</v>
      </c>
      <c r="F76" s="43">
        <f t="shared" si="2"/>
        <v>0</v>
      </c>
      <c r="G76" s="72">
        <v>19.915254237288135</v>
      </c>
      <c r="H76" s="43">
        <f t="shared" si="3"/>
        <v>0</v>
      </c>
    </row>
    <row r="77" spans="1:8" x14ac:dyDescent="0.35">
      <c r="A77" s="47"/>
      <c r="B77" s="3" t="s">
        <v>374</v>
      </c>
      <c r="C77" s="4" t="s">
        <v>246</v>
      </c>
      <c r="D77" s="48">
        <f>11.2/1.18</f>
        <v>9.4915254237288131</v>
      </c>
      <c r="E77" s="72">
        <v>9.4915254237288131</v>
      </c>
      <c r="F77" s="43">
        <f t="shared" si="2"/>
        <v>0</v>
      </c>
      <c r="G77" s="72">
        <v>9.4915254237288131</v>
      </c>
      <c r="H77" s="43">
        <f t="shared" si="3"/>
        <v>0</v>
      </c>
    </row>
    <row r="78" spans="1:8" x14ac:dyDescent="0.35">
      <c r="A78" s="47"/>
      <c r="B78" s="3" t="s">
        <v>400</v>
      </c>
      <c r="C78" s="4" t="s">
        <v>246</v>
      </c>
      <c r="D78" s="48">
        <f>40/1.18</f>
        <v>33.898305084745765</v>
      </c>
      <c r="E78" s="72">
        <v>33.898305084745765</v>
      </c>
      <c r="F78" s="43">
        <f t="shared" si="2"/>
        <v>0</v>
      </c>
      <c r="G78" s="72">
        <v>33.898305084745765</v>
      </c>
      <c r="H78" s="43">
        <f t="shared" si="3"/>
        <v>0</v>
      </c>
    </row>
    <row r="79" spans="1:8" x14ac:dyDescent="0.35">
      <c r="A79" s="47"/>
      <c r="B79" s="3" t="s">
        <v>399</v>
      </c>
      <c r="C79" s="4" t="s">
        <v>246</v>
      </c>
      <c r="D79" s="48">
        <f>24.9/1.18</f>
        <v>21.101694915254239</v>
      </c>
      <c r="E79" s="72">
        <v>21.101694915254239</v>
      </c>
      <c r="F79" s="43">
        <f t="shared" si="2"/>
        <v>0</v>
      </c>
      <c r="G79" s="72">
        <v>21.101694915254239</v>
      </c>
      <c r="H79" s="43">
        <f t="shared" si="3"/>
        <v>0</v>
      </c>
    </row>
    <row r="80" spans="1:8" x14ac:dyDescent="0.35">
      <c r="A80" s="47"/>
      <c r="B80" s="3" t="s">
        <v>398</v>
      </c>
      <c r="C80" s="47" t="s">
        <v>193</v>
      </c>
      <c r="D80" s="1">
        <f>2.9/1.18</f>
        <v>2.4576271186440679</v>
      </c>
      <c r="E80" s="72">
        <v>2.4576271186440679</v>
      </c>
      <c r="F80" s="43">
        <f t="shared" si="2"/>
        <v>0</v>
      </c>
      <c r="G80" s="72">
        <v>2.4576271186440679</v>
      </c>
      <c r="H80" s="43">
        <f t="shared" si="3"/>
        <v>0</v>
      </c>
    </row>
    <row r="81" spans="1:8" x14ac:dyDescent="0.35">
      <c r="A81" s="47"/>
      <c r="B81" s="3" t="s">
        <v>383</v>
      </c>
      <c r="C81" s="47" t="s">
        <v>193</v>
      </c>
      <c r="D81" s="1">
        <f>3.25/1.18</f>
        <v>2.7542372881355934</v>
      </c>
      <c r="E81" s="72">
        <v>2.7542372881355934</v>
      </c>
      <c r="F81" s="43">
        <f t="shared" si="2"/>
        <v>0</v>
      </c>
      <c r="G81" s="72">
        <v>2.7542372881355934</v>
      </c>
      <c r="H81" s="43">
        <f t="shared" si="3"/>
        <v>0</v>
      </c>
    </row>
    <row r="82" spans="1:8" x14ac:dyDescent="0.35">
      <c r="A82" s="47"/>
      <c r="B82" s="3" t="s">
        <v>397</v>
      </c>
      <c r="C82" s="47" t="s">
        <v>193</v>
      </c>
      <c r="D82" s="1">
        <f>43/1.18</f>
        <v>36.440677966101696</v>
      </c>
      <c r="E82" s="72">
        <v>36.440677966101696</v>
      </c>
      <c r="F82" s="43">
        <f t="shared" si="2"/>
        <v>0</v>
      </c>
      <c r="G82" s="72">
        <v>36.440677966101696</v>
      </c>
      <c r="H82" s="43">
        <f t="shared" si="3"/>
        <v>0</v>
      </c>
    </row>
    <row r="83" spans="1:8" x14ac:dyDescent="0.35">
      <c r="A83" s="47"/>
      <c r="B83" s="3" t="s">
        <v>320</v>
      </c>
      <c r="C83" s="47" t="s">
        <v>244</v>
      </c>
      <c r="D83" s="1">
        <f>65/1.18</f>
        <v>55.084745762711869</v>
      </c>
      <c r="E83" s="72">
        <v>55.084745762711869</v>
      </c>
      <c r="F83" s="43">
        <f t="shared" si="2"/>
        <v>0</v>
      </c>
      <c r="G83" s="72">
        <v>55.084745762711869</v>
      </c>
      <c r="H83" s="43">
        <f t="shared" si="3"/>
        <v>0</v>
      </c>
    </row>
    <row r="84" spans="1:8" x14ac:dyDescent="0.35">
      <c r="A84" s="47"/>
      <c r="B84" s="3" t="s">
        <v>395</v>
      </c>
      <c r="C84" s="47" t="s">
        <v>193</v>
      </c>
      <c r="D84" s="1">
        <f>9.2/1.18</f>
        <v>7.7966101694915251</v>
      </c>
      <c r="E84" s="72">
        <v>7.7966101694915251</v>
      </c>
      <c r="F84" s="43">
        <f t="shared" si="2"/>
        <v>0</v>
      </c>
      <c r="G84" s="72">
        <v>7.7966101694915251</v>
      </c>
      <c r="H84" s="43">
        <f t="shared" si="3"/>
        <v>0</v>
      </c>
    </row>
    <row r="85" spans="1:8" x14ac:dyDescent="0.35">
      <c r="A85" s="47"/>
      <c r="B85" s="3" t="s">
        <v>396</v>
      </c>
      <c r="C85" s="47" t="s">
        <v>193</v>
      </c>
      <c r="D85" s="1">
        <f>17.2/1.18</f>
        <v>14.576271186440678</v>
      </c>
      <c r="E85" s="72">
        <v>14.576271186440678</v>
      </c>
      <c r="F85" s="43">
        <f t="shared" si="2"/>
        <v>0</v>
      </c>
      <c r="G85" s="72">
        <v>14.576271186440678</v>
      </c>
      <c r="H85" s="43">
        <f t="shared" si="3"/>
        <v>0</v>
      </c>
    </row>
    <row r="86" spans="1:8" x14ac:dyDescent="0.35">
      <c r="A86" s="47"/>
      <c r="B86" s="3" t="s">
        <v>385</v>
      </c>
      <c r="C86" s="47" t="s">
        <v>192</v>
      </c>
      <c r="D86" s="1">
        <f>45/1.18</f>
        <v>38.135593220338983</v>
      </c>
      <c r="E86" s="72">
        <v>38.135593220338983</v>
      </c>
      <c r="F86" s="43">
        <f t="shared" si="2"/>
        <v>0</v>
      </c>
      <c r="G86" s="72">
        <v>38.135593220338983</v>
      </c>
      <c r="H86" s="43">
        <f t="shared" si="3"/>
        <v>0</v>
      </c>
    </row>
    <row r="87" spans="1:8" x14ac:dyDescent="0.35">
      <c r="A87" s="47"/>
      <c r="B87" s="3" t="s">
        <v>340</v>
      </c>
      <c r="C87" s="47" t="s">
        <v>192</v>
      </c>
      <c r="D87" s="1">
        <f>130/1.18</f>
        <v>110.16949152542374</v>
      </c>
      <c r="E87" s="72">
        <v>110.16949152542374</v>
      </c>
      <c r="F87" s="43">
        <f t="shared" si="2"/>
        <v>0</v>
      </c>
      <c r="G87" s="72">
        <v>110.16949152542374</v>
      </c>
      <c r="H87" s="43">
        <f t="shared" si="3"/>
        <v>0</v>
      </c>
    </row>
    <row r="88" spans="1:8" x14ac:dyDescent="0.35">
      <c r="A88" s="47"/>
      <c r="B88" s="3" t="s">
        <v>341</v>
      </c>
      <c r="C88" s="47" t="s">
        <v>192</v>
      </c>
      <c r="D88" s="1">
        <f>50/1.18</f>
        <v>42.372881355932208</v>
      </c>
      <c r="E88" s="72">
        <v>42.372881355932208</v>
      </c>
      <c r="F88" s="43">
        <f t="shared" si="2"/>
        <v>0</v>
      </c>
      <c r="G88" s="72">
        <v>42.372881355932208</v>
      </c>
      <c r="H88" s="43">
        <f t="shared" si="3"/>
        <v>0</v>
      </c>
    </row>
    <row r="89" spans="1:8" x14ac:dyDescent="0.35">
      <c r="A89" s="47"/>
      <c r="B89" s="3" t="s">
        <v>342</v>
      </c>
      <c r="C89" s="47" t="s">
        <v>192</v>
      </c>
      <c r="D89" s="1">
        <f>30/1.18</f>
        <v>25.423728813559322</v>
      </c>
      <c r="E89" s="72">
        <v>25.423728813559322</v>
      </c>
      <c r="F89" s="43">
        <f t="shared" si="2"/>
        <v>0</v>
      </c>
      <c r="G89" s="72">
        <v>25.423728813559322</v>
      </c>
      <c r="H89" s="43">
        <f t="shared" si="3"/>
        <v>0</v>
      </c>
    </row>
    <row r="90" spans="1:8" x14ac:dyDescent="0.35">
      <c r="A90" s="47"/>
      <c r="B90" s="3" t="s">
        <v>344</v>
      </c>
      <c r="C90" s="47" t="s">
        <v>190</v>
      </c>
      <c r="D90" s="1">
        <f>60/1.18</f>
        <v>50.847457627118644</v>
      </c>
      <c r="E90" s="72">
        <v>50.847457627118644</v>
      </c>
      <c r="F90" s="43">
        <f t="shared" si="2"/>
        <v>0</v>
      </c>
      <c r="G90" s="72">
        <v>50.847457627118644</v>
      </c>
      <c r="H90" s="43">
        <f t="shared" si="3"/>
        <v>0</v>
      </c>
    </row>
    <row r="91" spans="1:8" x14ac:dyDescent="0.35">
      <c r="A91" s="47"/>
      <c r="B91" s="3" t="s">
        <v>406</v>
      </c>
      <c r="C91" s="47" t="s">
        <v>193</v>
      </c>
      <c r="D91" s="1">
        <f>2/1.18</f>
        <v>1.6949152542372883</v>
      </c>
      <c r="E91" s="72">
        <v>1.6949152542372883</v>
      </c>
      <c r="F91" s="43">
        <f t="shared" si="2"/>
        <v>0</v>
      </c>
      <c r="G91" s="72">
        <v>1.6949152542372883</v>
      </c>
      <c r="H91" s="43">
        <f t="shared" si="3"/>
        <v>0</v>
      </c>
    </row>
    <row r="92" spans="1:8" x14ac:dyDescent="0.35">
      <c r="A92" s="47"/>
      <c r="B92" s="3" t="s">
        <v>407</v>
      </c>
      <c r="C92" s="47" t="s">
        <v>192</v>
      </c>
      <c r="D92" s="1">
        <f>97/1.18</f>
        <v>82.203389830508485</v>
      </c>
      <c r="E92" s="72">
        <v>82.203389830508485</v>
      </c>
      <c r="F92" s="43">
        <f t="shared" si="2"/>
        <v>0</v>
      </c>
      <c r="G92" s="72">
        <v>82.203389830508485</v>
      </c>
      <c r="H92" s="43">
        <f t="shared" si="3"/>
        <v>0</v>
      </c>
    </row>
    <row r="93" spans="1:8" x14ac:dyDescent="0.35">
      <c r="A93" s="47"/>
      <c r="B93" s="3" t="s">
        <v>366</v>
      </c>
      <c r="C93" s="47" t="s">
        <v>193</v>
      </c>
      <c r="D93" s="1">
        <f>15/1.18</f>
        <v>12.711864406779661</v>
      </c>
      <c r="E93" s="72">
        <v>12.711864406779661</v>
      </c>
      <c r="F93" s="43">
        <f t="shared" si="2"/>
        <v>0</v>
      </c>
      <c r="G93" s="72">
        <v>12.711864406779661</v>
      </c>
      <c r="H93" s="43">
        <f t="shared" si="3"/>
        <v>0</v>
      </c>
    </row>
    <row r="94" spans="1:8" x14ac:dyDescent="0.35">
      <c r="A94" s="47"/>
      <c r="B94" s="3" t="s">
        <v>408</v>
      </c>
      <c r="C94" s="47" t="s">
        <v>192</v>
      </c>
      <c r="D94" s="1">
        <f>12/1.18</f>
        <v>10.16949152542373</v>
      </c>
      <c r="E94" s="72">
        <v>10.16949152542373</v>
      </c>
      <c r="F94" s="43">
        <f t="shared" si="2"/>
        <v>0</v>
      </c>
      <c r="G94" s="72">
        <v>10.16949152542373</v>
      </c>
      <c r="H94" s="43">
        <f t="shared" si="3"/>
        <v>0</v>
      </c>
    </row>
    <row r="95" spans="1:8" x14ac:dyDescent="0.35">
      <c r="A95" s="47"/>
      <c r="B95" s="3" t="s">
        <v>367</v>
      </c>
      <c r="C95" s="47" t="s">
        <v>192</v>
      </c>
      <c r="D95" s="1">
        <f>1/1.18</f>
        <v>0.84745762711864414</v>
      </c>
      <c r="E95" s="72">
        <v>0.84745762711864414</v>
      </c>
      <c r="F95" s="43">
        <f t="shared" si="2"/>
        <v>0</v>
      </c>
      <c r="G95" s="72">
        <v>0.84745762711864414</v>
      </c>
      <c r="H95" s="43">
        <f t="shared" si="3"/>
        <v>0</v>
      </c>
    </row>
    <row r="96" spans="1:8" x14ac:dyDescent="0.35">
      <c r="A96" s="47"/>
      <c r="B96" s="3" t="s">
        <v>369</v>
      </c>
      <c r="C96" s="47" t="s">
        <v>192</v>
      </c>
      <c r="D96" s="1">
        <f>1/1.18</f>
        <v>0.84745762711864414</v>
      </c>
      <c r="E96" s="72">
        <v>0.84745762711864414</v>
      </c>
      <c r="F96" s="43">
        <f t="shared" si="2"/>
        <v>0</v>
      </c>
      <c r="G96" s="72">
        <v>0.84745762711864414</v>
      </c>
      <c r="H96" s="43">
        <f t="shared" si="3"/>
        <v>0</v>
      </c>
    </row>
    <row r="97" spans="1:8" x14ac:dyDescent="0.35">
      <c r="A97" s="47"/>
      <c r="B97" s="3" t="s">
        <v>370</v>
      </c>
      <c r="C97" s="47" t="s">
        <v>192</v>
      </c>
      <c r="D97" s="1">
        <f>5/1.18</f>
        <v>4.2372881355932206</v>
      </c>
      <c r="E97" s="72">
        <v>4.2372881355932206</v>
      </c>
      <c r="F97" s="43">
        <f t="shared" si="2"/>
        <v>0</v>
      </c>
      <c r="G97" s="72">
        <v>4.2372881355932206</v>
      </c>
      <c r="H97" s="43">
        <f t="shared" si="3"/>
        <v>0</v>
      </c>
    </row>
    <row r="98" spans="1:8" x14ac:dyDescent="0.35">
      <c r="A98" s="47"/>
      <c r="B98" s="3" t="s">
        <v>371</v>
      </c>
      <c r="C98" s="47" t="s">
        <v>192</v>
      </c>
      <c r="D98" s="1">
        <f>50/1.18</f>
        <v>42.372881355932208</v>
      </c>
      <c r="E98" s="72">
        <v>42.372881355932208</v>
      </c>
      <c r="F98" s="43">
        <f t="shared" si="2"/>
        <v>0</v>
      </c>
      <c r="G98" s="72">
        <v>42.372881355932208</v>
      </c>
      <c r="H98" s="43">
        <f t="shared" si="3"/>
        <v>0</v>
      </c>
    </row>
    <row r="99" spans="1:8" x14ac:dyDescent="0.35">
      <c r="A99" s="47"/>
      <c r="B99" s="3" t="s">
        <v>377</v>
      </c>
      <c r="C99" s="47" t="s">
        <v>192</v>
      </c>
      <c r="D99" s="1">
        <f>8/1.18</f>
        <v>6.7796610169491531</v>
      </c>
      <c r="E99" s="72">
        <v>6.7796610169491531</v>
      </c>
      <c r="F99" s="43">
        <f t="shared" si="2"/>
        <v>0</v>
      </c>
      <c r="G99" s="72">
        <v>6.7796610169491531</v>
      </c>
      <c r="H99" s="43">
        <f t="shared" si="3"/>
        <v>0</v>
      </c>
    </row>
    <row r="100" spans="1:8" x14ac:dyDescent="0.35">
      <c r="A100" s="47"/>
      <c r="B100" s="3" t="s">
        <v>378</v>
      </c>
      <c r="C100" s="47" t="s">
        <v>192</v>
      </c>
      <c r="D100" s="1">
        <f>0.5/1.18</f>
        <v>0.42372881355932207</v>
      </c>
      <c r="E100" s="72">
        <v>0.42372881355932207</v>
      </c>
      <c r="F100" s="43">
        <f t="shared" si="2"/>
        <v>0</v>
      </c>
      <c r="G100" s="72">
        <v>0.42372881355932207</v>
      </c>
      <c r="H100" s="43">
        <f t="shared" si="3"/>
        <v>0</v>
      </c>
    </row>
    <row r="101" spans="1:8" x14ac:dyDescent="0.35">
      <c r="A101" s="47"/>
      <c r="B101" s="3" t="s">
        <v>379</v>
      </c>
      <c r="C101" s="47" t="s">
        <v>192</v>
      </c>
      <c r="D101" s="1">
        <f>2/1.18</f>
        <v>1.6949152542372883</v>
      </c>
      <c r="E101" s="72">
        <v>1.6949152542372883</v>
      </c>
      <c r="F101" s="43">
        <f t="shared" si="2"/>
        <v>0</v>
      </c>
      <c r="G101" s="72">
        <v>1.6949152542372883</v>
      </c>
      <c r="H101" s="43">
        <f t="shared" si="3"/>
        <v>0</v>
      </c>
    </row>
    <row r="102" spans="1:8" x14ac:dyDescent="0.35">
      <c r="A102" s="47"/>
      <c r="B102" s="3" t="s">
        <v>380</v>
      </c>
      <c r="C102" s="47" t="s">
        <v>192</v>
      </c>
      <c r="D102" s="1">
        <f>1/1.18</f>
        <v>0.84745762711864414</v>
      </c>
      <c r="E102" s="72">
        <v>0.84745762711864414</v>
      </c>
      <c r="F102" s="43">
        <f t="shared" si="2"/>
        <v>0</v>
      </c>
      <c r="G102" s="72">
        <v>0.84745762711864414</v>
      </c>
      <c r="H102" s="43">
        <f t="shared" si="3"/>
        <v>0</v>
      </c>
    </row>
    <row r="103" spans="1:8" x14ac:dyDescent="0.35">
      <c r="A103" s="47"/>
      <c r="B103" s="3" t="s">
        <v>381</v>
      </c>
      <c r="C103" s="47" t="s">
        <v>192</v>
      </c>
      <c r="D103" s="1">
        <f>1/1.18</f>
        <v>0.84745762711864414</v>
      </c>
      <c r="E103" s="72">
        <v>0.84745762711864414</v>
      </c>
      <c r="F103" s="43">
        <f t="shared" si="2"/>
        <v>0</v>
      </c>
      <c r="G103" s="72">
        <v>0.84745762711864414</v>
      </c>
      <c r="H103" s="43">
        <f t="shared" si="3"/>
        <v>0</v>
      </c>
    </row>
    <row r="104" spans="1:8" x14ac:dyDescent="0.35">
      <c r="A104" s="47"/>
      <c r="B104" s="3" t="s">
        <v>382</v>
      </c>
      <c r="C104" s="47" t="s">
        <v>192</v>
      </c>
      <c r="D104" s="1">
        <f>1/1.18</f>
        <v>0.84745762711864414</v>
      </c>
      <c r="E104" s="72">
        <v>0.84745762711864414</v>
      </c>
      <c r="F104" s="43">
        <f t="shared" si="2"/>
        <v>0</v>
      </c>
      <c r="G104" s="72">
        <v>0.84745762711864414</v>
      </c>
      <c r="H104" s="43">
        <f t="shared" si="3"/>
        <v>0</v>
      </c>
    </row>
    <row r="105" spans="1:8" x14ac:dyDescent="0.35">
      <c r="A105" s="47"/>
      <c r="B105" s="3" t="s">
        <v>386</v>
      </c>
      <c r="C105" s="47" t="s">
        <v>192</v>
      </c>
      <c r="D105" s="1">
        <f>15/1.18</f>
        <v>12.711864406779661</v>
      </c>
      <c r="E105" s="72">
        <v>12.711864406779661</v>
      </c>
      <c r="F105" s="43">
        <f t="shared" si="2"/>
        <v>0</v>
      </c>
      <c r="G105" s="72">
        <v>11.016949152542374</v>
      </c>
      <c r="H105" s="43">
        <f t="shared" si="3"/>
        <v>1.6949152542372872</v>
      </c>
    </row>
    <row r="106" spans="1:8" x14ac:dyDescent="0.35">
      <c r="A106" s="47"/>
      <c r="B106" s="3" t="s">
        <v>387</v>
      </c>
      <c r="C106" s="47" t="s">
        <v>192</v>
      </c>
      <c r="D106" s="1">
        <f>2/1.18</f>
        <v>1.6949152542372883</v>
      </c>
      <c r="E106" s="72">
        <v>1.6949152542372883</v>
      </c>
      <c r="F106" s="43">
        <f t="shared" si="2"/>
        <v>0</v>
      </c>
      <c r="G106" s="72">
        <v>1.6949152542372883</v>
      </c>
      <c r="H106" s="43">
        <f t="shared" si="3"/>
        <v>0</v>
      </c>
    </row>
    <row r="107" spans="1:8" x14ac:dyDescent="0.35">
      <c r="A107" s="47"/>
      <c r="B107" s="3" t="s">
        <v>388</v>
      </c>
      <c r="C107" s="47" t="s">
        <v>192</v>
      </c>
      <c r="D107" s="1">
        <f>2/1.18</f>
        <v>1.6949152542372883</v>
      </c>
      <c r="E107" s="72">
        <v>1.6949152542372883</v>
      </c>
      <c r="F107" s="43">
        <f t="shared" si="2"/>
        <v>0</v>
      </c>
      <c r="G107" s="72">
        <v>1.6949152542372883</v>
      </c>
      <c r="H107" s="43">
        <f t="shared" si="3"/>
        <v>0</v>
      </c>
    </row>
    <row r="108" spans="1:8" x14ac:dyDescent="0.35">
      <c r="A108" s="47"/>
      <c r="B108" s="3" t="s">
        <v>389</v>
      </c>
      <c r="C108" s="47" t="s">
        <v>192</v>
      </c>
      <c r="D108" s="1">
        <f>1/1.18</f>
        <v>0.84745762711864414</v>
      </c>
      <c r="E108" s="72">
        <v>0.84745762711864414</v>
      </c>
      <c r="F108" s="43">
        <f t="shared" si="2"/>
        <v>0</v>
      </c>
      <c r="G108" s="72">
        <v>0.84745762711864414</v>
      </c>
      <c r="H108" s="43">
        <f t="shared" si="3"/>
        <v>0</v>
      </c>
    </row>
    <row r="109" spans="1:8" x14ac:dyDescent="0.35">
      <c r="A109" s="47"/>
      <c r="B109" s="3" t="s">
        <v>390</v>
      </c>
      <c r="C109" s="47" t="s">
        <v>192</v>
      </c>
      <c r="D109" s="1">
        <f>1/1.18</f>
        <v>0.84745762711864414</v>
      </c>
      <c r="E109" s="72">
        <v>0.84745762711864414</v>
      </c>
      <c r="F109" s="43">
        <f t="shared" si="2"/>
        <v>0</v>
      </c>
      <c r="G109" s="72">
        <v>0.84745762711864414</v>
      </c>
      <c r="H109" s="43">
        <f t="shared" si="3"/>
        <v>0</v>
      </c>
    </row>
    <row r="110" spans="1:8" x14ac:dyDescent="0.35">
      <c r="A110" s="47"/>
      <c r="B110" s="3" t="s">
        <v>391</v>
      </c>
      <c r="C110" s="47" t="s">
        <v>192</v>
      </c>
      <c r="D110" s="1">
        <f>8/1.18</f>
        <v>6.7796610169491531</v>
      </c>
      <c r="E110" s="72">
        <v>6.7796610169491531</v>
      </c>
      <c r="F110" s="43">
        <f t="shared" si="2"/>
        <v>0</v>
      </c>
      <c r="G110" s="72">
        <v>6.7796610169491531</v>
      </c>
      <c r="H110" s="43">
        <f t="shared" si="3"/>
        <v>0</v>
      </c>
    </row>
    <row r="111" spans="1:8" x14ac:dyDescent="0.35">
      <c r="A111" s="47"/>
      <c r="B111" s="3" t="s">
        <v>392</v>
      </c>
      <c r="C111" s="47" t="s">
        <v>192</v>
      </c>
      <c r="D111" s="1">
        <f>5/1.18</f>
        <v>4.2372881355932206</v>
      </c>
      <c r="E111" s="72">
        <v>4.2372881355932206</v>
      </c>
      <c r="F111" s="43">
        <f t="shared" si="2"/>
        <v>0</v>
      </c>
      <c r="G111" s="72">
        <v>4.2372881355932206</v>
      </c>
      <c r="H111" s="43">
        <f t="shared" si="3"/>
        <v>0</v>
      </c>
    </row>
    <row r="112" spans="1:8" x14ac:dyDescent="0.35">
      <c r="A112" s="47"/>
      <c r="B112" s="3" t="s">
        <v>393</v>
      </c>
      <c r="C112" s="47" t="s">
        <v>192</v>
      </c>
      <c r="D112" s="1">
        <f>5/1.18</f>
        <v>4.2372881355932206</v>
      </c>
      <c r="E112" s="72">
        <v>4.2372881355932206</v>
      </c>
      <c r="F112" s="43">
        <f t="shared" si="2"/>
        <v>0</v>
      </c>
      <c r="G112" s="72">
        <v>4.2372881355932206</v>
      </c>
      <c r="H112" s="43">
        <f t="shared" si="3"/>
        <v>0</v>
      </c>
    </row>
    <row r="113" spans="1:8" x14ac:dyDescent="0.35">
      <c r="A113" s="47"/>
      <c r="B113" s="3" t="s">
        <v>415</v>
      </c>
      <c r="C113" s="49" t="s">
        <v>193</v>
      </c>
      <c r="D113" s="1">
        <f>55/1.18</f>
        <v>46.610169491525426</v>
      </c>
      <c r="E113" s="72">
        <v>46.610169491525426</v>
      </c>
      <c r="F113" s="43">
        <f t="shared" si="2"/>
        <v>0</v>
      </c>
      <c r="G113" s="72">
        <v>46.610169491525426</v>
      </c>
      <c r="H113" s="43">
        <f t="shared" si="3"/>
        <v>0</v>
      </c>
    </row>
    <row r="114" spans="1:8" x14ac:dyDescent="0.35">
      <c r="A114" s="47"/>
      <c r="B114" s="3" t="s">
        <v>417</v>
      </c>
      <c r="C114" s="47" t="s">
        <v>192</v>
      </c>
      <c r="D114" s="1">
        <f>90/1.18</f>
        <v>76.271186440677965</v>
      </c>
      <c r="E114" s="72">
        <v>76.271186440677965</v>
      </c>
      <c r="F114" s="43">
        <f t="shared" si="2"/>
        <v>0</v>
      </c>
      <c r="G114" s="72">
        <v>76.271186440677965</v>
      </c>
      <c r="H114" s="43">
        <f t="shared" si="3"/>
        <v>0</v>
      </c>
    </row>
  </sheetData>
  <autoFilter ref="A1:D114" xr:uid="{051671BB-2E89-4A2E-9A29-6EF59A4915FE}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772B-A202-4E77-9B70-3F168D36FB00}">
  <dimension ref="A1:F33"/>
  <sheetViews>
    <sheetView workbookViewId="0">
      <selection activeCell="F4" sqref="F4"/>
    </sheetView>
  </sheetViews>
  <sheetFormatPr defaultRowHeight="14.5" x14ac:dyDescent="0.35"/>
  <cols>
    <col min="2" max="2" width="43.6328125" customWidth="1"/>
    <col min="3" max="3" width="9.36328125" bestFit="1" customWidth="1"/>
    <col min="4" max="4" width="18.81640625" customWidth="1"/>
    <col min="5" max="5" width="10.36328125" bestFit="1" customWidth="1"/>
  </cols>
  <sheetData>
    <row r="1" spans="1:6" ht="32" x14ac:dyDescent="0.35">
      <c r="A1" s="39" t="s">
        <v>0</v>
      </c>
      <c r="B1" s="39" t="s">
        <v>1</v>
      </c>
      <c r="C1" s="39" t="s">
        <v>2</v>
      </c>
      <c r="D1" s="39" t="s">
        <v>278</v>
      </c>
    </row>
    <row r="2" spans="1:6" x14ac:dyDescent="0.35">
      <c r="A2" s="40">
        <v>1</v>
      </c>
      <c r="B2" s="40">
        <v>2</v>
      </c>
      <c r="C2" s="40">
        <v>3</v>
      </c>
      <c r="D2" s="40">
        <v>5</v>
      </c>
    </row>
    <row r="3" spans="1:6" x14ac:dyDescent="0.35">
      <c r="A3" s="42"/>
      <c r="B3" s="3" t="s">
        <v>279</v>
      </c>
      <c r="C3" s="4" t="s">
        <v>10</v>
      </c>
      <c r="D3" s="1">
        <f>130*[2]ფართები!E2/1.18</f>
        <v>301.86440677966107</v>
      </c>
      <c r="E3" s="72">
        <v>301.86440677966107</v>
      </c>
      <c r="F3" s="43">
        <f>D3-E3</f>
        <v>0</v>
      </c>
    </row>
    <row r="4" spans="1:6" x14ac:dyDescent="0.35">
      <c r="A4" s="42"/>
      <c r="B4" s="3" t="s">
        <v>337</v>
      </c>
      <c r="C4" s="4" t="s">
        <v>10</v>
      </c>
      <c r="D4" s="1">
        <f>160*ფართები!E3/1.18</f>
        <v>367.4576271186441</v>
      </c>
      <c r="E4" s="72">
        <v>372.28474576271185</v>
      </c>
      <c r="F4" s="43">
        <f t="shared" ref="F4:F33" si="0">D4-E4</f>
        <v>-4.8271186440677525</v>
      </c>
    </row>
    <row r="5" spans="1:6" x14ac:dyDescent="0.35">
      <c r="A5" s="42"/>
      <c r="B5" s="3" t="s">
        <v>280</v>
      </c>
      <c r="C5" s="4" t="s">
        <v>10</v>
      </c>
      <c r="D5" s="1">
        <f>230*1.27</f>
        <v>292.10000000000002</v>
      </c>
      <c r="E5" s="72">
        <v>292.10000000000002</v>
      </c>
      <c r="F5" s="43">
        <f t="shared" si="0"/>
        <v>0</v>
      </c>
    </row>
    <row r="6" spans="1:6" x14ac:dyDescent="0.35">
      <c r="A6" s="2"/>
      <c r="B6" s="3" t="s">
        <v>67</v>
      </c>
      <c r="C6" s="4" t="s">
        <v>40</v>
      </c>
      <c r="D6" s="1">
        <f>18/1.18</f>
        <v>15.254237288135593</v>
      </c>
      <c r="E6" s="72">
        <v>15.254237288135593</v>
      </c>
      <c r="F6" s="43">
        <f t="shared" si="0"/>
        <v>0</v>
      </c>
    </row>
    <row r="7" spans="1:6" x14ac:dyDescent="0.35">
      <c r="A7" s="2"/>
      <c r="B7" s="3" t="s">
        <v>89</v>
      </c>
      <c r="C7" s="4" t="s">
        <v>10</v>
      </c>
      <c r="D7" s="70">
        <f>14/1.18</f>
        <v>11.864406779661017</v>
      </c>
      <c r="E7" s="72">
        <v>10.16949152542373</v>
      </c>
      <c r="F7" s="43">
        <f t="shared" si="0"/>
        <v>1.6949152542372872</v>
      </c>
    </row>
    <row r="8" spans="1:6" x14ac:dyDescent="0.35">
      <c r="A8" s="2"/>
      <c r="B8" s="3" t="s">
        <v>105</v>
      </c>
      <c r="C8" s="4" t="s">
        <v>55</v>
      </c>
      <c r="D8" s="1">
        <f>1300/1.18</f>
        <v>1101.6949152542375</v>
      </c>
      <c r="E8" s="72">
        <v>1101.6949152542375</v>
      </c>
      <c r="F8" s="43">
        <f t="shared" si="0"/>
        <v>0</v>
      </c>
    </row>
    <row r="9" spans="1:6" x14ac:dyDescent="0.35">
      <c r="A9" s="2"/>
      <c r="B9" s="3" t="s">
        <v>322</v>
      </c>
      <c r="C9" s="4" t="s">
        <v>55</v>
      </c>
      <c r="D9" s="1">
        <f>900/1.18</f>
        <v>762.71186440677968</v>
      </c>
      <c r="E9" s="72">
        <v>762.71186440677968</v>
      </c>
      <c r="F9" s="43">
        <f t="shared" si="0"/>
        <v>0</v>
      </c>
    </row>
    <row r="10" spans="1:6" x14ac:dyDescent="0.35">
      <c r="A10" s="2"/>
      <c r="B10" s="3" t="s">
        <v>281</v>
      </c>
      <c r="C10" s="4" t="s">
        <v>55</v>
      </c>
      <c r="D10" s="1">
        <f>1750/1.18</f>
        <v>1483.0508474576272</v>
      </c>
      <c r="E10" s="72">
        <v>1483.0508474576272</v>
      </c>
      <c r="F10" s="43">
        <f t="shared" si="0"/>
        <v>0</v>
      </c>
    </row>
    <row r="11" spans="1:6" x14ac:dyDescent="0.35">
      <c r="A11" s="2"/>
      <c r="B11" s="3" t="s">
        <v>108</v>
      </c>
      <c r="C11" s="4" t="s">
        <v>55</v>
      </c>
      <c r="D11" s="1">
        <f>3600/1.18</f>
        <v>3050.8474576271187</v>
      </c>
      <c r="E11" s="72">
        <v>3050.8474576271187</v>
      </c>
      <c r="F11" s="43">
        <f t="shared" si="0"/>
        <v>0</v>
      </c>
    </row>
    <row r="12" spans="1:6" x14ac:dyDescent="0.35">
      <c r="A12" s="2"/>
      <c r="B12" s="3" t="s">
        <v>110</v>
      </c>
      <c r="C12" s="4" t="s">
        <v>55</v>
      </c>
      <c r="D12" s="1">
        <f>170/1.18</f>
        <v>144.06779661016949</v>
      </c>
      <c r="E12" s="72">
        <v>144.06779661016949</v>
      </c>
      <c r="F12" s="43">
        <f t="shared" si="0"/>
        <v>0</v>
      </c>
    </row>
    <row r="13" spans="1:6" x14ac:dyDescent="0.35">
      <c r="A13" s="2"/>
      <c r="B13" s="3" t="s">
        <v>282</v>
      </c>
      <c r="C13" s="4" t="s">
        <v>55</v>
      </c>
      <c r="D13" s="1">
        <f>1700/1.18</f>
        <v>1440.6779661016949</v>
      </c>
      <c r="E13" s="72">
        <v>1440.6779661016949</v>
      </c>
      <c r="F13" s="43">
        <f t="shared" si="0"/>
        <v>0</v>
      </c>
    </row>
    <row r="14" spans="1:6" x14ac:dyDescent="0.35">
      <c r="A14" s="2"/>
      <c r="B14" s="3" t="s">
        <v>113</v>
      </c>
      <c r="C14" s="4" t="s">
        <v>40</v>
      </c>
      <c r="D14" s="1">
        <f>260/1.18</f>
        <v>220.33898305084747</v>
      </c>
      <c r="E14" s="72">
        <v>220.33898305084747</v>
      </c>
      <c r="F14" s="43">
        <f t="shared" si="0"/>
        <v>0</v>
      </c>
    </row>
    <row r="15" spans="1:6" x14ac:dyDescent="0.35">
      <c r="A15" s="2"/>
      <c r="B15" s="3" t="s">
        <v>325</v>
      </c>
      <c r="C15" s="4" t="s">
        <v>193</v>
      </c>
      <c r="D15" s="1">
        <f>260/1.18</f>
        <v>220.33898305084747</v>
      </c>
      <c r="E15" s="72">
        <v>220.33898305084747</v>
      </c>
      <c r="F15" s="43">
        <f t="shared" si="0"/>
        <v>0</v>
      </c>
    </row>
    <row r="16" spans="1:6" x14ac:dyDescent="0.35">
      <c r="A16" s="2"/>
      <c r="B16" s="3" t="s">
        <v>115</v>
      </c>
      <c r="C16" s="4" t="s">
        <v>40</v>
      </c>
      <c r="D16" s="1">
        <f>260/1.18</f>
        <v>220.33898305084747</v>
      </c>
      <c r="E16" s="72">
        <v>220.33898305084747</v>
      </c>
      <c r="F16" s="43">
        <f t="shared" si="0"/>
        <v>0</v>
      </c>
    </row>
    <row r="17" spans="1:6" x14ac:dyDescent="0.35">
      <c r="A17" s="2"/>
      <c r="B17" s="3" t="s">
        <v>116</v>
      </c>
      <c r="C17" s="4" t="s">
        <v>40</v>
      </c>
      <c r="D17" s="1">
        <f>85/1.18</f>
        <v>72.033898305084747</v>
      </c>
      <c r="E17" s="72">
        <v>72.033898305084747</v>
      </c>
      <c r="F17" s="43">
        <f t="shared" si="0"/>
        <v>0</v>
      </c>
    </row>
    <row r="18" spans="1:6" x14ac:dyDescent="0.35">
      <c r="A18" s="2"/>
      <c r="B18" s="3" t="s">
        <v>334</v>
      </c>
      <c r="C18" s="4" t="s">
        <v>55</v>
      </c>
      <c r="D18" s="1">
        <f>2000/1.18</f>
        <v>1694.9152542372883</v>
      </c>
      <c r="E18" s="72">
        <v>1694.9152542372883</v>
      </c>
      <c r="F18" s="43">
        <f t="shared" si="0"/>
        <v>0</v>
      </c>
    </row>
    <row r="19" spans="1:6" x14ac:dyDescent="0.35">
      <c r="A19" s="2"/>
      <c r="B19" s="3" t="s">
        <v>335</v>
      </c>
      <c r="C19" s="4" t="s">
        <v>55</v>
      </c>
      <c r="D19" s="1">
        <f>1500/1.18</f>
        <v>1271.1864406779662</v>
      </c>
      <c r="E19" s="72">
        <v>1271.1864406779662</v>
      </c>
      <c r="F19" s="43">
        <f t="shared" si="0"/>
        <v>0</v>
      </c>
    </row>
    <row r="20" spans="1:6" x14ac:dyDescent="0.35">
      <c r="A20" s="2"/>
      <c r="B20" s="3" t="s">
        <v>148</v>
      </c>
      <c r="C20" s="4" t="s">
        <v>49</v>
      </c>
      <c r="D20" s="1">
        <f>220/1.18</f>
        <v>186.4406779661017</v>
      </c>
      <c r="E20" s="72">
        <v>186.4406779661017</v>
      </c>
      <c r="F20" s="43">
        <f t="shared" si="0"/>
        <v>0</v>
      </c>
    </row>
    <row r="21" spans="1:6" x14ac:dyDescent="0.35">
      <c r="A21" s="2"/>
      <c r="B21" s="3" t="s">
        <v>147</v>
      </c>
      <c r="C21" s="4" t="s">
        <v>55</v>
      </c>
      <c r="D21" s="1">
        <f>(112425*[2]ფართები!E2/1.18)/2</f>
        <v>130527.33050847458</v>
      </c>
      <c r="E21" s="72">
        <v>130527.33050847458</v>
      </c>
      <c r="F21" s="43">
        <f t="shared" si="0"/>
        <v>0</v>
      </c>
    </row>
    <row r="22" spans="1:6" x14ac:dyDescent="0.35">
      <c r="A22" s="2"/>
      <c r="B22" s="3" t="s">
        <v>153</v>
      </c>
      <c r="C22" s="4" t="s">
        <v>121</v>
      </c>
      <c r="D22" s="1">
        <f>350/1.18</f>
        <v>296.61016949152543</v>
      </c>
      <c r="E22" s="72">
        <v>296.61016949152543</v>
      </c>
      <c r="F22" s="43">
        <f t="shared" si="0"/>
        <v>0</v>
      </c>
    </row>
    <row r="23" spans="1:6" x14ac:dyDescent="0.35">
      <c r="A23" s="2"/>
      <c r="B23" s="3" t="s">
        <v>283</v>
      </c>
      <c r="C23" s="4" t="s">
        <v>121</v>
      </c>
      <c r="D23" s="1">
        <f>160/1.18</f>
        <v>135.59322033898306</v>
      </c>
      <c r="E23" s="72">
        <v>135.59322033898306</v>
      </c>
      <c r="F23" s="43">
        <f t="shared" si="0"/>
        <v>0</v>
      </c>
    </row>
    <row r="24" spans="1:6" x14ac:dyDescent="0.35">
      <c r="A24" s="2"/>
      <c r="B24" s="3" t="s">
        <v>284</v>
      </c>
      <c r="C24" s="4" t="s">
        <v>55</v>
      </c>
      <c r="D24" s="1">
        <f>50/1.18</f>
        <v>42.372881355932208</v>
      </c>
      <c r="E24" s="72">
        <v>42.372881355932208</v>
      </c>
      <c r="F24" s="43">
        <f t="shared" si="0"/>
        <v>0</v>
      </c>
    </row>
    <row r="25" spans="1:6" x14ac:dyDescent="0.35">
      <c r="A25" s="2"/>
      <c r="B25" s="3" t="s">
        <v>285</v>
      </c>
      <c r="C25" s="4" t="s">
        <v>55</v>
      </c>
      <c r="D25" s="1">
        <f>550/1.18</f>
        <v>466.10169491525426</v>
      </c>
      <c r="E25" s="72">
        <v>466.10169491525426</v>
      </c>
      <c r="F25" s="43">
        <f t="shared" si="0"/>
        <v>0</v>
      </c>
    </row>
    <row r="26" spans="1:6" x14ac:dyDescent="0.35">
      <c r="A26" s="2"/>
      <c r="B26" s="3" t="s">
        <v>286</v>
      </c>
      <c r="C26" s="4" t="s">
        <v>55</v>
      </c>
      <c r="D26" s="1">
        <f>50/1.18</f>
        <v>42.372881355932208</v>
      </c>
      <c r="E26" s="72">
        <v>42.372881355932208</v>
      </c>
      <c r="F26" s="43">
        <f t="shared" si="0"/>
        <v>0</v>
      </c>
    </row>
    <row r="27" spans="1:6" x14ac:dyDescent="0.35">
      <c r="A27" s="47"/>
      <c r="B27" s="3" t="s">
        <v>365</v>
      </c>
      <c r="C27" s="4" t="s">
        <v>193</v>
      </c>
      <c r="D27" s="1">
        <f>210/1.18</f>
        <v>177.96610169491527</v>
      </c>
      <c r="E27" s="72">
        <v>177.96610169491527</v>
      </c>
      <c r="F27" s="43">
        <f t="shared" si="0"/>
        <v>0</v>
      </c>
    </row>
    <row r="28" spans="1:6" x14ac:dyDescent="0.35">
      <c r="A28" s="47"/>
      <c r="B28" s="3" t="s">
        <v>362</v>
      </c>
      <c r="C28" s="4" t="s">
        <v>193</v>
      </c>
      <c r="D28" s="1">
        <f>90/1.18</f>
        <v>76.271186440677965</v>
      </c>
      <c r="E28" s="72">
        <v>76.271186440677965</v>
      </c>
      <c r="F28" s="43">
        <f t="shared" si="0"/>
        <v>0</v>
      </c>
    </row>
    <row r="29" spans="1:6" x14ac:dyDescent="0.35">
      <c r="A29" s="47"/>
      <c r="B29" s="23" t="s">
        <v>149</v>
      </c>
      <c r="C29" s="4" t="s">
        <v>364</v>
      </c>
      <c r="D29" s="1">
        <f>5000/1.18</f>
        <v>4237.2881355932204</v>
      </c>
      <c r="E29" s="72">
        <v>4237.2881355932204</v>
      </c>
      <c r="F29" s="43">
        <f t="shared" si="0"/>
        <v>0</v>
      </c>
    </row>
    <row r="30" spans="1:6" x14ac:dyDescent="0.35">
      <c r="A30" s="47"/>
      <c r="B30" s="23" t="s">
        <v>150</v>
      </c>
      <c r="C30" s="4" t="s">
        <v>364</v>
      </c>
      <c r="D30" s="1">
        <f>1300/1.18</f>
        <v>1101.6949152542375</v>
      </c>
      <c r="E30" s="72">
        <v>1101.6949152542375</v>
      </c>
      <c r="F30" s="43">
        <f t="shared" si="0"/>
        <v>0</v>
      </c>
    </row>
    <row r="31" spans="1:6" x14ac:dyDescent="0.35">
      <c r="A31" s="47"/>
      <c r="B31" s="23" t="s">
        <v>151</v>
      </c>
      <c r="C31" s="4" t="s">
        <v>364</v>
      </c>
      <c r="D31" s="1">
        <f>3400/1.18</f>
        <v>2881.3559322033898</v>
      </c>
      <c r="E31" s="72">
        <v>2881.3559322033898</v>
      </c>
      <c r="F31" s="43">
        <f t="shared" si="0"/>
        <v>0</v>
      </c>
    </row>
    <row r="32" spans="1:6" x14ac:dyDescent="0.35">
      <c r="A32" s="47"/>
      <c r="B32" s="23" t="s">
        <v>418</v>
      </c>
      <c r="C32" s="4" t="s">
        <v>192</v>
      </c>
      <c r="D32" s="1">
        <f>7667/1.18</f>
        <v>6497.4576271186443</v>
      </c>
      <c r="E32" s="72">
        <v>419.49152542372883</v>
      </c>
      <c r="F32" s="43">
        <f t="shared" si="0"/>
        <v>6077.9661016949158</v>
      </c>
    </row>
    <row r="33" spans="1:6" x14ac:dyDescent="0.35">
      <c r="A33" s="47"/>
      <c r="B33" s="23" t="s">
        <v>428</v>
      </c>
      <c r="C33" s="4" t="s">
        <v>10</v>
      </c>
      <c r="D33" s="1">
        <f>63/1.18</f>
        <v>53.389830508474581</v>
      </c>
      <c r="E33" s="72">
        <v>53.389830508474581</v>
      </c>
      <c r="F33" s="43">
        <f t="shared" si="0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DAFB-4559-4004-B994-70EB8A328210}">
  <dimension ref="A1:F43"/>
  <sheetViews>
    <sheetView workbookViewId="0">
      <selection activeCell="I16" sqref="I16"/>
    </sheetView>
  </sheetViews>
  <sheetFormatPr defaultRowHeight="14.5" x14ac:dyDescent="0.35"/>
  <cols>
    <col min="2" max="2" width="38.453125" bestFit="1" customWidth="1"/>
    <col min="3" max="3" width="11.6328125" customWidth="1"/>
    <col min="4" max="4" width="13.08984375" bestFit="1" customWidth="1"/>
    <col min="5" max="5" width="14.08984375" customWidth="1"/>
  </cols>
  <sheetData>
    <row r="1" spans="1:6" ht="32" x14ac:dyDescent="0.35">
      <c r="A1" s="39" t="s">
        <v>0</v>
      </c>
      <c r="B1" s="39" t="s">
        <v>1</v>
      </c>
      <c r="C1" s="39" t="s">
        <v>2</v>
      </c>
      <c r="D1" s="39" t="s">
        <v>278</v>
      </c>
    </row>
    <row r="2" spans="1:6" x14ac:dyDescent="0.35">
      <c r="A2" s="40">
        <v>1</v>
      </c>
      <c r="B2" s="40">
        <v>2</v>
      </c>
      <c r="C2" s="40">
        <v>3</v>
      </c>
      <c r="D2" s="40">
        <v>5</v>
      </c>
    </row>
    <row r="3" spans="1:6" x14ac:dyDescent="0.35">
      <c r="A3" s="42"/>
      <c r="B3" s="3" t="s">
        <v>394</v>
      </c>
      <c r="C3" s="4" t="s">
        <v>193</v>
      </c>
      <c r="D3" s="1">
        <f>50*1.275</f>
        <v>63.749999999999993</v>
      </c>
      <c r="E3" s="72">
        <v>63.749999999999993</v>
      </c>
      <c r="F3" s="43">
        <f>D3-E3</f>
        <v>0</v>
      </c>
    </row>
    <row r="4" spans="1:6" x14ac:dyDescent="0.35">
      <c r="A4" s="42"/>
      <c r="B4" s="3" t="s">
        <v>287</v>
      </c>
      <c r="C4" s="4" t="s">
        <v>193</v>
      </c>
      <c r="D4" s="1">
        <f>1.5*1.275*12.5</f>
        <v>23.90625</v>
      </c>
      <c r="E4" s="72">
        <v>23.90625</v>
      </c>
      <c r="F4" s="43">
        <f t="shared" ref="F4:F42" si="0">D4-E4</f>
        <v>0</v>
      </c>
    </row>
    <row r="5" spans="1:6" x14ac:dyDescent="0.35">
      <c r="A5" s="42"/>
      <c r="B5" s="3" t="s">
        <v>288</v>
      </c>
      <c r="C5" s="4" t="s">
        <v>190</v>
      </c>
      <c r="D5" s="1">
        <f>15*1.275</f>
        <v>19.125</v>
      </c>
      <c r="E5" s="72">
        <v>19.125</v>
      </c>
      <c r="F5" s="43">
        <f t="shared" si="0"/>
        <v>0</v>
      </c>
    </row>
    <row r="6" spans="1:6" x14ac:dyDescent="0.35">
      <c r="A6" s="42"/>
      <c r="B6" s="3" t="s">
        <v>249</v>
      </c>
      <c r="C6" s="4" t="s">
        <v>190</v>
      </c>
      <c r="D6" s="71">
        <f>40*1.275</f>
        <v>51</v>
      </c>
      <c r="E6" s="72">
        <v>44.625</v>
      </c>
      <c r="F6" s="43">
        <f t="shared" si="0"/>
        <v>6.375</v>
      </c>
    </row>
    <row r="7" spans="1:6" x14ac:dyDescent="0.35">
      <c r="A7" s="2"/>
      <c r="B7" s="3" t="s">
        <v>289</v>
      </c>
      <c r="C7" s="4" t="s">
        <v>193</v>
      </c>
      <c r="D7" s="1">
        <f>65*1.275</f>
        <v>82.875</v>
      </c>
      <c r="E7" s="72">
        <v>82.875</v>
      </c>
      <c r="F7" s="43">
        <f t="shared" si="0"/>
        <v>0</v>
      </c>
    </row>
    <row r="8" spans="1:6" x14ac:dyDescent="0.35">
      <c r="A8" s="2"/>
      <c r="B8" s="3" t="s">
        <v>290</v>
      </c>
      <c r="C8" s="4" t="s">
        <v>40</v>
      </c>
      <c r="D8" s="1">
        <f>35*1.275</f>
        <v>44.625</v>
      </c>
      <c r="E8" s="72">
        <v>44.625</v>
      </c>
      <c r="F8" s="43">
        <f t="shared" si="0"/>
        <v>0</v>
      </c>
    </row>
    <row r="9" spans="1:6" x14ac:dyDescent="0.35">
      <c r="A9" s="2"/>
      <c r="B9" s="3" t="s">
        <v>313</v>
      </c>
      <c r="C9" s="4" t="s">
        <v>193</v>
      </c>
      <c r="D9" s="1">
        <f>120*1.275</f>
        <v>153</v>
      </c>
      <c r="E9" s="72">
        <v>153</v>
      </c>
      <c r="F9" s="43">
        <f t="shared" si="0"/>
        <v>0</v>
      </c>
    </row>
    <row r="10" spans="1:6" x14ac:dyDescent="0.35">
      <c r="A10" s="2"/>
      <c r="B10" s="3" t="s">
        <v>291</v>
      </c>
      <c r="C10" s="4" t="s">
        <v>40</v>
      </c>
      <c r="D10" s="1">
        <f>16*1.275</f>
        <v>20.399999999999999</v>
      </c>
      <c r="E10" s="72">
        <v>20.399999999999999</v>
      </c>
      <c r="F10" s="43">
        <f t="shared" si="0"/>
        <v>0</v>
      </c>
    </row>
    <row r="11" spans="1:6" x14ac:dyDescent="0.35">
      <c r="A11" s="2"/>
      <c r="B11" s="3" t="s">
        <v>292</v>
      </c>
      <c r="C11" s="4" t="s">
        <v>55</v>
      </c>
      <c r="D11" s="1">
        <f>5*1.275</f>
        <v>6.375</v>
      </c>
      <c r="E11" s="72">
        <v>6.375</v>
      </c>
      <c r="F11" s="43">
        <f t="shared" si="0"/>
        <v>0</v>
      </c>
    </row>
    <row r="12" spans="1:6" x14ac:dyDescent="0.35">
      <c r="A12" s="2"/>
      <c r="B12" s="3" t="s">
        <v>293</v>
      </c>
      <c r="C12" s="4" t="s">
        <v>40</v>
      </c>
      <c r="D12" s="1">
        <f>3*1.275</f>
        <v>3.8249999999999997</v>
      </c>
      <c r="E12" s="72">
        <v>3.8249999999999997</v>
      </c>
      <c r="F12" s="43">
        <f t="shared" si="0"/>
        <v>0</v>
      </c>
    </row>
    <row r="13" spans="1:6" x14ac:dyDescent="0.35">
      <c r="A13" s="2"/>
      <c r="B13" s="3" t="s">
        <v>294</v>
      </c>
      <c r="C13" s="4" t="s">
        <v>10</v>
      </c>
      <c r="D13" s="66">
        <f>(23+25)*1.275</f>
        <v>61.199999999999996</v>
      </c>
      <c r="E13" s="73">
        <v>61.199999999999996</v>
      </c>
      <c r="F13" s="43">
        <f t="shared" si="0"/>
        <v>0</v>
      </c>
    </row>
    <row r="14" spans="1:6" x14ac:dyDescent="0.35">
      <c r="A14" s="2"/>
      <c r="B14" s="3" t="s">
        <v>172</v>
      </c>
      <c r="C14" s="4" t="s">
        <v>10</v>
      </c>
      <c r="D14" s="66">
        <f>26.5*1.275</f>
        <v>33.787499999999994</v>
      </c>
      <c r="E14" s="73">
        <v>33.787499999999994</v>
      </c>
      <c r="F14" s="43">
        <f t="shared" si="0"/>
        <v>0</v>
      </c>
    </row>
    <row r="15" spans="1:6" x14ac:dyDescent="0.35">
      <c r="A15" s="2"/>
      <c r="B15" s="3" t="s">
        <v>295</v>
      </c>
      <c r="C15" s="4" t="s">
        <v>10</v>
      </c>
      <c r="D15" s="1">
        <f>30*1.275</f>
        <v>38.25</v>
      </c>
      <c r="E15" s="72">
        <v>38.25</v>
      </c>
      <c r="F15" s="43">
        <f t="shared" si="0"/>
        <v>0</v>
      </c>
    </row>
    <row r="16" spans="1:6" x14ac:dyDescent="0.35">
      <c r="A16" s="2"/>
      <c r="B16" s="3" t="s">
        <v>296</v>
      </c>
      <c r="C16" s="4" t="s">
        <v>40</v>
      </c>
      <c r="D16" s="1">
        <f>10*1.275</f>
        <v>12.75</v>
      </c>
      <c r="E16" s="72">
        <v>12.75</v>
      </c>
      <c r="F16" s="43">
        <f t="shared" si="0"/>
        <v>0</v>
      </c>
    </row>
    <row r="17" spans="1:6" x14ac:dyDescent="0.35">
      <c r="A17" s="2"/>
      <c r="B17" s="3" t="s">
        <v>297</v>
      </c>
      <c r="C17" s="4" t="s">
        <v>55</v>
      </c>
      <c r="D17" s="71">
        <f>40*1.275</f>
        <v>51</v>
      </c>
      <c r="E17" s="72">
        <v>44.625</v>
      </c>
      <c r="F17" s="43">
        <f t="shared" si="0"/>
        <v>6.375</v>
      </c>
    </row>
    <row r="18" spans="1:6" x14ac:dyDescent="0.35">
      <c r="A18" s="2"/>
      <c r="B18" s="3" t="s">
        <v>298</v>
      </c>
      <c r="C18" s="4" t="s">
        <v>10</v>
      </c>
      <c r="D18" s="70">
        <f>12*1.275</f>
        <v>15.299999999999999</v>
      </c>
      <c r="E18" s="72">
        <v>15.299999999999999</v>
      </c>
      <c r="F18" s="43">
        <f t="shared" si="0"/>
        <v>0</v>
      </c>
    </row>
    <row r="19" spans="1:6" x14ac:dyDescent="0.35">
      <c r="A19" s="2"/>
      <c r="B19" s="3" t="s">
        <v>299</v>
      </c>
      <c r="C19" s="4" t="s">
        <v>10</v>
      </c>
      <c r="D19" s="1">
        <f>16*1.275</f>
        <v>20.399999999999999</v>
      </c>
      <c r="E19" s="72">
        <v>20.399999999999999</v>
      </c>
      <c r="F19" s="43">
        <f t="shared" si="0"/>
        <v>0</v>
      </c>
    </row>
    <row r="20" spans="1:6" x14ac:dyDescent="0.35">
      <c r="A20" s="2"/>
      <c r="B20" s="3" t="s">
        <v>300</v>
      </c>
      <c r="C20" s="4" t="s">
        <v>121</v>
      </c>
      <c r="D20" s="1">
        <f>130*1.275</f>
        <v>165.75</v>
      </c>
      <c r="E20" s="72">
        <v>165.75</v>
      </c>
      <c r="F20" s="43">
        <f t="shared" si="0"/>
        <v>0</v>
      </c>
    </row>
    <row r="21" spans="1:6" x14ac:dyDescent="0.35">
      <c r="A21" s="2"/>
      <c r="B21" s="3" t="s">
        <v>301</v>
      </c>
      <c r="C21" s="4" t="s">
        <v>55</v>
      </c>
      <c r="D21" s="1">
        <f>25*1.275</f>
        <v>31.874999999999996</v>
      </c>
      <c r="E21" s="72">
        <v>31.874999999999996</v>
      </c>
      <c r="F21" s="43">
        <f t="shared" si="0"/>
        <v>0</v>
      </c>
    </row>
    <row r="22" spans="1:6" x14ac:dyDescent="0.35">
      <c r="A22" s="2"/>
      <c r="B22" s="3" t="s">
        <v>339</v>
      </c>
      <c r="C22" s="4" t="s">
        <v>55</v>
      </c>
      <c r="D22" s="1">
        <f>45*1.275</f>
        <v>57.374999999999993</v>
      </c>
      <c r="E22" s="72">
        <v>57.374999999999993</v>
      </c>
      <c r="F22" s="43">
        <f t="shared" si="0"/>
        <v>0</v>
      </c>
    </row>
    <row r="23" spans="1:6" x14ac:dyDescent="0.35">
      <c r="A23" s="2"/>
      <c r="B23" s="3" t="s">
        <v>302</v>
      </c>
      <c r="C23" s="4" t="s">
        <v>55</v>
      </c>
      <c r="D23" s="1">
        <f>25*1.275</f>
        <v>31.874999999999996</v>
      </c>
      <c r="E23" s="72">
        <v>31.874999999999996</v>
      </c>
      <c r="F23" s="43">
        <f t="shared" si="0"/>
        <v>0</v>
      </c>
    </row>
    <row r="24" spans="1:6" x14ac:dyDescent="0.35">
      <c r="A24" s="2"/>
      <c r="B24" s="3" t="s">
        <v>303</v>
      </c>
      <c r="C24" s="4" t="s">
        <v>55</v>
      </c>
      <c r="D24" s="1">
        <f>8*1.275</f>
        <v>10.199999999999999</v>
      </c>
      <c r="E24" s="72">
        <v>10.199999999999999</v>
      </c>
      <c r="F24" s="43">
        <f t="shared" si="0"/>
        <v>0</v>
      </c>
    </row>
    <row r="25" spans="1:6" x14ac:dyDescent="0.35">
      <c r="A25" s="2"/>
      <c r="B25" s="3" t="s">
        <v>304</v>
      </c>
      <c r="C25" s="4" t="s">
        <v>55</v>
      </c>
      <c r="D25" s="1">
        <f>12*1.275</f>
        <v>15.299999999999999</v>
      </c>
      <c r="E25" s="72">
        <v>15.299999999999999</v>
      </c>
      <c r="F25" s="43">
        <f t="shared" si="0"/>
        <v>0</v>
      </c>
    </row>
    <row r="26" spans="1:6" x14ac:dyDescent="0.35">
      <c r="A26" s="2"/>
      <c r="B26" s="3" t="s">
        <v>305</v>
      </c>
      <c r="C26" s="4" t="s">
        <v>55</v>
      </c>
      <c r="D26" s="1">
        <f>45*1.275</f>
        <v>57.374999999999993</v>
      </c>
      <c r="E26" s="72">
        <v>57.374999999999993</v>
      </c>
      <c r="F26" s="43">
        <f t="shared" si="0"/>
        <v>0</v>
      </c>
    </row>
    <row r="27" spans="1:6" x14ac:dyDescent="0.35">
      <c r="A27" s="2"/>
      <c r="B27" s="3" t="s">
        <v>306</v>
      </c>
      <c r="C27" s="4" t="s">
        <v>55</v>
      </c>
      <c r="D27" s="1">
        <f>45*1.275</f>
        <v>57.374999999999993</v>
      </c>
      <c r="E27" s="72">
        <v>57.374999999999993</v>
      </c>
      <c r="F27" s="43">
        <f t="shared" si="0"/>
        <v>0</v>
      </c>
    </row>
    <row r="28" spans="1:6" x14ac:dyDescent="0.35">
      <c r="A28" s="2"/>
      <c r="B28" s="3" t="s">
        <v>138</v>
      </c>
      <c r="C28" s="4" t="s">
        <v>40</v>
      </c>
      <c r="D28" s="1">
        <f>3*1.275</f>
        <v>3.8249999999999997</v>
      </c>
      <c r="E28" s="72">
        <v>3.8249999999999997</v>
      </c>
      <c r="F28" s="43">
        <f t="shared" si="0"/>
        <v>0</v>
      </c>
    </row>
    <row r="29" spans="1:6" x14ac:dyDescent="0.35">
      <c r="A29" s="2"/>
      <c r="B29" s="3" t="s">
        <v>307</v>
      </c>
      <c r="C29" s="4" t="s">
        <v>40</v>
      </c>
      <c r="D29" s="1">
        <f>20*1.275</f>
        <v>25.5</v>
      </c>
      <c r="E29" s="72">
        <v>25.5</v>
      </c>
      <c r="F29" s="43">
        <f t="shared" si="0"/>
        <v>0</v>
      </c>
    </row>
    <row r="30" spans="1:6" x14ac:dyDescent="0.35">
      <c r="A30" s="2"/>
      <c r="B30" s="3" t="s">
        <v>144</v>
      </c>
      <c r="C30" s="4" t="s">
        <v>55</v>
      </c>
      <c r="D30" s="1">
        <f>(110+40)*1.275</f>
        <v>191.25</v>
      </c>
      <c r="E30" s="72">
        <v>191.25</v>
      </c>
      <c r="F30" s="43">
        <f t="shared" si="0"/>
        <v>0</v>
      </c>
    </row>
    <row r="31" spans="1:6" x14ac:dyDescent="0.35">
      <c r="A31" s="2"/>
      <c r="B31" s="3" t="s">
        <v>185</v>
      </c>
      <c r="C31" s="4" t="s">
        <v>40</v>
      </c>
      <c r="D31" s="1">
        <f>10*1.275</f>
        <v>12.75</v>
      </c>
      <c r="E31" s="72">
        <v>12.75</v>
      </c>
      <c r="F31" s="43">
        <f t="shared" si="0"/>
        <v>0</v>
      </c>
    </row>
    <row r="32" spans="1:6" x14ac:dyDescent="0.35">
      <c r="A32" s="2"/>
      <c r="B32" s="3" t="s">
        <v>308</v>
      </c>
      <c r="C32" s="4" t="s">
        <v>55</v>
      </c>
      <c r="D32" s="1">
        <f>10*1.275</f>
        <v>12.75</v>
      </c>
      <c r="E32" s="72">
        <v>12.75</v>
      </c>
      <c r="F32" s="43">
        <f t="shared" si="0"/>
        <v>0</v>
      </c>
    </row>
    <row r="33" spans="1:6" x14ac:dyDescent="0.35">
      <c r="A33" s="2"/>
      <c r="B33" s="3" t="s">
        <v>309</v>
      </c>
      <c r="C33" s="4" t="s">
        <v>55</v>
      </c>
      <c r="D33" s="1">
        <f>20*1.275</f>
        <v>25.5</v>
      </c>
      <c r="E33" s="72">
        <v>25.5</v>
      </c>
      <c r="F33" s="43">
        <f t="shared" si="0"/>
        <v>0</v>
      </c>
    </row>
    <row r="34" spans="1:6" x14ac:dyDescent="0.35">
      <c r="A34" s="2"/>
      <c r="B34" s="3" t="s">
        <v>310</v>
      </c>
      <c r="C34" s="4" t="s">
        <v>10</v>
      </c>
      <c r="D34" s="1">
        <f>45*1.275</f>
        <v>57.374999999999993</v>
      </c>
      <c r="E34" s="72">
        <v>57.374999999999993</v>
      </c>
      <c r="F34" s="43">
        <f t="shared" si="0"/>
        <v>0</v>
      </c>
    </row>
    <row r="35" spans="1:6" x14ac:dyDescent="0.35">
      <c r="A35" s="2"/>
      <c r="B35" s="23" t="s">
        <v>424</v>
      </c>
      <c r="C35" s="4" t="s">
        <v>10</v>
      </c>
      <c r="D35" s="1">
        <f>18*1.275</f>
        <v>22.95</v>
      </c>
      <c r="E35" s="72">
        <v>22.95</v>
      </c>
      <c r="F35" s="43">
        <f t="shared" si="0"/>
        <v>0</v>
      </c>
    </row>
    <row r="36" spans="1:6" x14ac:dyDescent="0.35">
      <c r="A36" s="2"/>
      <c r="B36" s="3" t="s">
        <v>311</v>
      </c>
      <c r="C36" s="4" t="s">
        <v>10</v>
      </c>
      <c r="D36" s="1">
        <f>15*1.275</f>
        <v>19.125</v>
      </c>
      <c r="E36" s="72">
        <v>19.125</v>
      </c>
      <c r="F36" s="43">
        <f t="shared" si="0"/>
        <v>0</v>
      </c>
    </row>
    <row r="37" spans="1:6" x14ac:dyDescent="0.35">
      <c r="A37" s="2"/>
      <c r="B37" s="3" t="s">
        <v>215</v>
      </c>
      <c r="C37" s="4" t="s">
        <v>10</v>
      </c>
      <c r="D37" s="1">
        <f>7*1.275</f>
        <v>8.9249999999999989</v>
      </c>
      <c r="E37" s="72">
        <v>8.9249999999999989</v>
      </c>
      <c r="F37" s="43">
        <f t="shared" si="0"/>
        <v>0</v>
      </c>
    </row>
    <row r="38" spans="1:6" x14ac:dyDescent="0.35">
      <c r="A38" s="2"/>
      <c r="B38" s="3" t="s">
        <v>316</v>
      </c>
      <c r="C38" s="4" t="s">
        <v>10</v>
      </c>
      <c r="D38" s="1">
        <f>15*1.275</f>
        <v>19.125</v>
      </c>
      <c r="E38" s="72">
        <v>19.125</v>
      </c>
      <c r="F38" s="43">
        <f t="shared" si="0"/>
        <v>0</v>
      </c>
    </row>
    <row r="39" spans="1:6" x14ac:dyDescent="0.35">
      <c r="A39" s="2"/>
      <c r="B39" s="3" t="s">
        <v>346</v>
      </c>
      <c r="C39" s="4" t="s">
        <v>190</v>
      </c>
      <c r="D39" s="1">
        <f>50*1.275</f>
        <v>63.749999999999993</v>
      </c>
      <c r="E39" s="72">
        <v>63.749999999999993</v>
      </c>
      <c r="F39" s="43">
        <f t="shared" si="0"/>
        <v>0</v>
      </c>
    </row>
    <row r="40" spans="1:6" x14ac:dyDescent="0.35">
      <c r="A40" s="2"/>
      <c r="B40" s="3" t="s">
        <v>357</v>
      </c>
      <c r="C40" s="4" t="s">
        <v>192</v>
      </c>
      <c r="D40" s="1">
        <f>40*1.275</f>
        <v>51</v>
      </c>
      <c r="E40" s="72">
        <v>51</v>
      </c>
      <c r="F40" s="43">
        <f t="shared" si="0"/>
        <v>0</v>
      </c>
    </row>
    <row r="41" spans="1:6" x14ac:dyDescent="0.35">
      <c r="A41" s="2"/>
      <c r="B41" s="3" t="s">
        <v>360</v>
      </c>
      <c r="C41" s="4" t="s">
        <v>10</v>
      </c>
      <c r="D41" s="1">
        <f>8*1.275</f>
        <v>10.199999999999999</v>
      </c>
      <c r="E41" s="72">
        <v>10.199999999999999</v>
      </c>
      <c r="F41" s="43">
        <f t="shared" si="0"/>
        <v>0</v>
      </c>
    </row>
    <row r="42" spans="1:6" x14ac:dyDescent="0.35">
      <c r="A42" s="2"/>
      <c r="B42" s="3" t="s">
        <v>361</v>
      </c>
      <c r="C42" s="4" t="s">
        <v>190</v>
      </c>
      <c r="D42" s="1">
        <f>20*1.275</f>
        <v>25.5</v>
      </c>
      <c r="E42" s="72">
        <v>25.5</v>
      </c>
      <c r="F42" s="43">
        <f t="shared" si="0"/>
        <v>0</v>
      </c>
    </row>
    <row r="43" spans="1:6" x14ac:dyDescent="0.35">
      <c r="A43" s="2"/>
      <c r="B43" s="3" t="s">
        <v>432</v>
      </c>
      <c r="C43" s="4" t="s">
        <v>192</v>
      </c>
      <c r="D43" s="1">
        <f>20*1.275</f>
        <v>25.5</v>
      </c>
    </row>
  </sheetData>
  <autoFilter ref="A2:D43" xr:uid="{B4D7DAFB-4559-4004-B994-70EB8A32821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ფართები</vt:lpstr>
      <vt:lpstr>ბიუჯეტი</vt:lpstr>
      <vt:lpstr>სამუშაო</vt:lpstr>
      <vt:lpstr>მასალა</vt:lpstr>
      <vt:lpstr>მომსახურება</vt:lpstr>
      <vt:lpstr>ხელფასი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2026-01-22T13:00:06Z</dcterms:modified>
</cp:coreProperties>
</file>
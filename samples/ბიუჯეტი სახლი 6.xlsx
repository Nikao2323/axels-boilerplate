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A6027D4-C4FF-48A8-B825-87CD4AA82D3D}" xr6:coauthVersionLast="47" xr6:coauthVersionMax="47" xr10:uidLastSave="{00000000-0000-0000-0000-000000000000}"/>
  <bookViews>
    <workbookView xWindow="6740" yWindow="3060" windowWidth="19200" windowHeight="11170" activeTab="1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</sheets>
  <externalReferences>
    <externalReference r:id="rId4"/>
  </externalReferences>
  <definedNames>
    <definedName name="_xlnm._FilterDatabase" localSheetId="1" hidden="1">ბიუჯეტი!$A$59:$K$481</definedName>
    <definedName name="_xlnm.Print_Area" localSheetId="0">ფართები!#REF!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8" i="12" l="1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400" i="12"/>
  <c r="T401" i="12"/>
  <c r="T402" i="12"/>
  <c r="T403" i="12"/>
  <c r="T404" i="12"/>
  <c r="T405" i="12"/>
  <c r="T406" i="12"/>
  <c r="T407" i="12"/>
  <c r="T408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421" i="12"/>
  <c r="T422" i="12"/>
  <c r="T423" i="12"/>
  <c r="T424" i="12"/>
  <c r="T425" i="12"/>
  <c r="T426" i="12"/>
  <c r="T427" i="12"/>
  <c r="T428" i="12"/>
  <c r="T429" i="12"/>
  <c r="T430" i="12"/>
  <c r="T431" i="12"/>
  <c r="T432" i="12"/>
  <c r="T433" i="12"/>
  <c r="T434" i="12"/>
  <c r="T435" i="12"/>
  <c r="T436" i="12"/>
  <c r="T437" i="12"/>
  <c r="T438" i="12"/>
  <c r="T439" i="12"/>
  <c r="T440" i="12"/>
  <c r="T441" i="12"/>
  <c r="T442" i="12"/>
  <c r="T443" i="12"/>
  <c r="T444" i="12"/>
  <c r="T445" i="12"/>
  <c r="T446" i="12"/>
  <c r="T447" i="12"/>
  <c r="T448" i="12"/>
  <c r="T449" i="12"/>
  <c r="T450" i="12"/>
  <c r="T451" i="12"/>
  <c r="T452" i="12"/>
  <c r="T453" i="12"/>
  <c r="T454" i="12"/>
  <c r="T455" i="12"/>
  <c r="T456" i="12"/>
  <c r="T457" i="12"/>
  <c r="T458" i="12"/>
  <c r="T459" i="12"/>
  <c r="T460" i="12"/>
  <c r="T461" i="12"/>
  <c r="T462" i="12"/>
  <c r="T463" i="12"/>
  <c r="T464" i="12"/>
  <c r="T465" i="12"/>
  <c r="T466" i="12"/>
  <c r="T467" i="12"/>
  <c r="T468" i="12"/>
  <c r="T469" i="12"/>
  <c r="T470" i="12"/>
  <c r="T471" i="12"/>
  <c r="T472" i="12"/>
  <c r="T60" i="12"/>
  <c r="S88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60" i="12"/>
  <c r="I45" i="12" l="1"/>
  <c r="I472" i="12"/>
  <c r="C8" i="3"/>
  <c r="C9" i="3"/>
  <c r="C11" i="3"/>
  <c r="C10" i="3"/>
  <c r="I14" i="12"/>
  <c r="D10" i="12"/>
  <c r="D11" i="12"/>
  <c r="D39" i="12" s="1"/>
  <c r="D12" i="12"/>
  <c r="D13" i="12"/>
  <c r="H13" i="12" s="1"/>
  <c r="G84" i="12"/>
  <c r="E84" i="12"/>
  <c r="F84" i="12" s="1"/>
  <c r="H84" i="12"/>
  <c r="G83" i="12"/>
  <c r="D80" i="12"/>
  <c r="D81" i="12" s="1"/>
  <c r="H81" i="12" s="1"/>
  <c r="H82" i="12"/>
  <c r="E82" i="12"/>
  <c r="F82" i="12" s="1"/>
  <c r="E81" i="12"/>
  <c r="G80" i="12"/>
  <c r="D71" i="12"/>
  <c r="H73" i="12"/>
  <c r="E73" i="12"/>
  <c r="F73" i="12" s="1"/>
  <c r="E72" i="12"/>
  <c r="G71" i="12"/>
  <c r="D257" i="12"/>
  <c r="G345" i="12"/>
  <c r="G334" i="12"/>
  <c r="G322" i="12"/>
  <c r="G311" i="12"/>
  <c r="E164" i="12"/>
  <c r="E163" i="12"/>
  <c r="D163" i="12"/>
  <c r="D164" i="12" s="1"/>
  <c r="G162" i="12"/>
  <c r="H162" i="12" s="1"/>
  <c r="F162" i="12"/>
  <c r="G412" i="12"/>
  <c r="G414" i="12"/>
  <c r="G409" i="12"/>
  <c r="G422" i="12"/>
  <c r="G427" i="12"/>
  <c r="G417" i="12"/>
  <c r="G410" i="12"/>
  <c r="D412" i="12"/>
  <c r="G416" i="12"/>
  <c r="D416" i="12"/>
  <c r="G389" i="12"/>
  <c r="G387" i="12"/>
  <c r="G385" i="12"/>
  <c r="G442" i="12"/>
  <c r="G439" i="12"/>
  <c r="G436" i="12"/>
  <c r="G456" i="12"/>
  <c r="G453" i="12"/>
  <c r="G390" i="12"/>
  <c r="E39" i="12"/>
  <c r="E33" i="12"/>
  <c r="D33" i="12"/>
  <c r="D37" i="12"/>
  <c r="E35" i="12"/>
  <c r="D35" i="12"/>
  <c r="F35" i="12" s="1"/>
  <c r="G35" i="12"/>
  <c r="E45" i="12"/>
  <c r="E472" i="12"/>
  <c r="I463" i="12"/>
  <c r="E430" i="12"/>
  <c r="E429" i="12"/>
  <c r="E428" i="12"/>
  <c r="E418" i="12"/>
  <c r="D428" i="12"/>
  <c r="E411" i="12"/>
  <c r="E413" i="12"/>
  <c r="E415" i="12"/>
  <c r="D415" i="12"/>
  <c r="E386" i="12"/>
  <c r="E388" i="12"/>
  <c r="I383" i="12"/>
  <c r="I382" i="12"/>
  <c r="D334" i="12"/>
  <c r="D335" i="12" s="1"/>
  <c r="E316" i="12"/>
  <c r="E327" i="12"/>
  <c r="F13" i="12" l="1"/>
  <c r="J13" i="12"/>
  <c r="K84" i="12"/>
  <c r="F80" i="12"/>
  <c r="H80" i="12"/>
  <c r="K82" i="12"/>
  <c r="F81" i="12"/>
  <c r="K81" i="12" s="1"/>
  <c r="H71" i="12"/>
  <c r="K73" i="12"/>
  <c r="D72" i="12"/>
  <c r="H72" i="12" s="1"/>
  <c r="F71" i="12"/>
  <c r="K162" i="12"/>
  <c r="H164" i="12"/>
  <c r="F164" i="12"/>
  <c r="F163" i="12"/>
  <c r="H163" i="12"/>
  <c r="J35" i="12"/>
  <c r="H35" i="12"/>
  <c r="F72" i="12" l="1"/>
  <c r="K35" i="12"/>
  <c r="K13" i="12"/>
  <c r="K72" i="12"/>
  <c r="K80" i="12"/>
  <c r="K71" i="12"/>
  <c r="K164" i="12"/>
  <c r="K163" i="12"/>
  <c r="D294" i="12"/>
  <c r="D196" i="12"/>
  <c r="D195" i="12"/>
  <c r="D194" i="12"/>
  <c r="D190" i="12"/>
  <c r="D187" i="12"/>
  <c r="G179" i="12"/>
  <c r="G175" i="12"/>
  <c r="G171" i="12"/>
  <c r="I165" i="12"/>
  <c r="D108" i="12"/>
  <c r="D102" i="12"/>
  <c r="I90" i="12"/>
  <c r="D90" i="12"/>
  <c r="F72" i="13"/>
  <c r="F71" i="13"/>
  <c r="E72" i="13"/>
  <c r="E71" i="13"/>
  <c r="D72" i="13"/>
  <c r="D71" i="13"/>
  <c r="D70" i="13"/>
  <c r="E70" i="13"/>
  <c r="E79" i="13" s="1"/>
  <c r="D63" i="13"/>
  <c r="D62" i="13"/>
  <c r="E63" i="13"/>
  <c r="E62" i="13"/>
  <c r="D61" i="13"/>
  <c r="E61" i="13"/>
  <c r="E45" i="13"/>
  <c r="F45" i="13" s="1"/>
  <c r="E44" i="13"/>
  <c r="F44" i="13" s="1"/>
  <c r="D45" i="13"/>
  <c r="D44" i="13"/>
  <c r="E43" i="13"/>
  <c r="F43" i="13" s="1"/>
  <c r="D43" i="13"/>
  <c r="G43" i="13"/>
  <c r="G36" i="13"/>
  <c r="G35" i="13"/>
  <c r="F36" i="13"/>
  <c r="F34" i="13"/>
  <c r="F35" i="13"/>
  <c r="E36" i="13"/>
  <c r="E35" i="13"/>
  <c r="D36" i="13"/>
  <c r="D35" i="13"/>
  <c r="G34" i="13"/>
  <c r="E34" i="13"/>
  <c r="F33" i="13"/>
  <c r="H33" i="13"/>
  <c r="D24" i="13"/>
  <c r="D23" i="13"/>
  <c r="F26" i="13"/>
  <c r="F24" i="13"/>
  <c r="F25" i="13"/>
  <c r="D14" i="13"/>
  <c r="F27" i="13"/>
  <c r="E26" i="13"/>
  <c r="E25" i="13"/>
  <c r="E24" i="13"/>
  <c r="D27" i="13"/>
  <c r="D16" i="13"/>
  <c r="D15" i="13"/>
  <c r="E7" i="13"/>
  <c r="E6" i="13"/>
  <c r="D7" i="13"/>
  <c r="D6" i="13"/>
  <c r="F5" i="13"/>
  <c r="E5" i="13"/>
  <c r="D5" i="13"/>
  <c r="F4" i="13"/>
  <c r="I4" i="13" s="1"/>
  <c r="D61" i="12" s="1"/>
  <c r="E65" i="12"/>
  <c r="F65" i="12" s="1"/>
  <c r="E64" i="12"/>
  <c r="D63" i="12"/>
  <c r="D64" i="12" s="1"/>
  <c r="G63" i="12"/>
  <c r="H65" i="12"/>
  <c r="K65" i="12" l="1"/>
  <c r="F64" i="12"/>
  <c r="H64" i="12"/>
  <c r="K64" i="12" l="1"/>
  <c r="G471" i="12"/>
  <c r="G41" i="12"/>
  <c r="E44" i="12"/>
  <c r="E43" i="12"/>
  <c r="E42" i="12"/>
  <c r="D40" i="12"/>
  <c r="D41" i="12" s="1"/>
  <c r="D43" i="12" s="1"/>
  <c r="J41" i="12" l="1"/>
  <c r="H41" i="12"/>
  <c r="F41" i="12"/>
  <c r="D44" i="12"/>
  <c r="D42" i="12"/>
  <c r="J40" i="12"/>
  <c r="E37" i="12"/>
  <c r="E36" i="12"/>
  <c r="F36" i="12" s="1"/>
  <c r="I39" i="12"/>
  <c r="H39" i="12"/>
  <c r="E38" i="12"/>
  <c r="H37" i="12"/>
  <c r="H36" i="12"/>
  <c r="J34" i="12"/>
  <c r="G34" i="12"/>
  <c r="H34" i="12" s="1"/>
  <c r="E34" i="12"/>
  <c r="F34" i="12" s="1"/>
  <c r="H33" i="12"/>
  <c r="H32" i="12"/>
  <c r="E32" i="12"/>
  <c r="F32" i="12" s="1"/>
  <c r="G31" i="12"/>
  <c r="G46" i="12"/>
  <c r="K34" i="12" l="1"/>
  <c r="K32" i="12"/>
  <c r="K41" i="12"/>
  <c r="K36" i="12"/>
  <c r="J39" i="12"/>
  <c r="F39" i="12"/>
  <c r="H42" i="12"/>
  <c r="F42" i="12"/>
  <c r="H43" i="12"/>
  <c r="F43" i="12"/>
  <c r="H44" i="12"/>
  <c r="F44" i="12"/>
  <c r="F37" i="12"/>
  <c r="K37" i="12" s="1"/>
  <c r="F33" i="12"/>
  <c r="K33" i="12" s="1"/>
  <c r="K43" i="12" l="1"/>
  <c r="K39" i="12"/>
  <c r="G40" i="12"/>
  <c r="H40" i="12" s="1"/>
  <c r="E40" i="12"/>
  <c r="F40" i="12" s="1"/>
  <c r="K44" i="12"/>
  <c r="K42" i="12"/>
  <c r="K40" i="12" l="1"/>
  <c r="E457" i="12" l="1"/>
  <c r="E454" i="12"/>
  <c r="E399" i="12"/>
  <c r="E400" i="12"/>
  <c r="E394" i="12"/>
  <c r="E393" i="12"/>
  <c r="E420" i="12"/>
  <c r="E401" i="12"/>
  <c r="E395" i="12"/>
  <c r="E298" i="12"/>
  <c r="E295" i="12"/>
  <c r="E292" i="12"/>
  <c r="E287" i="12"/>
  <c r="E283" i="12"/>
  <c r="E280" i="12"/>
  <c r="E275" i="12"/>
  <c r="E271" i="12"/>
  <c r="E260" i="12"/>
  <c r="E259" i="12"/>
  <c r="E225" i="12"/>
  <c r="E219" i="12"/>
  <c r="E222" i="12"/>
  <c r="E215" i="12"/>
  <c r="E212" i="12"/>
  <c r="E209" i="12"/>
  <c r="E267" i="12"/>
  <c r="E288" i="12"/>
  <c r="E180" i="12"/>
  <c r="E176" i="12"/>
  <c r="E168" i="12"/>
  <c r="E172" i="12"/>
  <c r="E326" i="12" l="1"/>
  <c r="E315" i="12"/>
  <c r="E325" i="12"/>
  <c r="E314" i="12"/>
  <c r="E136" i="12"/>
  <c r="E131" i="12"/>
  <c r="E308" i="12"/>
  <c r="E305" i="12"/>
  <c r="E302" i="12"/>
  <c r="E253" i="12"/>
  <c r="E248" i="12"/>
  <c r="E243" i="12"/>
  <c r="E237" i="12"/>
  <c r="E231" i="12"/>
  <c r="E205" i="12"/>
  <c r="E202" i="12"/>
  <c r="E199" i="12"/>
  <c r="E191" i="12"/>
  <c r="E188" i="12"/>
  <c r="E185" i="12"/>
  <c r="E137" i="12"/>
  <c r="E132" i="12"/>
  <c r="E127" i="12"/>
  <c r="E123" i="12"/>
  <c r="E119" i="12"/>
  <c r="E113" i="12"/>
  <c r="E107" i="12"/>
  <c r="E101" i="12"/>
  <c r="E95" i="12"/>
  <c r="E85" i="12"/>
  <c r="E75" i="12"/>
  <c r="E66" i="12"/>
  <c r="E309" i="12"/>
  <c r="E306" i="12"/>
  <c r="E303" i="12"/>
  <c r="E120" i="12"/>
  <c r="E186" i="12"/>
  <c r="E128" i="12"/>
  <c r="E124" i="12"/>
  <c r="E114" i="12"/>
  <c r="E97" i="12"/>
  <c r="G470" i="12" l="1"/>
  <c r="H156" i="12"/>
  <c r="H157" i="12"/>
  <c r="H159" i="12"/>
  <c r="H146" i="12"/>
  <c r="H147" i="12"/>
  <c r="H148" i="12"/>
  <c r="H149" i="12"/>
  <c r="E160" i="12"/>
  <c r="E159" i="12"/>
  <c r="F159" i="12" s="1"/>
  <c r="E158" i="12"/>
  <c r="E157" i="12"/>
  <c r="F157" i="12" s="1"/>
  <c r="E156" i="12"/>
  <c r="F156" i="12" s="1"/>
  <c r="E155" i="12"/>
  <c r="E154" i="12"/>
  <c r="E153" i="12"/>
  <c r="E152" i="12"/>
  <c r="E150" i="12"/>
  <c r="E149" i="12"/>
  <c r="F149" i="12" s="1"/>
  <c r="E148" i="12"/>
  <c r="F148" i="12" s="1"/>
  <c r="E147" i="12"/>
  <c r="F147" i="12" s="1"/>
  <c r="E146" i="12"/>
  <c r="F146" i="12" s="1"/>
  <c r="E145" i="12"/>
  <c r="E144" i="12"/>
  <c r="E143" i="12"/>
  <c r="E142" i="12"/>
  <c r="E461" i="12"/>
  <c r="G452" i="12"/>
  <c r="D432" i="12"/>
  <c r="G433" i="12"/>
  <c r="D409" i="12"/>
  <c r="E408" i="12"/>
  <c r="E406" i="12"/>
  <c r="D398" i="12"/>
  <c r="I381" i="12"/>
  <c r="D380" i="12"/>
  <c r="G258" i="12"/>
  <c r="H258" i="12" s="1"/>
  <c r="F258" i="12"/>
  <c r="E268" i="12"/>
  <c r="D268" i="12"/>
  <c r="F267" i="12"/>
  <c r="H266" i="12"/>
  <c r="E266" i="12"/>
  <c r="F266" i="12" s="1"/>
  <c r="H265" i="12"/>
  <c r="E265" i="12"/>
  <c r="F265" i="12" s="1"/>
  <c r="E264" i="12"/>
  <c r="E263" i="12"/>
  <c r="D263" i="12"/>
  <c r="D264" i="12" s="1"/>
  <c r="E262" i="12"/>
  <c r="E261" i="12"/>
  <c r="D260" i="12"/>
  <c r="D261" i="12" s="1"/>
  <c r="D259" i="12"/>
  <c r="D394" i="12" l="1"/>
  <c r="D396" i="12"/>
  <c r="D395" i="12"/>
  <c r="D393" i="12"/>
  <c r="D402" i="12"/>
  <c r="D401" i="12"/>
  <c r="D400" i="12"/>
  <c r="D399" i="12"/>
  <c r="K149" i="12"/>
  <c r="K148" i="12"/>
  <c r="K159" i="12"/>
  <c r="K156" i="12"/>
  <c r="K157" i="12"/>
  <c r="K147" i="12"/>
  <c r="K146" i="12"/>
  <c r="F268" i="12"/>
  <c r="K268" i="12" s="1"/>
  <c r="K266" i="12"/>
  <c r="K265" i="12"/>
  <c r="K258" i="12"/>
  <c r="K267" i="12"/>
  <c r="F259" i="12"/>
  <c r="K259" i="12" s="1"/>
  <c r="D262" i="12"/>
  <c r="H262" i="12" s="1"/>
  <c r="H261" i="12"/>
  <c r="F261" i="12"/>
  <c r="H264" i="12"/>
  <c r="F264" i="12"/>
  <c r="F263" i="12"/>
  <c r="F260" i="12"/>
  <c r="H263" i="12"/>
  <c r="H260" i="12"/>
  <c r="K264" i="12" l="1"/>
  <c r="F262" i="12"/>
  <c r="K262" i="12" s="1"/>
  <c r="K261" i="12"/>
  <c r="K260" i="12"/>
  <c r="K263" i="12"/>
  <c r="D379" i="12" l="1"/>
  <c r="D378" i="12"/>
  <c r="I376" i="12"/>
  <c r="I375" i="12"/>
  <c r="I373" i="12"/>
  <c r="I372" i="12"/>
  <c r="D369" i="12"/>
  <c r="I367" i="12"/>
  <c r="I370" i="12"/>
  <c r="I369" i="12"/>
  <c r="I368" i="12"/>
  <c r="D370" i="12"/>
  <c r="I362" i="12"/>
  <c r="I361" i="12"/>
  <c r="I359" i="12"/>
  <c r="I358" i="12"/>
  <c r="I357" i="12"/>
  <c r="D359" i="12"/>
  <c r="D358" i="12"/>
  <c r="E90" i="13"/>
  <c r="E89" i="13"/>
  <c r="E88" i="13"/>
  <c r="D345" i="12" s="1"/>
  <c r="D346" i="12" s="1"/>
  <c r="I307" i="12" l="1"/>
  <c r="I304" i="12"/>
  <c r="I301" i="12"/>
  <c r="G270" i="12"/>
  <c r="G274" i="12"/>
  <c r="G241" i="12"/>
  <c r="G246" i="12"/>
  <c r="G251" i="12"/>
  <c r="G234" i="12"/>
  <c r="G230" i="12"/>
  <c r="G228" i="12"/>
  <c r="D236" i="12"/>
  <c r="D230" i="12"/>
  <c r="G236" i="12"/>
  <c r="E236" i="12"/>
  <c r="E230" i="12"/>
  <c r="G208" i="12"/>
  <c r="G204" i="12"/>
  <c r="G201" i="12"/>
  <c r="G198" i="12"/>
  <c r="G184" i="12"/>
  <c r="G187" i="12"/>
  <c r="G190" i="12"/>
  <c r="G167" i="12"/>
  <c r="H26" i="13"/>
  <c r="H25" i="13"/>
  <c r="H24" i="13"/>
  <c r="D175" i="12" s="1"/>
  <c r="H23" i="13"/>
  <c r="D171" i="12" s="1"/>
  <c r="H236" i="12" l="1"/>
  <c r="H230" i="12"/>
  <c r="F230" i="12"/>
  <c r="D183" i="12"/>
  <c r="F236" i="12"/>
  <c r="D165" i="12"/>
  <c r="G161" i="12"/>
  <c r="D161" i="12"/>
  <c r="G135" i="12"/>
  <c r="G130" i="12"/>
  <c r="G45" i="13"/>
  <c r="G44" i="13"/>
  <c r="D135" i="12"/>
  <c r="D130" i="12"/>
  <c r="G111" i="12"/>
  <c r="G105" i="12"/>
  <c r="G99" i="12"/>
  <c r="G93" i="12"/>
  <c r="D125" i="12"/>
  <c r="I27" i="13"/>
  <c r="D121" i="12"/>
  <c r="D117" i="12"/>
  <c r="G108" i="12"/>
  <c r="G102" i="12"/>
  <c r="G96" i="12"/>
  <c r="D111" i="12"/>
  <c r="D105" i="12"/>
  <c r="I91" i="12"/>
  <c r="I89" i="12"/>
  <c r="G78" i="12"/>
  <c r="G69" i="12"/>
  <c r="G61" i="12"/>
  <c r="D99" i="12"/>
  <c r="I22" i="13"/>
  <c r="D93" i="12" s="1"/>
  <c r="H36" i="13"/>
  <c r="H35" i="13"/>
  <c r="H34" i="13"/>
  <c r="D228" i="12"/>
  <c r="D246" i="12"/>
  <c r="K236" i="12" l="1"/>
  <c r="K230" i="12"/>
  <c r="D251" i="12"/>
  <c r="D234" i="12"/>
  <c r="D227" i="12" s="1"/>
  <c r="J14" i="12"/>
  <c r="J10" i="12"/>
  <c r="J11" i="12"/>
  <c r="J12" i="12"/>
  <c r="D9" i="12"/>
  <c r="H14" i="12"/>
  <c r="F14" i="12"/>
  <c r="F12" i="12"/>
  <c r="H11" i="12"/>
  <c r="F11" i="12"/>
  <c r="C7" i="3"/>
  <c r="D372" i="12"/>
  <c r="D361" i="12"/>
  <c r="D362" i="12"/>
  <c r="D360" i="12" l="1"/>
  <c r="D373" i="12"/>
  <c r="K14" i="12"/>
  <c r="K11" i="12"/>
  <c r="H10" i="12"/>
  <c r="K10" i="12" s="1"/>
  <c r="H12" i="12"/>
  <c r="K12" i="12" s="1"/>
  <c r="J9" i="12"/>
  <c r="J15" i="12" s="1"/>
  <c r="D90" i="13"/>
  <c r="D89" i="13"/>
  <c r="D88" i="13"/>
  <c r="D322" i="12" s="1"/>
  <c r="D311" i="12"/>
  <c r="D312" i="12" s="1"/>
  <c r="E82" i="13"/>
  <c r="D310" i="12" l="1"/>
  <c r="H9" i="12"/>
  <c r="H15" i="12" s="1"/>
  <c r="D282" i="12"/>
  <c r="E81" i="13"/>
  <c r="E80" i="13"/>
  <c r="D211" i="12"/>
  <c r="D221" i="12" s="1"/>
  <c r="D222" i="12" s="1"/>
  <c r="I13" i="13"/>
  <c r="D201" i="12"/>
  <c r="I26" i="13"/>
  <c r="I25" i="13"/>
  <c r="I16" i="13"/>
  <c r="I15" i="13"/>
  <c r="I14" i="13"/>
  <c r="F7" i="13"/>
  <c r="F6" i="13"/>
  <c r="J91" i="13"/>
  <c r="I90" i="13"/>
  <c r="I89" i="13"/>
  <c r="I88" i="13"/>
  <c r="I87" i="13"/>
  <c r="J82" i="13"/>
  <c r="J73" i="13"/>
  <c r="J64" i="13"/>
  <c r="I63" i="13"/>
  <c r="I62" i="13"/>
  <c r="I61" i="13"/>
  <c r="I60" i="13"/>
  <c r="J55" i="13"/>
  <c r="I54" i="13"/>
  <c r="I53" i="13"/>
  <c r="I52" i="13"/>
  <c r="I51" i="13"/>
  <c r="J46" i="13"/>
  <c r="J37" i="13"/>
  <c r="I36" i="13"/>
  <c r="I35" i="13"/>
  <c r="I34" i="13"/>
  <c r="I33" i="13"/>
  <c r="J28" i="13"/>
  <c r="J17" i="13"/>
  <c r="J8" i="13"/>
  <c r="I24" i="13" l="1"/>
  <c r="D151" i="12"/>
  <c r="D158" i="12" s="1"/>
  <c r="E78" i="13"/>
  <c r="D270" i="12"/>
  <c r="D69" i="12"/>
  <c r="D286" i="12"/>
  <c r="D278" i="12" s="1"/>
  <c r="D204" i="12"/>
  <c r="D274" i="12"/>
  <c r="I23" i="13"/>
  <c r="D141" i="12"/>
  <c r="D91" i="12"/>
  <c r="D214" i="12"/>
  <c r="D224" i="12" s="1"/>
  <c r="D225" i="12" s="1"/>
  <c r="I81" i="13"/>
  <c r="I71" i="13"/>
  <c r="I80" i="13"/>
  <c r="I69" i="13"/>
  <c r="I70" i="13"/>
  <c r="I72" i="13"/>
  <c r="I43" i="13"/>
  <c r="I45" i="13"/>
  <c r="I42" i="13"/>
  <c r="I6" i="13"/>
  <c r="I5" i="13"/>
  <c r="I7" i="13"/>
  <c r="I55" i="13"/>
  <c r="I64" i="13"/>
  <c r="I44" i="13"/>
  <c r="I91" i="13"/>
  <c r="I37" i="13"/>
  <c r="D297" i="12" l="1"/>
  <c r="H158" i="12"/>
  <c r="F158" i="12"/>
  <c r="I73" i="13"/>
  <c r="I28" i="13"/>
  <c r="D78" i="12"/>
  <c r="D150" i="12"/>
  <c r="D145" i="12"/>
  <c r="D144" i="12"/>
  <c r="D143" i="12"/>
  <c r="D142" i="12"/>
  <c r="I79" i="13"/>
  <c r="I78" i="13"/>
  <c r="D304" i="12"/>
  <c r="D153" i="12"/>
  <c r="D160" i="12"/>
  <c r="D154" i="12"/>
  <c r="D152" i="12"/>
  <c r="D155" i="12"/>
  <c r="I8" i="13"/>
  <c r="I46" i="13"/>
  <c r="I17" i="13"/>
  <c r="K158" i="12" l="1"/>
  <c r="I82" i="13"/>
  <c r="D307" i="12" s="1"/>
  <c r="D308" i="12" s="1"/>
  <c r="H160" i="12"/>
  <c r="F160" i="12"/>
  <c r="F142" i="12"/>
  <c r="H142" i="12"/>
  <c r="F143" i="12"/>
  <c r="H143" i="12"/>
  <c r="H144" i="12"/>
  <c r="F144" i="12"/>
  <c r="F155" i="12"/>
  <c r="H155" i="12"/>
  <c r="F145" i="12"/>
  <c r="H145" i="12"/>
  <c r="F154" i="12"/>
  <c r="H154" i="12"/>
  <c r="F153" i="12"/>
  <c r="H153" i="12"/>
  <c r="F152" i="12"/>
  <c r="H152" i="12"/>
  <c r="H150" i="12"/>
  <c r="F150" i="12"/>
  <c r="D13" i="3"/>
  <c r="G140" i="12"/>
  <c r="K144" i="12" l="1"/>
  <c r="K142" i="12"/>
  <c r="K145" i="12"/>
  <c r="K154" i="12"/>
  <c r="K152" i="12"/>
  <c r="K150" i="12"/>
  <c r="K143" i="12"/>
  <c r="K155" i="12"/>
  <c r="K153" i="12"/>
  <c r="K160" i="12"/>
  <c r="G257" i="12"/>
  <c r="E470" i="12"/>
  <c r="E431" i="12" l="1"/>
  <c r="E426" i="12"/>
  <c r="E425" i="12"/>
  <c r="E423" i="12"/>
  <c r="H409" i="12"/>
  <c r="G407" i="12"/>
  <c r="G405" i="12"/>
  <c r="G404" i="12"/>
  <c r="G398" i="12"/>
  <c r="G392" i="12"/>
  <c r="D387" i="12"/>
  <c r="D385" i="12"/>
  <c r="D376" i="12"/>
  <c r="D375" i="12"/>
  <c r="I377" i="12"/>
  <c r="I374" i="12"/>
  <c r="I363" i="12"/>
  <c r="I364" i="12"/>
  <c r="E340" i="12"/>
  <c r="E337" i="12"/>
  <c r="E336" i="12"/>
  <c r="E332" i="12"/>
  <c r="E331" i="12"/>
  <c r="E330" i="12"/>
  <c r="E329" i="12"/>
  <c r="E328" i="12"/>
  <c r="E324" i="12"/>
  <c r="E317" i="12"/>
  <c r="E313" i="12"/>
  <c r="D289" i="12" l="1"/>
  <c r="E289" i="12"/>
  <c r="E285" i="12"/>
  <c r="D277" i="12"/>
  <c r="E277" i="12"/>
  <c r="E273" i="12"/>
  <c r="D273" i="12"/>
  <c r="E254" i="12"/>
  <c r="E249" i="12"/>
  <c r="E244" i="12"/>
  <c r="E235" i="12"/>
  <c r="E229" i="12"/>
  <c r="E238" i="12"/>
  <c r="E232" i="12"/>
  <c r="G214" i="12"/>
  <c r="G211" i="12"/>
  <c r="E178" i="12"/>
  <c r="E177" i="12"/>
  <c r="F277" i="12" l="1"/>
  <c r="K277" i="12" s="1"/>
  <c r="F289" i="12"/>
  <c r="K289" i="12" s="1"/>
  <c r="D283" i="12"/>
  <c r="D285" i="12"/>
  <c r="F285" i="12" s="1"/>
  <c r="K285" i="12" s="1"/>
  <c r="F273" i="12"/>
  <c r="K273" i="12" s="1"/>
  <c r="E206" i="12"/>
  <c r="E203" i="12"/>
  <c r="E200" i="12"/>
  <c r="E192" i="12"/>
  <c r="E189" i="12"/>
  <c r="E138" i="12"/>
  <c r="E133" i="12"/>
  <c r="E86" i="12"/>
  <c r="E76" i="12"/>
  <c r="E67" i="12"/>
  <c r="E109" i="12"/>
  <c r="E103" i="12"/>
  <c r="D107" i="12"/>
  <c r="D101" i="12"/>
  <c r="E83" i="12"/>
  <c r="D83" i="12"/>
  <c r="E74" i="12"/>
  <c r="D74" i="12"/>
  <c r="I161" i="12" l="1"/>
  <c r="I468" i="12" l="1"/>
  <c r="F468" i="12"/>
  <c r="J468" i="12" l="1"/>
  <c r="H468" i="12"/>
  <c r="I465" i="12"/>
  <c r="I464" i="12"/>
  <c r="I466" i="12"/>
  <c r="G469" i="12"/>
  <c r="E469" i="12"/>
  <c r="I462" i="12"/>
  <c r="E397" i="12"/>
  <c r="E396" i="12"/>
  <c r="K468" i="12" l="1"/>
  <c r="J368" i="12"/>
  <c r="F368" i="12"/>
  <c r="K368" i="12" l="1"/>
  <c r="D129" i="12" l="1"/>
  <c r="H96" i="12"/>
  <c r="H102" i="12"/>
  <c r="E108" i="12"/>
  <c r="E102" i="12"/>
  <c r="F102" i="12" s="1"/>
  <c r="E96" i="12"/>
  <c r="F96" i="12" s="1"/>
  <c r="K96" i="12" l="1"/>
  <c r="H108" i="12"/>
  <c r="K102" i="12"/>
  <c r="F108" i="12"/>
  <c r="K108" i="12" l="1"/>
  <c r="G74" i="12" l="1"/>
  <c r="E181" i="12" l="1"/>
  <c r="E173" i="12"/>
  <c r="E169" i="12"/>
  <c r="E299" i="12"/>
  <c r="E296" i="12"/>
  <c r="E293" i="12"/>
  <c r="E284" i="12"/>
  <c r="E281" i="12"/>
  <c r="E276" i="12"/>
  <c r="E272" i="12"/>
  <c r="G125" i="12"/>
  <c r="G121" i="12"/>
  <c r="G117" i="12"/>
  <c r="E110" i="12"/>
  <c r="E115" i="12"/>
  <c r="E104" i="12"/>
  <c r="I467" i="12" l="1"/>
  <c r="J390" i="12"/>
  <c r="D386" i="12"/>
  <c r="I379" i="12"/>
  <c r="I378" i="12"/>
  <c r="D298" i="12"/>
  <c r="D295" i="12"/>
  <c r="D292" i="12"/>
  <c r="D301" i="12"/>
  <c r="J256" i="12"/>
  <c r="J389" i="12" l="1"/>
  <c r="F179" i="12"/>
  <c r="H179" i="12"/>
  <c r="D180" i="12"/>
  <c r="D181" i="12" s="1"/>
  <c r="H181" i="12" s="1"/>
  <c r="K179" i="12" l="1"/>
  <c r="H180" i="12"/>
  <c r="F180" i="12"/>
  <c r="F181" i="12"/>
  <c r="K181" i="12" s="1"/>
  <c r="K180" i="12" l="1"/>
  <c r="J91" i="12" l="1"/>
  <c r="J90" i="12"/>
  <c r="J89" i="12"/>
  <c r="J472" i="12"/>
  <c r="H472" i="12"/>
  <c r="F472" i="12"/>
  <c r="J471" i="12"/>
  <c r="H471" i="12"/>
  <c r="F471" i="12"/>
  <c r="J470" i="12"/>
  <c r="H470" i="12"/>
  <c r="F470" i="12"/>
  <c r="J469" i="12"/>
  <c r="H469" i="12"/>
  <c r="F469" i="12"/>
  <c r="J467" i="12"/>
  <c r="H467" i="12"/>
  <c r="F467" i="12"/>
  <c r="J466" i="12"/>
  <c r="H466" i="12"/>
  <c r="F466" i="12"/>
  <c r="J465" i="12"/>
  <c r="H465" i="12"/>
  <c r="F465" i="12"/>
  <c r="J464" i="12"/>
  <c r="H464" i="12"/>
  <c r="F464" i="12"/>
  <c r="J463" i="12"/>
  <c r="K463" i="12" s="1"/>
  <c r="G463" i="12"/>
  <c r="H461" i="12"/>
  <c r="F461" i="12"/>
  <c r="H460" i="12"/>
  <c r="F460" i="12"/>
  <c r="E458" i="12"/>
  <c r="E455" i="12"/>
  <c r="D454" i="12"/>
  <c r="D455" i="12" s="1"/>
  <c r="H453" i="12"/>
  <c r="F453" i="12"/>
  <c r="E451" i="12"/>
  <c r="E450" i="12"/>
  <c r="G449" i="12"/>
  <c r="E448" i="12"/>
  <c r="D448" i="12"/>
  <c r="E447" i="12"/>
  <c r="D447" i="12"/>
  <c r="G446" i="12"/>
  <c r="H446" i="12" s="1"/>
  <c r="F446" i="12"/>
  <c r="E444" i="12"/>
  <c r="D444" i="12"/>
  <c r="E443" i="12"/>
  <c r="D443" i="12"/>
  <c r="H442" i="12"/>
  <c r="F442" i="12"/>
  <c r="E441" i="12"/>
  <c r="D441" i="12"/>
  <c r="E440" i="12"/>
  <c r="D440" i="12"/>
  <c r="H439" i="12"/>
  <c r="F439" i="12"/>
  <c r="E438" i="12"/>
  <c r="D438" i="12"/>
  <c r="E437" i="12"/>
  <c r="D437" i="12"/>
  <c r="H436" i="12"/>
  <c r="F436" i="12"/>
  <c r="E435" i="12"/>
  <c r="D435" i="12"/>
  <c r="E434" i="12"/>
  <c r="D434" i="12"/>
  <c r="H433" i="12"/>
  <c r="F433" i="12"/>
  <c r="E424" i="12"/>
  <c r="E421" i="12"/>
  <c r="E419" i="12"/>
  <c r="H417" i="12"/>
  <c r="F417" i="12"/>
  <c r="H413" i="12"/>
  <c r="H412" i="12"/>
  <c r="F412" i="12"/>
  <c r="H411" i="12"/>
  <c r="H410" i="12"/>
  <c r="F410" i="12"/>
  <c r="D406" i="12"/>
  <c r="H405" i="12"/>
  <c r="F405" i="12"/>
  <c r="E403" i="12"/>
  <c r="E402" i="12"/>
  <c r="H386" i="12"/>
  <c r="H385" i="12"/>
  <c r="F385" i="12"/>
  <c r="J383" i="12"/>
  <c r="H383" i="12"/>
  <c r="F383" i="12"/>
  <c r="J382" i="12"/>
  <c r="H382" i="12"/>
  <c r="F382" i="12"/>
  <c r="J381" i="12"/>
  <c r="H381" i="12"/>
  <c r="F381" i="12"/>
  <c r="F376" i="12"/>
  <c r="F373" i="12"/>
  <c r="J372" i="12"/>
  <c r="H372" i="12"/>
  <c r="F372" i="12"/>
  <c r="D371" i="12"/>
  <c r="J369" i="12"/>
  <c r="F369" i="12"/>
  <c r="D367" i="12"/>
  <c r="F367" i="12" s="1"/>
  <c r="I366" i="12"/>
  <c r="J366" i="12" s="1"/>
  <c r="H366" i="12"/>
  <c r="F366" i="12"/>
  <c r="I365" i="12"/>
  <c r="J365" i="12" s="1"/>
  <c r="F365" i="12"/>
  <c r="J364" i="12"/>
  <c r="H364" i="12"/>
  <c r="F364" i="12"/>
  <c r="J363" i="12"/>
  <c r="F363" i="12"/>
  <c r="F362" i="12"/>
  <c r="J358" i="12"/>
  <c r="H358" i="12"/>
  <c r="F358" i="12"/>
  <c r="J357" i="12"/>
  <c r="H357" i="12"/>
  <c r="F357" i="12"/>
  <c r="E355" i="12"/>
  <c r="E354" i="12"/>
  <c r="E353" i="12"/>
  <c r="E352" i="12"/>
  <c r="E350" i="12"/>
  <c r="E349" i="12"/>
  <c r="E348" i="12"/>
  <c r="E347" i="12"/>
  <c r="E344" i="12"/>
  <c r="E343" i="12"/>
  <c r="E342" i="12"/>
  <c r="E341" i="12"/>
  <c r="E339" i="12"/>
  <c r="E338" i="12"/>
  <c r="E321" i="12"/>
  <c r="E320" i="12"/>
  <c r="E319" i="12"/>
  <c r="E318" i="12"/>
  <c r="F301" i="12"/>
  <c r="G297" i="12"/>
  <c r="G294" i="12"/>
  <c r="G291" i="12"/>
  <c r="H291" i="12" s="1"/>
  <c r="F291" i="12"/>
  <c r="G286" i="12"/>
  <c r="G282" i="12"/>
  <c r="D284" i="12"/>
  <c r="D281" i="12"/>
  <c r="D280" i="12"/>
  <c r="G279" i="12"/>
  <c r="H279" i="12" s="1"/>
  <c r="F279" i="12"/>
  <c r="D272" i="12"/>
  <c r="D271" i="12"/>
  <c r="H270" i="12"/>
  <c r="F270" i="12"/>
  <c r="H257" i="12"/>
  <c r="G256" i="12" s="1"/>
  <c r="F257" i="12"/>
  <c r="E255" i="12"/>
  <c r="E252" i="12"/>
  <c r="E250" i="12"/>
  <c r="E247" i="12"/>
  <c r="D247" i="12"/>
  <c r="E245" i="12"/>
  <c r="E242" i="12"/>
  <c r="D242" i="12"/>
  <c r="E239" i="12"/>
  <c r="D235" i="12"/>
  <c r="E233" i="12"/>
  <c r="D233" i="12"/>
  <c r="H233" i="12" s="1"/>
  <c r="D231" i="12"/>
  <c r="D232" i="12" s="1"/>
  <c r="H232" i="12" s="1"/>
  <c r="D229" i="12"/>
  <c r="H228" i="12"/>
  <c r="F228" i="12"/>
  <c r="E226" i="12"/>
  <c r="G224" i="12"/>
  <c r="E223" i="12"/>
  <c r="G221" i="12"/>
  <c r="E220" i="12"/>
  <c r="G218" i="12"/>
  <c r="D218" i="12"/>
  <c r="E216" i="12"/>
  <c r="D226" i="12"/>
  <c r="H226" i="12" s="1"/>
  <c r="E213" i="12"/>
  <c r="E210" i="12"/>
  <c r="D210" i="12"/>
  <c r="H210" i="12" s="1"/>
  <c r="D209" i="12"/>
  <c r="H209" i="12" s="1"/>
  <c r="H208" i="12"/>
  <c r="F208" i="12"/>
  <c r="D207" i="12"/>
  <c r="D205" i="12"/>
  <c r="D202" i="12"/>
  <c r="D199" i="12"/>
  <c r="H198" i="12"/>
  <c r="F198" i="12"/>
  <c r="I196" i="12"/>
  <c r="F196" i="12"/>
  <c r="I195" i="12"/>
  <c r="I194" i="12"/>
  <c r="F194" i="12"/>
  <c r="I193" i="12"/>
  <c r="D191" i="12"/>
  <c r="D192" i="12" s="1"/>
  <c r="D188" i="12"/>
  <c r="E182" i="12"/>
  <c r="D182" i="12"/>
  <c r="H182" i="12" s="1"/>
  <c r="D176" i="12"/>
  <c r="E174" i="12"/>
  <c r="D172" i="12"/>
  <c r="E170" i="12"/>
  <c r="D170" i="12"/>
  <c r="H170" i="12" s="1"/>
  <c r="H167" i="12"/>
  <c r="F167" i="12"/>
  <c r="D166" i="12"/>
  <c r="J161" i="12"/>
  <c r="I140" i="12"/>
  <c r="E139" i="12"/>
  <c r="D139" i="12"/>
  <c r="F135" i="12"/>
  <c r="E134" i="12"/>
  <c r="D134" i="12"/>
  <c r="H134" i="12" s="1"/>
  <c r="E126" i="12"/>
  <c r="E122" i="12"/>
  <c r="E118" i="12"/>
  <c r="G116" i="12"/>
  <c r="E112" i="12"/>
  <c r="D112" i="12"/>
  <c r="H112" i="12" s="1"/>
  <c r="E106" i="12"/>
  <c r="H107" i="12"/>
  <c r="E100" i="12"/>
  <c r="H99" i="12"/>
  <c r="E98" i="12"/>
  <c r="D98" i="12"/>
  <c r="H98" i="12" s="1"/>
  <c r="D95" i="12"/>
  <c r="H95" i="12" s="1"/>
  <c r="E94" i="12"/>
  <c r="D94" i="12"/>
  <c r="H94" i="12" s="1"/>
  <c r="H93" i="12"/>
  <c r="F93" i="12"/>
  <c r="F90" i="12"/>
  <c r="H89" i="12"/>
  <c r="D88" i="12"/>
  <c r="E87" i="12"/>
  <c r="E79" i="12"/>
  <c r="E77" i="12"/>
  <c r="E70" i="12"/>
  <c r="E68" i="12"/>
  <c r="E62" i="12"/>
  <c r="I380" i="12" l="1"/>
  <c r="J380" i="12" s="1"/>
  <c r="K380" i="12" s="1"/>
  <c r="G432" i="12"/>
  <c r="H432" i="12" s="1"/>
  <c r="D340" i="12"/>
  <c r="H340" i="12" s="1"/>
  <c r="D336" i="12"/>
  <c r="I88" i="12"/>
  <c r="J88" i="12" s="1"/>
  <c r="F284" i="12"/>
  <c r="K284" i="12" s="1"/>
  <c r="J459" i="12"/>
  <c r="F402" i="12"/>
  <c r="K402" i="12" s="1"/>
  <c r="K410" i="12"/>
  <c r="H256" i="12"/>
  <c r="H218" i="12"/>
  <c r="D215" i="12"/>
  <c r="H215" i="12" s="1"/>
  <c r="F235" i="12"/>
  <c r="K235" i="12" s="1"/>
  <c r="F406" i="12"/>
  <c r="K406" i="12" s="1"/>
  <c r="K470" i="12"/>
  <c r="D374" i="12"/>
  <c r="J374" i="12" s="1"/>
  <c r="F226" i="12"/>
  <c r="K226" i="12" s="1"/>
  <c r="F334" i="12"/>
  <c r="K365" i="12"/>
  <c r="F242" i="12"/>
  <c r="K242" i="12" s="1"/>
  <c r="F424" i="12"/>
  <c r="K424" i="12" s="1"/>
  <c r="D92" i="12"/>
  <c r="H286" i="12"/>
  <c r="F130" i="12"/>
  <c r="H387" i="12"/>
  <c r="F418" i="12"/>
  <c r="K418" i="12" s="1"/>
  <c r="F420" i="12"/>
  <c r="K420" i="12" s="1"/>
  <c r="F455" i="12"/>
  <c r="K455" i="12" s="1"/>
  <c r="K208" i="12"/>
  <c r="J301" i="12"/>
  <c r="K270" i="12"/>
  <c r="H311" i="12"/>
  <c r="K228" i="12"/>
  <c r="D290" i="12"/>
  <c r="F434" i="12"/>
  <c r="K434" i="12" s="1"/>
  <c r="F438" i="12"/>
  <c r="K438" i="12" s="1"/>
  <c r="K465" i="12"/>
  <c r="F63" i="12"/>
  <c r="H74" i="12"/>
  <c r="D132" i="12"/>
  <c r="H132" i="12" s="1"/>
  <c r="F214" i="12"/>
  <c r="D216" i="12"/>
  <c r="H216" i="12" s="1"/>
  <c r="H190" i="12"/>
  <c r="F311" i="12"/>
  <c r="K436" i="12"/>
  <c r="F440" i="12"/>
  <c r="K440" i="12" s="1"/>
  <c r="K167" i="12"/>
  <c r="H214" i="12"/>
  <c r="H373" i="12"/>
  <c r="H422" i="12"/>
  <c r="F443" i="12"/>
  <c r="K443" i="12" s="1"/>
  <c r="H449" i="12"/>
  <c r="F94" i="12"/>
  <c r="K94" i="12" s="1"/>
  <c r="H111" i="12"/>
  <c r="H130" i="12"/>
  <c r="F175" i="12"/>
  <c r="D178" i="12"/>
  <c r="H178" i="12" s="1"/>
  <c r="F210" i="12"/>
  <c r="K210" i="12" s="1"/>
  <c r="F229" i="12"/>
  <c r="K229" i="12" s="1"/>
  <c r="F234" i="12"/>
  <c r="D237" i="12"/>
  <c r="D238" i="12" s="1"/>
  <c r="D239" i="12"/>
  <c r="H239" i="12" s="1"/>
  <c r="F241" i="12"/>
  <c r="D243" i="12"/>
  <c r="D244" i="12" s="1"/>
  <c r="D245" i="12"/>
  <c r="F245" i="12" s="1"/>
  <c r="K245" i="12" s="1"/>
  <c r="K257" i="12"/>
  <c r="H297" i="12"/>
  <c r="K357" i="12"/>
  <c r="K369" i="12"/>
  <c r="F398" i="12"/>
  <c r="F401" i="12"/>
  <c r="K401" i="12" s="1"/>
  <c r="F414" i="12"/>
  <c r="K417" i="12"/>
  <c r="F429" i="12"/>
  <c r="K429" i="12" s="1"/>
  <c r="K446" i="12"/>
  <c r="F454" i="12"/>
  <c r="K454" i="12" s="1"/>
  <c r="K460" i="12"/>
  <c r="K464" i="12"/>
  <c r="F74" i="12"/>
  <c r="D131" i="12"/>
  <c r="H131" i="12" s="1"/>
  <c r="H175" i="12"/>
  <c r="J194" i="12"/>
  <c r="K194" i="12" s="1"/>
  <c r="J196" i="12"/>
  <c r="K196" i="12" s="1"/>
  <c r="F232" i="12"/>
  <c r="K232" i="12" s="1"/>
  <c r="F233" i="12"/>
  <c r="K233" i="12" s="1"/>
  <c r="H234" i="12"/>
  <c r="H241" i="12"/>
  <c r="K364" i="12"/>
  <c r="J375" i="12"/>
  <c r="J379" i="12"/>
  <c r="K383" i="12"/>
  <c r="H398" i="12"/>
  <c r="H414" i="12"/>
  <c r="F425" i="12"/>
  <c r="K425" i="12" s="1"/>
  <c r="F447" i="12"/>
  <c r="K447" i="12" s="1"/>
  <c r="D451" i="12"/>
  <c r="F451" i="12" s="1"/>
  <c r="K451" i="12" s="1"/>
  <c r="F187" i="12"/>
  <c r="F209" i="12"/>
  <c r="K209" i="12" s="1"/>
  <c r="F247" i="12"/>
  <c r="K247" i="12" s="1"/>
  <c r="H274" i="12"/>
  <c r="F375" i="12"/>
  <c r="F379" i="12"/>
  <c r="H427" i="12"/>
  <c r="K433" i="12"/>
  <c r="K466" i="12"/>
  <c r="K471" i="12"/>
  <c r="H415" i="12"/>
  <c r="F415" i="12"/>
  <c r="F98" i="12"/>
  <c r="K98" i="12" s="1"/>
  <c r="D168" i="12"/>
  <c r="F168" i="12" s="1"/>
  <c r="F171" i="12"/>
  <c r="H187" i="12"/>
  <c r="H201" i="12"/>
  <c r="F224" i="12"/>
  <c r="F272" i="12"/>
  <c r="K272" i="12" s="1"/>
  <c r="F283" i="12"/>
  <c r="K283" i="12" s="1"/>
  <c r="F292" i="12"/>
  <c r="K292" i="12" s="1"/>
  <c r="H362" i="12"/>
  <c r="F370" i="12"/>
  <c r="D384" i="12"/>
  <c r="F387" i="12"/>
  <c r="D391" i="12"/>
  <c r="F400" i="12"/>
  <c r="K400" i="12" s="1"/>
  <c r="D403" i="12"/>
  <c r="F403" i="12" s="1"/>
  <c r="K403" i="12" s="1"/>
  <c r="K412" i="12"/>
  <c r="F419" i="12"/>
  <c r="K419" i="12" s="1"/>
  <c r="F423" i="12"/>
  <c r="K423" i="12" s="1"/>
  <c r="F435" i="12"/>
  <c r="K435" i="12" s="1"/>
  <c r="F437" i="12"/>
  <c r="K437" i="12" s="1"/>
  <c r="K442" i="12"/>
  <c r="F444" i="12"/>
  <c r="K444" i="12" s="1"/>
  <c r="D450" i="12"/>
  <c r="F450" i="12" s="1"/>
  <c r="K450" i="12" s="1"/>
  <c r="K472" i="12"/>
  <c r="D113" i="12"/>
  <c r="D114" i="12" s="1"/>
  <c r="F114" i="12" s="1"/>
  <c r="F170" i="12"/>
  <c r="K170" i="12" s="1"/>
  <c r="H171" i="12"/>
  <c r="D174" i="12"/>
  <c r="H204" i="12"/>
  <c r="F231" i="12"/>
  <c r="K231" i="12" s="1"/>
  <c r="H334" i="12"/>
  <c r="F411" i="12"/>
  <c r="K411" i="12" s="1"/>
  <c r="F413" i="12"/>
  <c r="K413" i="12" s="1"/>
  <c r="F421" i="12"/>
  <c r="K421" i="12" s="1"/>
  <c r="F422" i="12"/>
  <c r="K439" i="12"/>
  <c r="F441" i="12"/>
  <c r="K441" i="12" s="1"/>
  <c r="F449" i="12"/>
  <c r="H456" i="12"/>
  <c r="K469" i="12"/>
  <c r="D388" i="12"/>
  <c r="H388" i="12" s="1"/>
  <c r="F83" i="12"/>
  <c r="F182" i="12"/>
  <c r="K182" i="12" s="1"/>
  <c r="K198" i="12"/>
  <c r="F271" i="12"/>
  <c r="K271" i="12" s="1"/>
  <c r="F280" i="12"/>
  <c r="K280" i="12" s="1"/>
  <c r="K358" i="12"/>
  <c r="K363" i="12"/>
  <c r="J370" i="12"/>
  <c r="F399" i="12"/>
  <c r="K399" i="12" s="1"/>
  <c r="K453" i="12"/>
  <c r="K461" i="12"/>
  <c r="E459" i="12" s="1"/>
  <c r="F459" i="12" s="1"/>
  <c r="H192" i="12"/>
  <c r="F192" i="12"/>
  <c r="K93" i="12"/>
  <c r="D100" i="12"/>
  <c r="D185" i="12"/>
  <c r="F184" i="12"/>
  <c r="H202" i="12"/>
  <c r="F202" i="12"/>
  <c r="H462" i="12"/>
  <c r="F462" i="12"/>
  <c r="J462" i="12"/>
  <c r="F105" i="12"/>
  <c r="D119" i="12"/>
  <c r="D116" i="12"/>
  <c r="D118" i="12"/>
  <c r="F117" i="12"/>
  <c r="D123" i="12"/>
  <c r="D122" i="12"/>
  <c r="F121" i="12"/>
  <c r="D127" i="12"/>
  <c r="D126" i="12"/>
  <c r="F125" i="12"/>
  <c r="H141" i="12"/>
  <c r="F141" i="12"/>
  <c r="H161" i="12"/>
  <c r="F161" i="12"/>
  <c r="J165" i="12"/>
  <c r="H184" i="12"/>
  <c r="F195" i="12"/>
  <c r="D193" i="12"/>
  <c r="J193" i="12" s="1"/>
  <c r="D213" i="12"/>
  <c r="D212" i="12"/>
  <c r="F211" i="12"/>
  <c r="H361" i="12"/>
  <c r="F361" i="12"/>
  <c r="J361" i="12"/>
  <c r="D68" i="12"/>
  <c r="D104" i="12"/>
  <c r="D62" i="12"/>
  <c r="F91" i="12"/>
  <c r="D106" i="12"/>
  <c r="H91" i="12"/>
  <c r="F107" i="12"/>
  <c r="K107" i="12" s="1"/>
  <c r="D110" i="12"/>
  <c r="F112" i="12"/>
  <c r="K112" i="12" s="1"/>
  <c r="F134" i="12"/>
  <c r="K134" i="12" s="1"/>
  <c r="H172" i="12"/>
  <c r="F172" i="12"/>
  <c r="D173" i="12"/>
  <c r="H176" i="12"/>
  <c r="F176" i="12"/>
  <c r="D177" i="12"/>
  <c r="H188" i="12"/>
  <c r="F188" i="12"/>
  <c r="D189" i="12"/>
  <c r="J195" i="12"/>
  <c r="D206" i="12"/>
  <c r="H205" i="12"/>
  <c r="F205" i="12"/>
  <c r="H211" i="12"/>
  <c r="H139" i="12"/>
  <c r="F139" i="12"/>
  <c r="F61" i="12"/>
  <c r="F99" i="12"/>
  <c r="K99" i="12" s="1"/>
  <c r="H63" i="12"/>
  <c r="H61" i="12"/>
  <c r="D66" i="12"/>
  <c r="F89" i="12"/>
  <c r="K89" i="12" s="1"/>
  <c r="H90" i="12"/>
  <c r="K90" i="12" s="1"/>
  <c r="F95" i="12"/>
  <c r="K95" i="12" s="1"/>
  <c r="D97" i="12"/>
  <c r="H105" i="12"/>
  <c r="D109" i="12"/>
  <c r="H117" i="12"/>
  <c r="H121" i="12"/>
  <c r="H125" i="12"/>
  <c r="H135" i="12"/>
  <c r="K135" i="12" s="1"/>
  <c r="D137" i="12"/>
  <c r="D136" i="12"/>
  <c r="D140" i="12"/>
  <c r="H151" i="12"/>
  <c r="F151" i="12"/>
  <c r="H191" i="12"/>
  <c r="F191" i="12"/>
  <c r="H199" i="12"/>
  <c r="F199" i="12"/>
  <c r="D200" i="12"/>
  <c r="D203" i="12"/>
  <c r="D248" i="12"/>
  <c r="D240" i="12"/>
  <c r="D250" i="12"/>
  <c r="F250" i="12" s="1"/>
  <c r="K250" i="12" s="1"/>
  <c r="F246" i="12"/>
  <c r="D255" i="12"/>
  <c r="F255" i="12" s="1"/>
  <c r="K255" i="12" s="1"/>
  <c r="D253" i="12"/>
  <c r="D252" i="12"/>
  <c r="F252" i="12" s="1"/>
  <c r="K252" i="12" s="1"/>
  <c r="F251" i="12"/>
  <c r="H251" i="12"/>
  <c r="J304" i="12"/>
  <c r="H359" i="12"/>
  <c r="F359" i="12"/>
  <c r="D356" i="12"/>
  <c r="J359" i="12"/>
  <c r="J378" i="12"/>
  <c r="D377" i="12"/>
  <c r="F378" i="12"/>
  <c r="D115" i="12"/>
  <c r="D197" i="12"/>
  <c r="F204" i="12"/>
  <c r="H246" i="12"/>
  <c r="F282" i="12"/>
  <c r="F294" i="12"/>
  <c r="D344" i="12"/>
  <c r="D339" i="12"/>
  <c r="D338" i="12"/>
  <c r="H335" i="12"/>
  <c r="D342" i="12"/>
  <c r="H342" i="12" s="1"/>
  <c r="D337" i="12"/>
  <c r="F335" i="12"/>
  <c r="D341" i="12"/>
  <c r="F111" i="12"/>
  <c r="F190" i="12"/>
  <c r="F201" i="12"/>
  <c r="H224" i="12"/>
  <c r="F218" i="12"/>
  <c r="D219" i="12"/>
  <c r="D220" i="12"/>
  <c r="D269" i="12"/>
  <c r="D276" i="12"/>
  <c r="F276" i="12" s="1"/>
  <c r="K276" i="12" s="1"/>
  <c r="D275" i="12"/>
  <c r="F275" i="12" s="1"/>
  <c r="K275" i="12" s="1"/>
  <c r="F274" i="12"/>
  <c r="K279" i="12"/>
  <c r="F281" i="12"/>
  <c r="K281" i="12" s="1"/>
  <c r="H282" i="12"/>
  <c r="D288" i="12"/>
  <c r="F288" i="12" s="1"/>
  <c r="K288" i="12" s="1"/>
  <c r="D287" i="12"/>
  <c r="F287" i="12" s="1"/>
  <c r="K287" i="12" s="1"/>
  <c r="F286" i="12"/>
  <c r="K291" i="12"/>
  <c r="D293" i="12"/>
  <c r="F293" i="12" s="1"/>
  <c r="K293" i="12" s="1"/>
  <c r="H294" i="12"/>
  <c r="F297" i="12"/>
  <c r="K366" i="12"/>
  <c r="F371" i="12"/>
  <c r="H322" i="12"/>
  <c r="D323" i="12"/>
  <c r="F322" i="12"/>
  <c r="H345" i="12"/>
  <c r="D347" i="12"/>
  <c r="F345" i="12"/>
  <c r="D333" i="12"/>
  <c r="K381" i="12"/>
  <c r="K382" i="12"/>
  <c r="D302" i="12"/>
  <c r="H301" i="12"/>
  <c r="D303" i="12"/>
  <c r="K372" i="12"/>
  <c r="J367" i="12"/>
  <c r="K367" i="12" s="1"/>
  <c r="J376" i="12"/>
  <c r="K376" i="12" s="1"/>
  <c r="D408" i="12"/>
  <c r="F408" i="12" s="1"/>
  <c r="K408" i="12" s="1"/>
  <c r="F407" i="12"/>
  <c r="J362" i="12"/>
  <c r="J373" i="12"/>
  <c r="K385" i="12"/>
  <c r="H407" i="12"/>
  <c r="H445" i="12"/>
  <c r="K467" i="12"/>
  <c r="F386" i="12"/>
  <c r="K386" i="12" s="1"/>
  <c r="H392" i="12"/>
  <c r="D397" i="12"/>
  <c r="F397" i="12" s="1"/>
  <c r="K397" i="12" s="1"/>
  <c r="F396" i="12"/>
  <c r="K396" i="12" s="1"/>
  <c r="F395" i="12"/>
  <c r="K395" i="12" s="1"/>
  <c r="F394" i="12"/>
  <c r="K394" i="12" s="1"/>
  <c r="F393" i="12"/>
  <c r="K393" i="12" s="1"/>
  <c r="F392" i="12"/>
  <c r="D404" i="12"/>
  <c r="K405" i="12"/>
  <c r="F430" i="12"/>
  <c r="K430" i="12" s="1"/>
  <c r="F448" i="12"/>
  <c r="K448" i="12" s="1"/>
  <c r="F427" i="12"/>
  <c r="D343" i="12" l="1"/>
  <c r="H343" i="12" s="1"/>
  <c r="E140" i="12"/>
  <c r="F140" i="12" s="1"/>
  <c r="F340" i="12"/>
  <c r="K340" i="12" s="1"/>
  <c r="G290" i="12"/>
  <c r="H290" i="12" s="1"/>
  <c r="G384" i="12"/>
  <c r="H384" i="12" s="1"/>
  <c r="E409" i="12"/>
  <c r="G391" i="12"/>
  <c r="H391" i="12" s="1"/>
  <c r="I360" i="12"/>
  <c r="J360" i="12" s="1"/>
  <c r="G278" i="12"/>
  <c r="E278" i="12"/>
  <c r="F278" i="12" s="1"/>
  <c r="E269" i="12"/>
  <c r="F269" i="12" s="1"/>
  <c r="G269" i="12"/>
  <c r="F220" i="12"/>
  <c r="H220" i="12"/>
  <c r="F225" i="12"/>
  <c r="H225" i="12"/>
  <c r="F219" i="12"/>
  <c r="H219" i="12"/>
  <c r="E391" i="12"/>
  <c r="F391" i="12" s="1"/>
  <c r="F238" i="12"/>
  <c r="H238" i="12"/>
  <c r="G227" i="12" s="1"/>
  <c r="H227" i="12" s="1"/>
  <c r="F244" i="12"/>
  <c r="H244" i="12"/>
  <c r="K459" i="12"/>
  <c r="K449" i="12"/>
  <c r="K427" i="12"/>
  <c r="F374" i="12"/>
  <c r="K374" i="12" s="1"/>
  <c r="K274" i="12"/>
  <c r="K334" i="12"/>
  <c r="K218" i="12"/>
  <c r="F215" i="12"/>
  <c r="K215" i="12" s="1"/>
  <c r="K130" i="12"/>
  <c r="G129" i="12" s="1"/>
  <c r="K74" i="12"/>
  <c r="K190" i="12"/>
  <c r="K175" i="12"/>
  <c r="F113" i="12"/>
  <c r="D133" i="12"/>
  <c r="F133" i="12" s="1"/>
  <c r="F132" i="12"/>
  <c r="K132" i="12" s="1"/>
  <c r="D169" i="12"/>
  <c r="F169" i="12" s="1"/>
  <c r="K214" i="12"/>
  <c r="H83" i="12"/>
  <c r="K83" i="12" s="1"/>
  <c r="K422" i="12"/>
  <c r="K286" i="12"/>
  <c r="E256" i="12"/>
  <c r="F256" i="12" s="1"/>
  <c r="K256" i="12" s="1"/>
  <c r="F243" i="12"/>
  <c r="K243" i="12" s="1"/>
  <c r="K224" i="12"/>
  <c r="K191" i="12"/>
  <c r="K375" i="12"/>
  <c r="K241" i="12"/>
  <c r="K234" i="12"/>
  <c r="K311" i="12"/>
  <c r="H113" i="12"/>
  <c r="H168" i="12"/>
  <c r="K168" i="12" s="1"/>
  <c r="K387" i="12"/>
  <c r="K362" i="12"/>
  <c r="K141" i="12"/>
  <c r="F426" i="12"/>
  <c r="K426" i="12" s="1"/>
  <c r="F239" i="12"/>
  <c r="K239" i="12" s="1"/>
  <c r="K111" i="12"/>
  <c r="K379" i="12"/>
  <c r="K398" i="12"/>
  <c r="K301" i="12"/>
  <c r="K414" i="12"/>
  <c r="K63" i="12"/>
  <c r="F178" i="12"/>
  <c r="K178" i="12" s="1"/>
  <c r="F216" i="12"/>
  <c r="K216" i="12" s="1"/>
  <c r="K373" i="12"/>
  <c r="I371" i="12" s="1"/>
  <c r="J371" i="12" s="1"/>
  <c r="K371" i="12" s="1"/>
  <c r="F237" i="12"/>
  <c r="K237" i="12" s="1"/>
  <c r="K415" i="12"/>
  <c r="F456" i="12"/>
  <c r="K456" i="12" s="1"/>
  <c r="K297" i="12"/>
  <c r="E432" i="12"/>
  <c r="F432" i="12" s="1"/>
  <c r="K432" i="12" s="1"/>
  <c r="K187" i="12"/>
  <c r="F389" i="12"/>
  <c r="K282" i="12"/>
  <c r="K204" i="12"/>
  <c r="F131" i="12"/>
  <c r="K131" i="12" s="1"/>
  <c r="K201" i="12"/>
  <c r="F445" i="12"/>
  <c r="K445" i="12" s="1"/>
  <c r="F388" i="12"/>
  <c r="K388" i="12" s="1"/>
  <c r="E384" i="12" s="1"/>
  <c r="F384" i="12" s="1"/>
  <c r="K378" i="12"/>
  <c r="K172" i="12"/>
  <c r="D457" i="12"/>
  <c r="H452" i="12"/>
  <c r="K370" i="12"/>
  <c r="F174" i="12"/>
  <c r="H174" i="12"/>
  <c r="J140" i="12"/>
  <c r="K205" i="12"/>
  <c r="K176" i="12"/>
  <c r="K161" i="12"/>
  <c r="K192" i="12"/>
  <c r="H114" i="12"/>
  <c r="K114" i="12" s="1"/>
  <c r="K171" i="12"/>
  <c r="K188" i="12"/>
  <c r="K211" i="12"/>
  <c r="K202" i="12"/>
  <c r="K151" i="12"/>
  <c r="H140" i="12"/>
  <c r="K125" i="12"/>
  <c r="H303" i="12"/>
  <c r="F303" i="12"/>
  <c r="H336" i="12"/>
  <c r="F336" i="12"/>
  <c r="H344" i="12"/>
  <c r="F344" i="12"/>
  <c r="H109" i="12"/>
  <c r="F109" i="12"/>
  <c r="F177" i="12"/>
  <c r="H177" i="12"/>
  <c r="K91" i="12"/>
  <c r="H68" i="12"/>
  <c r="F68" i="12"/>
  <c r="H213" i="12"/>
  <c r="F213" i="12"/>
  <c r="H122" i="12"/>
  <c r="F122" i="12"/>
  <c r="D138" i="12"/>
  <c r="F137" i="12"/>
  <c r="H137" i="12"/>
  <c r="F62" i="12"/>
  <c r="H62" i="12"/>
  <c r="D223" i="12"/>
  <c r="F221" i="12"/>
  <c r="H221" i="12"/>
  <c r="H126" i="12"/>
  <c r="F126" i="12"/>
  <c r="H123" i="12"/>
  <c r="D124" i="12"/>
  <c r="F123" i="12"/>
  <c r="H119" i="12"/>
  <c r="D120" i="12"/>
  <c r="F119" i="12"/>
  <c r="K462" i="12"/>
  <c r="H302" i="12"/>
  <c r="F302" i="12"/>
  <c r="K322" i="12"/>
  <c r="H307" i="12"/>
  <c r="D309" i="12"/>
  <c r="F307" i="12"/>
  <c r="K335" i="12"/>
  <c r="H338" i="12"/>
  <c r="F338" i="12"/>
  <c r="K294" i="12"/>
  <c r="D217" i="12"/>
  <c r="F115" i="12"/>
  <c r="H115" i="12"/>
  <c r="J377" i="12"/>
  <c r="F377" i="12"/>
  <c r="K359" i="12"/>
  <c r="I356" i="12" s="1"/>
  <c r="J356" i="12" s="1"/>
  <c r="K251" i="12"/>
  <c r="K246" i="12"/>
  <c r="F200" i="12"/>
  <c r="H200" i="12"/>
  <c r="F97" i="12"/>
  <c r="H97" i="12"/>
  <c r="D321" i="12"/>
  <c r="D316" i="12"/>
  <c r="D319" i="12"/>
  <c r="D314" i="12"/>
  <c r="F312" i="12"/>
  <c r="D318" i="12"/>
  <c r="D315" i="12"/>
  <c r="D317" i="12"/>
  <c r="D313" i="12"/>
  <c r="H312" i="12"/>
  <c r="F110" i="12"/>
  <c r="H110" i="12"/>
  <c r="F106" i="12"/>
  <c r="H106" i="12"/>
  <c r="E88" i="12"/>
  <c r="F88" i="12" s="1"/>
  <c r="K361" i="12"/>
  <c r="H193" i="12"/>
  <c r="F193" i="12"/>
  <c r="H127" i="12"/>
  <c r="D128" i="12"/>
  <c r="F127" i="12"/>
  <c r="K117" i="12"/>
  <c r="K105" i="12"/>
  <c r="F100" i="12"/>
  <c r="H100" i="12"/>
  <c r="D349" i="12"/>
  <c r="H346" i="12"/>
  <c r="D353" i="12"/>
  <c r="D348" i="12"/>
  <c r="F346" i="12"/>
  <c r="D352" i="12"/>
  <c r="D351" i="12"/>
  <c r="D350" i="12"/>
  <c r="D355" i="12"/>
  <c r="F295" i="12"/>
  <c r="K295" i="12" s="1"/>
  <c r="D296" i="12"/>
  <c r="F296" i="12" s="1"/>
  <c r="K296" i="12" s="1"/>
  <c r="D254" i="12"/>
  <c r="F253" i="12"/>
  <c r="K253" i="12" s="1"/>
  <c r="F136" i="12"/>
  <c r="H136" i="12"/>
  <c r="H69" i="12"/>
  <c r="D70" i="12"/>
  <c r="D77" i="12"/>
  <c r="D75" i="12"/>
  <c r="F69" i="12"/>
  <c r="H104" i="12"/>
  <c r="F104" i="12"/>
  <c r="H165" i="12"/>
  <c r="F165" i="12"/>
  <c r="F185" i="12"/>
  <c r="D186" i="12"/>
  <c r="H185" i="12"/>
  <c r="E404" i="12"/>
  <c r="F404" i="12" s="1"/>
  <c r="H404" i="12"/>
  <c r="K407" i="12"/>
  <c r="H341" i="12"/>
  <c r="F341" i="12"/>
  <c r="F356" i="12"/>
  <c r="F248" i="12"/>
  <c r="K248" i="12" s="1"/>
  <c r="D249" i="12"/>
  <c r="H203" i="12"/>
  <c r="F203" i="12"/>
  <c r="H116" i="12"/>
  <c r="F66" i="12"/>
  <c r="D67" i="12"/>
  <c r="H66" i="12"/>
  <c r="F189" i="12"/>
  <c r="H189" i="12"/>
  <c r="G88" i="12"/>
  <c r="H88" i="12" s="1"/>
  <c r="D103" i="12"/>
  <c r="H101" i="12"/>
  <c r="F101" i="12"/>
  <c r="F342" i="12"/>
  <c r="K342" i="12" s="1"/>
  <c r="K392" i="12"/>
  <c r="F431" i="12"/>
  <c r="K431" i="12" s="1"/>
  <c r="F428" i="12"/>
  <c r="K428" i="12" s="1"/>
  <c r="K345" i="12"/>
  <c r="D326" i="12"/>
  <c r="H323" i="12"/>
  <c r="D330" i="12"/>
  <c r="D325" i="12"/>
  <c r="F323" i="12"/>
  <c r="D329" i="12"/>
  <c r="D328" i="12"/>
  <c r="D324" i="12"/>
  <c r="D327" i="12"/>
  <c r="D332" i="12"/>
  <c r="D299" i="12"/>
  <c r="F299" i="12" s="1"/>
  <c r="K299" i="12" s="1"/>
  <c r="F298" i="12"/>
  <c r="K298" i="12" s="1"/>
  <c r="F337" i="12"/>
  <c r="H337" i="12"/>
  <c r="H339" i="12"/>
  <c r="F339" i="12"/>
  <c r="H416" i="12"/>
  <c r="J307" i="12"/>
  <c r="D305" i="12"/>
  <c r="H304" i="12"/>
  <c r="D306" i="12"/>
  <c r="D300" i="12"/>
  <c r="F304" i="12"/>
  <c r="K199" i="12"/>
  <c r="K61" i="12"/>
  <c r="K139" i="12"/>
  <c r="H206" i="12"/>
  <c r="F206" i="12"/>
  <c r="F173" i="12"/>
  <c r="H173" i="12"/>
  <c r="D85" i="12"/>
  <c r="H78" i="12"/>
  <c r="D79" i="12"/>
  <c r="F78" i="12"/>
  <c r="D87" i="12"/>
  <c r="D60" i="12"/>
  <c r="F360" i="12"/>
  <c r="H360" i="12"/>
  <c r="F212" i="12"/>
  <c r="H212" i="12"/>
  <c r="K195" i="12"/>
  <c r="K121" i="12"/>
  <c r="H118" i="12"/>
  <c r="F118" i="12"/>
  <c r="K184" i="12"/>
  <c r="F343" i="12" l="1"/>
  <c r="K343" i="12" s="1"/>
  <c r="F409" i="12"/>
  <c r="K409" i="12" s="1"/>
  <c r="K384" i="12"/>
  <c r="K391" i="12"/>
  <c r="I300" i="12"/>
  <c r="J300" i="12" s="1"/>
  <c r="J473" i="12" s="1"/>
  <c r="E290" i="12"/>
  <c r="F290" i="12" s="1"/>
  <c r="K290" i="12" s="1"/>
  <c r="G197" i="12"/>
  <c r="H197" i="12" s="1"/>
  <c r="G217" i="12"/>
  <c r="H217" i="12" s="1"/>
  <c r="E227" i="12"/>
  <c r="G207" i="12"/>
  <c r="H207" i="12" s="1"/>
  <c r="K225" i="12"/>
  <c r="F222" i="12"/>
  <c r="H222" i="12"/>
  <c r="F223" i="12"/>
  <c r="H223" i="12"/>
  <c r="K220" i="12"/>
  <c r="K219" i="12"/>
  <c r="K244" i="12"/>
  <c r="F254" i="12"/>
  <c r="H254" i="12"/>
  <c r="F249" i="12"/>
  <c r="H249" i="12"/>
  <c r="K238" i="12"/>
  <c r="H133" i="12"/>
  <c r="K133" i="12" s="1"/>
  <c r="K404" i="12"/>
  <c r="H169" i="12"/>
  <c r="K169" i="12" s="1"/>
  <c r="K113" i="12"/>
  <c r="K346" i="12"/>
  <c r="K212" i="12"/>
  <c r="K140" i="12"/>
  <c r="K173" i="12"/>
  <c r="K323" i="12"/>
  <c r="K304" i="12"/>
  <c r="K356" i="12"/>
  <c r="H389" i="12"/>
  <c r="K389" i="12" s="1"/>
  <c r="K206" i="12"/>
  <c r="K115" i="12"/>
  <c r="K177" i="12"/>
  <c r="K174" i="12"/>
  <c r="K337" i="12"/>
  <c r="K189" i="12"/>
  <c r="K312" i="12"/>
  <c r="K200" i="12"/>
  <c r="K221" i="12"/>
  <c r="K62" i="12"/>
  <c r="K165" i="12"/>
  <c r="D458" i="12"/>
  <c r="F458" i="12" s="1"/>
  <c r="K458" i="12" s="1"/>
  <c r="F457" i="12"/>
  <c r="K457" i="12" s="1"/>
  <c r="K307" i="12"/>
  <c r="F416" i="12"/>
  <c r="K416" i="12" s="1"/>
  <c r="K377" i="12"/>
  <c r="K302" i="12"/>
  <c r="K136" i="12"/>
  <c r="K137" i="12"/>
  <c r="K127" i="12"/>
  <c r="K123" i="12"/>
  <c r="K106" i="12"/>
  <c r="K100" i="12"/>
  <c r="K69" i="12"/>
  <c r="K66" i="12"/>
  <c r="F87" i="12"/>
  <c r="H87" i="12"/>
  <c r="H186" i="12"/>
  <c r="G183" i="12" s="1"/>
  <c r="H183" i="12" s="1"/>
  <c r="F186" i="12"/>
  <c r="H349" i="12"/>
  <c r="F349" i="12"/>
  <c r="F314" i="12"/>
  <c r="H314" i="12"/>
  <c r="K118" i="12"/>
  <c r="K78" i="12"/>
  <c r="H300" i="12"/>
  <c r="D331" i="12"/>
  <c r="H328" i="12"/>
  <c r="F328" i="12"/>
  <c r="H330" i="12"/>
  <c r="F330" i="12"/>
  <c r="H103" i="12"/>
  <c r="G92" i="12" s="1"/>
  <c r="H92" i="12" s="1"/>
  <c r="F103" i="12"/>
  <c r="E92" i="12" s="1"/>
  <c r="K203" i="12"/>
  <c r="K185" i="12"/>
  <c r="H75" i="12"/>
  <c r="F75" i="12"/>
  <c r="D76" i="12"/>
  <c r="F347" i="12"/>
  <c r="H347" i="12"/>
  <c r="H348" i="12"/>
  <c r="F348" i="12"/>
  <c r="K88" i="12"/>
  <c r="K110" i="12"/>
  <c r="H315" i="12"/>
  <c r="F315" i="12"/>
  <c r="H319" i="12"/>
  <c r="F319" i="12"/>
  <c r="K97" i="12"/>
  <c r="K338" i="12"/>
  <c r="H309" i="12"/>
  <c r="F309" i="12"/>
  <c r="K119" i="12"/>
  <c r="H124" i="12"/>
  <c r="F124" i="12"/>
  <c r="H138" i="12"/>
  <c r="H129" i="12" s="1"/>
  <c r="F138" i="12"/>
  <c r="K213" i="12"/>
  <c r="K109" i="12"/>
  <c r="K336" i="12"/>
  <c r="H85" i="12"/>
  <c r="F85" i="12"/>
  <c r="D86" i="12"/>
  <c r="H305" i="12"/>
  <c r="F305" i="12"/>
  <c r="F324" i="12"/>
  <c r="H324" i="12"/>
  <c r="H350" i="12"/>
  <c r="F350" i="12"/>
  <c r="F317" i="12"/>
  <c r="H317" i="12"/>
  <c r="D320" i="12"/>
  <c r="K360" i="12"/>
  <c r="H79" i="12"/>
  <c r="F79" i="12"/>
  <c r="H306" i="12"/>
  <c r="F306" i="12"/>
  <c r="H332" i="12"/>
  <c r="F332" i="12"/>
  <c r="H329" i="12"/>
  <c r="F329" i="12"/>
  <c r="H67" i="12"/>
  <c r="F67" i="12"/>
  <c r="K104" i="12"/>
  <c r="H77" i="12"/>
  <c r="F77" i="12"/>
  <c r="D354" i="12"/>
  <c r="H351" i="12"/>
  <c r="F351" i="12"/>
  <c r="H353" i="12"/>
  <c r="F353" i="12"/>
  <c r="K193" i="12"/>
  <c r="H318" i="12"/>
  <c r="F318" i="12"/>
  <c r="F316" i="12"/>
  <c r="H316" i="12"/>
  <c r="H120" i="12"/>
  <c r="F120" i="12"/>
  <c r="H325" i="12"/>
  <c r="F325" i="12"/>
  <c r="H128" i="12"/>
  <c r="F128" i="12"/>
  <c r="G60" i="12"/>
  <c r="H60" i="12" s="1"/>
  <c r="K339" i="12"/>
  <c r="H327" i="12"/>
  <c r="F327" i="12"/>
  <c r="H326" i="12"/>
  <c r="F326" i="12"/>
  <c r="K101" i="12"/>
  <c r="K341" i="12"/>
  <c r="F70" i="12"/>
  <c r="H70" i="12"/>
  <c r="H355" i="12"/>
  <c r="F355" i="12"/>
  <c r="H352" i="12"/>
  <c r="F352" i="12"/>
  <c r="H313" i="12"/>
  <c r="F313" i="12"/>
  <c r="H321" i="12"/>
  <c r="F321" i="12"/>
  <c r="H308" i="12"/>
  <c r="F308" i="12"/>
  <c r="K126" i="12"/>
  <c r="K122" i="12"/>
  <c r="K68" i="12"/>
  <c r="K344" i="12"/>
  <c r="K303" i="12"/>
  <c r="G240" i="12" l="1"/>
  <c r="H240" i="12" s="1"/>
  <c r="F227" i="12"/>
  <c r="K227" i="12" s="1"/>
  <c r="K223" i="12"/>
  <c r="K222" i="12"/>
  <c r="G166" i="12"/>
  <c r="H166" i="12" s="1"/>
  <c r="K249" i="12"/>
  <c r="K254" i="12"/>
  <c r="E207" i="12"/>
  <c r="F207" i="12" s="1"/>
  <c r="K207" i="12" s="1"/>
  <c r="K186" i="12"/>
  <c r="E183" i="12" s="1"/>
  <c r="F183" i="12" s="1"/>
  <c r="K183" i="12" s="1"/>
  <c r="E452" i="12"/>
  <c r="F452" i="12" s="1"/>
  <c r="K452" i="12" s="1"/>
  <c r="E166" i="12"/>
  <c r="F166" i="12" s="1"/>
  <c r="K128" i="12"/>
  <c r="K353" i="12"/>
  <c r="K67" i="12"/>
  <c r="K138" i="12"/>
  <c r="E129" i="12" s="1"/>
  <c r="F129" i="12" s="1"/>
  <c r="K129" i="12" s="1"/>
  <c r="K347" i="12"/>
  <c r="K321" i="12"/>
  <c r="K352" i="12"/>
  <c r="K326" i="12"/>
  <c r="K348" i="12"/>
  <c r="E197" i="12"/>
  <c r="F197" i="12" s="1"/>
  <c r="K197" i="12" s="1"/>
  <c r="K308" i="12"/>
  <c r="K313" i="12"/>
  <c r="K355" i="12"/>
  <c r="K327" i="12"/>
  <c r="K318" i="12"/>
  <c r="K77" i="12"/>
  <c r="H390" i="12"/>
  <c r="K120" i="12"/>
  <c r="K103" i="12"/>
  <c r="F92" i="12" s="1"/>
  <c r="K92" i="12" s="1"/>
  <c r="K85" i="12"/>
  <c r="K332" i="12"/>
  <c r="K79" i="12"/>
  <c r="K315" i="12"/>
  <c r="K75" i="12"/>
  <c r="K328" i="12"/>
  <c r="K316" i="12"/>
  <c r="K87" i="12"/>
  <c r="H354" i="12"/>
  <c r="G333" i="12" s="1"/>
  <c r="H333" i="12" s="1"/>
  <c r="F354" i="12"/>
  <c r="H86" i="12"/>
  <c r="F86" i="12"/>
  <c r="K317" i="12"/>
  <c r="F76" i="12"/>
  <c r="H76" i="12"/>
  <c r="K70" i="12"/>
  <c r="K324" i="12"/>
  <c r="K325" i="12"/>
  <c r="K351" i="12"/>
  <c r="K329" i="12"/>
  <c r="K306" i="12"/>
  <c r="K350" i="12"/>
  <c r="K305" i="12"/>
  <c r="K309" i="12"/>
  <c r="K314" i="12"/>
  <c r="H320" i="12"/>
  <c r="F320" i="12"/>
  <c r="K124" i="12"/>
  <c r="K319" i="12"/>
  <c r="F390" i="12"/>
  <c r="K330" i="12"/>
  <c r="H331" i="12"/>
  <c r="F331" i="12"/>
  <c r="K349" i="12"/>
  <c r="K166" i="12" l="1"/>
  <c r="E217" i="12"/>
  <c r="F217" i="12" s="1"/>
  <c r="K217" i="12" s="1"/>
  <c r="G310" i="12"/>
  <c r="H310" i="12" s="1"/>
  <c r="E310" i="12"/>
  <c r="E240" i="12"/>
  <c r="F240" i="12" s="1"/>
  <c r="K240" i="12" s="1"/>
  <c r="K390" i="12"/>
  <c r="E116" i="12"/>
  <c r="F116" i="12" s="1"/>
  <c r="K116" i="12" s="1"/>
  <c r="K320" i="12"/>
  <c r="E300" i="12"/>
  <c r="F300" i="12" s="1"/>
  <c r="K300" i="12" s="1"/>
  <c r="E60" i="12"/>
  <c r="F60" i="12" s="1"/>
  <c r="K354" i="12"/>
  <c r="E333" i="12" s="1"/>
  <c r="F333" i="12" s="1"/>
  <c r="K333" i="12" s="1"/>
  <c r="K331" i="12"/>
  <c r="K86" i="12"/>
  <c r="K76" i="12"/>
  <c r="F310" i="12" l="1"/>
  <c r="F473" i="12" s="1"/>
  <c r="K60" i="12"/>
  <c r="K310" i="12" l="1"/>
  <c r="F46" i="12" l="1"/>
  <c r="J45" i="12"/>
  <c r="H45" i="12"/>
  <c r="F45" i="12"/>
  <c r="H46" i="12" l="1"/>
  <c r="K46" i="12" s="1"/>
  <c r="K45" i="12"/>
  <c r="E7" i="3" l="1"/>
  <c r="E10" i="3" l="1"/>
  <c r="E11" i="3"/>
  <c r="E9" i="3"/>
  <c r="E8" i="3"/>
  <c r="C13" i="3"/>
  <c r="D31" i="12" s="1"/>
  <c r="D38" i="12" l="1"/>
  <c r="H31" i="12"/>
  <c r="K31" i="12" s="1"/>
  <c r="E13" i="3"/>
  <c r="H38" i="12" l="1"/>
  <c r="F38" i="12"/>
  <c r="D30" i="12"/>
  <c r="K38" i="12" l="1"/>
  <c r="I30" i="12"/>
  <c r="J30" i="12" s="1"/>
  <c r="J47" i="12" s="1"/>
  <c r="G30" i="12"/>
  <c r="E30" i="12"/>
  <c r="E9" i="12" l="1"/>
  <c r="F9" i="12" s="1"/>
  <c r="F15" i="12" s="1"/>
  <c r="H30" i="12"/>
  <c r="H47" i="12" s="1"/>
  <c r="K9" i="12" l="1"/>
  <c r="K15" i="12" s="1"/>
  <c r="F30" i="12"/>
  <c r="F47" i="12" s="1"/>
  <c r="K16" i="12" l="1"/>
  <c r="K17" i="12" s="1"/>
  <c r="K30" i="12"/>
  <c r="K47" i="12" s="1"/>
  <c r="K18" i="12" l="1"/>
  <c r="K19" i="12" s="1"/>
  <c r="K48" i="12"/>
  <c r="K49" i="12" s="1"/>
  <c r="K50" i="12" s="1"/>
  <c r="K51" i="12" s="1"/>
  <c r="K52" i="12" s="1"/>
  <c r="K53" i="12" s="1"/>
  <c r="K54" i="12" s="1"/>
  <c r="K55" i="12" s="1"/>
  <c r="K20" i="12" l="1"/>
  <c r="K21" i="12" s="1"/>
  <c r="K56" i="12"/>
  <c r="K57" i="12" s="1"/>
  <c r="B20" i="3" l="1"/>
  <c r="K22" i="12"/>
  <c r="K23" i="12" s="1"/>
  <c r="D20" i="3" l="1"/>
  <c r="E20" i="3" s="1"/>
  <c r="B22" i="3"/>
  <c r="B23" i="3" s="1"/>
  <c r="K24" i="12"/>
  <c r="K25" i="12" s="1"/>
  <c r="B19" i="3" s="1"/>
  <c r="D19" i="3" s="1"/>
  <c r="E19" i="3" l="1"/>
  <c r="H269" i="12"/>
  <c r="H278" i="12"/>
  <c r="K278" i="12" s="1"/>
  <c r="H473" i="12" l="1"/>
  <c r="K269" i="12"/>
  <c r="K473" i="12" l="1"/>
  <c r="K474" i="12" s="1"/>
  <c r="K475" i="12" s="1"/>
  <c r="K476" i="12" s="1"/>
  <c r="K477" i="12" s="1"/>
  <c r="K478" i="12" s="1"/>
  <c r="K479" i="12" s="1"/>
  <c r="K480" i="12" s="1"/>
  <c r="K481" i="12" s="1"/>
  <c r="B21" i="3" s="1"/>
  <c r="D21" i="3" s="1"/>
  <c r="D22" i="3" l="1"/>
  <c r="E21" i="3"/>
  <c r="E22" i="3" s="1"/>
</calcChain>
</file>

<file path=xl/sharedStrings.xml><?xml version="1.0" encoding="utf-8"?>
<sst xmlns="http://schemas.openxmlformats.org/spreadsheetml/2006/main" count="1051" uniqueCount="314">
  <si>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</si>
  <si>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</si>
  <si>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</si>
  <si>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</si>
  <si>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</si>
  <si>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</si>
  <si>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</si>
  <si>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</si>
  <si>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</si>
  <si>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</si>
  <si>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</si>
  <si>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</si>
  <si>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</si>
  <si>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</si>
  <si>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</si>
  <si>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</si>
  <si>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</si>
  <si>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</si>
  <si>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</si>
  <si>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</si>
  <si>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</si>
  <si>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</si>
  <si>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</si>
  <si>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</si>
  <si>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</si>
  <si>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</si>
  <si>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</si>
  <si>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</si>
  <si>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</si>
  <si>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</si>
  <si>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</si>
  <si>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</si>
  <si>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</si>
  <si>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</si>
  <si>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</si>
  <si>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</si>
  <si>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</si>
  <si>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</si>
  <si>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</si>
  <si>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</si>
  <si>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</si>
  <si>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</si>
  <si>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</si>
  <si>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</si>
  <si>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</si>
  <si>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</si>
  <si>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</si>
  <si>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</si>
  <si>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</si>
  <si>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</si>
  <si>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</si>
  <si>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</si>
  <si>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</si>
  <si>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</si>
  <si>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</si>
  <si>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</si>
  <si>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fasadis mopirkeTeba aguriT niS 0.00</t>
  </si>
  <si>
    <t xml:space="preserve"> parapetis mpirkeTeba aguriT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</si>
  <si>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</si>
  <si>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</si>
  <si>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</si>
  <si>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</si>
  <si>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</si>
  <si>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</si>
  <si>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</si>
  <si>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</si>
  <si>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lari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</si>
  <si>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</si>
  <si>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</si>
  <si>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</si>
  <si>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</si>
  <si>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</si>
  <si>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lesva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</si>
  <si>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</si>
  <si>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</si>
  <si>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</si>
  <si>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</si>
  <si>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</si>
  <si>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</si>
  <si>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</si>
  <si>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</si>
  <si>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</si>
  <si>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</si>
  <si>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</si>
  <si>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</si>
  <si>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10sm Saxtebi</t>
  </si>
  <si>
    <t>blokis wyoba 10 niS. 0.00</t>
  </si>
  <si>
    <t>Tunuqi</t>
  </si>
  <si>
    <t>membrana</t>
  </si>
  <si>
    <t>meTlaxi aivnebze</t>
  </si>
  <si>
    <t>meTlaxi niS. 0.00</t>
  </si>
  <si>
    <t>meTlaxi fila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</si>
  <si>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</si>
  <si>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</si>
  <si>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</si>
  <si>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</si>
  <si>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</si>
  <si>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</si>
  <si>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</si>
  <si>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</si>
  <si>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</si>
  <si>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</si>
  <si>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</si>
  <si>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</si>
  <si>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</si>
  <si>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</si>
  <si>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</si>
  <si>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</si>
  <si>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dubel Surufi 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</si>
  <si>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</si>
  <si>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</si>
  <si>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</si>
  <si>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</si>
  <si>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</si>
  <si>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</si>
  <si>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</si>
  <si>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</si>
  <si>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</si>
  <si>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</si>
  <si>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</si>
  <si>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</si>
  <si>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</si>
  <si>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</si>
  <si>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</si>
  <si>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</si>
  <si>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</si>
  <si>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</si>
  <si>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</si>
  <si>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</si>
  <si>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</si>
  <si>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</si>
  <si>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</si>
  <si>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</si>
  <si>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</si>
  <si>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</si>
  <si>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</si>
  <si>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</si>
  <si>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</si>
  <si>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</si>
  <si>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</si>
  <si>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eldaqselva, niS. 3.20/6.40</t>
  </si>
  <si>
    <t>aivnis sanaTebi</t>
  </si>
  <si>
    <t>sanaTi, niS. 0.00</t>
  </si>
  <si>
    <t>sanaTi</t>
  </si>
  <si>
    <t>sanaTi, niS. 3.20/6.40/9.60</t>
  </si>
  <si>
    <t>sadarbazos sanaTi</t>
  </si>
  <si>
    <t>sanaTi, niS. -5</t>
  </si>
  <si>
    <t>sadarbazos daqselva</t>
  </si>
  <si>
    <t>eldaqselva, niS. -5</t>
  </si>
  <si>
    <t>Telasis kabeli</t>
  </si>
  <si>
    <t>kabeli 2*2.5</t>
  </si>
  <si>
    <t>wylis centraluri dgari</t>
  </si>
  <si>
    <t>wylis dgari, niS. -5</t>
  </si>
  <si>
    <t>wylis mili</t>
  </si>
  <si>
    <t>wylis dgari, niS. 0.00</t>
  </si>
  <si>
    <t>wylis mricxveli</t>
  </si>
  <si>
    <t>mricxveli, niS. 0.00</t>
  </si>
  <si>
    <t>mricxveli</t>
  </si>
  <si>
    <t>mricxveli, niS. 3.20/6.40</t>
  </si>
  <si>
    <t>wylis daqselva binebSi</t>
  </si>
  <si>
    <t>daqselva, niS. 0.00</t>
  </si>
  <si>
    <t>liftebi</t>
  </si>
  <si>
    <t>lifti</t>
  </si>
  <si>
    <t>tentebi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</si>
  <si>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</si>
  <si>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</si>
  <si>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</si>
  <si>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</si>
  <si>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</si>
  <si>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</si>
  <si>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</si>
  <si>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</si>
  <si>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-2.55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</si>
  <si>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</si>
  <si>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</si>
  <si>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</si>
  <si>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</si>
  <si>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</si>
  <si>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</si>
  <si>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</si>
  <si>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</si>
  <si>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</si>
  <si>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</si>
  <si>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</si>
  <si>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</si>
  <si>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</si>
  <si>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</si>
  <si>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</si>
  <si>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</si>
  <si>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</si>
  <si>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</si>
  <si>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</si>
  <si>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</si>
  <si>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</si>
  <si>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</si>
  <si>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</si>
  <si>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</si>
  <si>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</si>
  <si>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</si>
  <si>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</si>
  <si>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</si>
  <si>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</si>
  <si>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</si>
  <si>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</si>
  <si>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</si>
  <si>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</si>
  <si>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</si>
  <si>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</si>
  <si>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</si>
  <si>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</si>
  <si>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blokis wyoba 10 niS. -2.65</t>
  </si>
  <si>
    <t>მ2</t>
  </si>
  <si>
    <t>რეტრო kabeli 2*2.5</t>
  </si>
  <si>
    <t>რეტრო kabeli 2*1.5</t>
  </si>
  <si>
    <t>betoni b-7.5</t>
  </si>
  <si>
    <t>ჯეოტექსტილი</t>
  </si>
  <si>
    <t>იქსპიესი 3 ნი</t>
  </si>
  <si>
    <t>იქსპიესი 5 ნი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</si>
  <si>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</si>
  <si>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</si>
  <si>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</si>
  <si>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</si>
  <si>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</si>
  <si>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</si>
  <si>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</si>
  <si>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</si>
  <si>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</si>
  <si>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</si>
  <si>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</si>
  <si>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</si>
  <si>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</si>
  <si>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</si>
  <si>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</si>
  <si>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</si>
  <si>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</si>
  <si>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</si>
  <si>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</si>
  <si>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</si>
  <si>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</si>
  <si>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</si>
  <si>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</si>
  <si>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</si>
  <si>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</si>
  <si>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</si>
  <si>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</si>
  <si>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</si>
  <si>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</si>
  <si>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</si>
  <si>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</si>
  <si>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</si>
  <si>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</si>
  <si>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</si>
  <si>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</si>
  <si>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</si>
  <si>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</si>
  <si>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</si>
  <si>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</si>
  <si>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</si>
  <si>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</si>
  <si>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</si>
  <si>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</si>
  <si>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</si>
  <si>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</si>
  <si>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</si>
  <si>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</si>
  <si>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</si>
  <si>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membrana იპდმ</t>
  </si>
  <si>
    <t>ხის მასალა</t>
  </si>
  <si>
    <t>მ3</t>
  </si>
  <si>
    <t>ოსბ 12 ნი</t>
  </si>
  <si>
    <t>hidroizolacia, Roris da miwis gaSla</t>
  </si>
  <si>
    <t>წებოცემენტი 185</t>
  </si>
  <si>
    <t>წებოცემენტი 186</t>
  </si>
  <si>
    <t xml:space="preserve">ფასადის ბადე </t>
  </si>
  <si>
    <t>ფასადის ფითხი</t>
  </si>
  <si>
    <t>გრუნტი</t>
  </si>
  <si>
    <t>ლიტრი</t>
  </si>
  <si>
    <t>საღებავი</t>
  </si>
  <si>
    <t>ქვაბამბა 05 ნი</t>
  </si>
  <si>
    <t>ქვაბამბა 03 ნი</t>
  </si>
  <si>
    <t>saZirkvlis betonis kedlebis hidroizolacia</t>
  </si>
  <si>
    <t>praimeri</t>
  </si>
  <si>
    <t>linokromi</t>
  </si>
  <si>
    <r>
      <t>m</t>
    </r>
    <r>
      <rPr>
        <vertAlign val="superscript"/>
        <sz val="8"/>
        <rFont val="Avaza"/>
        <family val="2"/>
      </rPr>
      <t>2</t>
    </r>
  </si>
  <si>
    <t>hidroizolacia</t>
  </si>
  <si>
    <t>სარტყელი</t>
  </si>
  <si>
    <t>ბეტონი</t>
  </si>
  <si>
    <t>არმატურა</t>
  </si>
  <si>
    <t>ტონა</t>
  </si>
  <si>
    <t>სადარბაზო</t>
  </si>
  <si>
    <t>vitraJi alumini niS. 0.00</t>
  </si>
  <si>
    <t xml:space="preserve"> vitraJi</t>
  </si>
  <si>
    <t>izolacia niS. 4.50</t>
  </si>
  <si>
    <t>izolacia niS. 7.70/10.90</t>
  </si>
  <si>
    <t>kari. Sakomunikacio oTaxebis</t>
  </si>
  <si>
    <t xml:space="preserve">sak. Saxta niS. </t>
  </si>
  <si>
    <t>sanaTi, niS. 4.50/7.70/10.90</t>
  </si>
  <si>
    <t>eldaqselva, niS. 4.50/7.70/10.90</t>
  </si>
  <si>
    <t>wylis dgari, niS. 4,50</t>
  </si>
  <si>
    <t>wylis dgari, niS. 7.70</t>
  </si>
  <si>
    <t>lifტი</t>
  </si>
  <si>
    <t>ლითონის ფურცლის მოწყობა</t>
  </si>
  <si>
    <t>torecebis Savad lesva</t>
  </si>
  <si>
    <t>TunuqiT aivnebze</t>
  </si>
  <si>
    <t>kuTxovanis mowyoba aivanze</t>
  </si>
  <si>
    <t>gverdiTa kedlebisTvis moWra</t>
  </si>
  <si>
    <t>saxli #6</t>
  </si>
  <si>
    <t>lisi saxli - 6</t>
  </si>
  <si>
    <t>მოც</t>
  </si>
  <si>
    <t>სხვაობა</t>
  </si>
  <si>
    <t>მასალა</t>
  </si>
  <si>
    <t>ხელფ</t>
  </si>
  <si>
    <t>მომსახურება</t>
  </si>
  <si>
    <t>ჯამი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</si>
</sst>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rgb="FFFF0000"/>
      <name val="Arial"/>
      <family val="2"/>
      <charset val="204"/>
    </font>
    <font>
      <b/>
      <sz val="8"/>
      <color rgb="FFFF0000"/>
      <name val="Avaza"/>
      <family val="2"/>
    </font>
    <font>
      <sz val="8"/>
      <color rgb="FFFF0000"/>
      <name val="Avaza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3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4" fontId="13" fillId="0" borderId="1" xfId="0" applyNumberFormat="1" applyFont="1" applyBorder="1" applyAlignment="1">
      <alignment vertical="center"/>
    </xf>
    <xf numFmtId="14" fontId="14" fillId="0" borderId="2" xfId="0" applyNumberFormat="1" applyFont="1" applyBorder="1" applyAlignment="1">
      <alignment horizontal="center" vertical="center"/>
    </xf>
    <xf numFmtId="2" fontId="0" fillId="0" borderId="0" xfId="0" applyNumberFormat="1"/>
    <xf numFmtId="2" fontId="5" fillId="3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0" fontId="0" fillId="0" borderId="0" xfId="1" applyNumberFormat="1" applyFont="1" applyFill="1"/>
    <xf numFmtId="4" fontId="0" fillId="0" borderId="0" xfId="0" applyNumberFormat="1"/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4" fontId="2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ka/Desktop/c/&#4305;&#4312;&#4323;&#4335;&#4308;&#4322;&#4308;&#4305;&#4312;/&#4314;&#4312;&#4321;&#4312;/&#4314;&#4312;&#4321;&#4312;%205/&#4305;&#4312;&#4323;&#4335;&#4308;&#4322;&#4312;%20&#4314;&#4312;&#4321;&#4312;%205%2012,10,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ბიუჯეტი"/>
      <sheetName val="სამუშაო"/>
    </sheetNames>
    <sheetDataSet>
      <sheetData sheetId="0">
        <row r="22">
          <cell r="B22">
            <v>4418535.7793141883</v>
          </cell>
        </row>
      </sheetData>
      <sheetData sheetId="1">
        <row r="59">
          <cell r="B59" t="str">
            <v>blokis wyoba 20</v>
          </cell>
          <cell r="C59" t="str">
            <v>m2</v>
          </cell>
          <cell r="D59">
            <v>2224.1808000000001</v>
          </cell>
          <cell r="E59">
            <v>25.744142581442095</v>
          </cell>
          <cell r="F59">
            <v>57259.627642105945</v>
          </cell>
          <cell r="G59">
            <v>25.121242279404623</v>
          </cell>
          <cell r="H59">
            <v>55874.18475</v>
          </cell>
          <cell r="I59">
            <v>0</v>
          </cell>
          <cell r="J59">
            <v>0</v>
          </cell>
          <cell r="K59">
            <v>113133.81239210595</v>
          </cell>
        </row>
        <row r="60">
          <cell r="B60" t="str">
            <v>blokis wyoba 20  niS -2.55</v>
          </cell>
          <cell r="C60" t="str">
            <v>m2</v>
          </cell>
          <cell r="D60">
            <v>0</v>
          </cell>
          <cell r="F60">
            <v>0</v>
          </cell>
          <cell r="G60">
            <v>23.90625</v>
          </cell>
          <cell r="H60">
            <v>0</v>
          </cell>
          <cell r="K60">
            <v>0</v>
          </cell>
        </row>
        <row r="61">
          <cell r="B61" t="str">
            <v>bloki 20-iani</v>
          </cell>
          <cell r="C61" t="str">
            <v>c</v>
          </cell>
          <cell r="D61">
            <v>0</v>
          </cell>
          <cell r="E61">
            <v>1.5677966101694918</v>
          </cell>
          <cell r="F61">
            <v>0</v>
          </cell>
          <cell r="H61">
            <v>0</v>
          </cell>
          <cell r="K61">
            <v>0</v>
          </cell>
        </row>
        <row r="62">
          <cell r="B62" t="str">
            <v>zRudari</v>
          </cell>
          <cell r="C62" t="str">
            <v>grZ.m</v>
          </cell>
          <cell r="D62">
            <v>0</v>
          </cell>
          <cell r="E62">
            <v>31.0911491525424</v>
          </cell>
          <cell r="F62">
            <v>0</v>
          </cell>
          <cell r="G62">
            <v>19.125</v>
          </cell>
          <cell r="H62">
            <v>0</v>
          </cell>
          <cell r="K62">
            <v>0</v>
          </cell>
        </row>
        <row r="63">
          <cell r="B63" t="str">
            <v>qviSa</v>
          </cell>
          <cell r="C63" t="str">
            <v>m3</v>
          </cell>
          <cell r="D63">
            <v>0</v>
          </cell>
          <cell r="E63">
            <v>55.084745762711869</v>
          </cell>
          <cell r="F63">
            <v>0</v>
          </cell>
          <cell r="H63">
            <v>0</v>
          </cell>
          <cell r="K63">
            <v>0</v>
          </cell>
        </row>
        <row r="64">
          <cell r="B64" t="str">
            <v>cementi m300</v>
          </cell>
          <cell r="C64" t="str">
            <v>t</v>
          </cell>
          <cell r="D64">
            <v>0</v>
          </cell>
          <cell r="E64">
            <v>238.55932203389833</v>
          </cell>
          <cell r="F64">
            <v>0</v>
          </cell>
          <cell r="H64">
            <v>0</v>
          </cell>
          <cell r="K64">
            <v>0</v>
          </cell>
        </row>
        <row r="65">
          <cell r="B65" t="str">
            <v>damxmare masala</v>
          </cell>
          <cell r="C65" t="str">
            <v>m2</v>
          </cell>
          <cell r="D65">
            <v>0</v>
          </cell>
          <cell r="E65">
            <v>0.84745762711864414</v>
          </cell>
          <cell r="F65">
            <v>0</v>
          </cell>
          <cell r="H65">
            <v>0</v>
          </cell>
          <cell r="K65">
            <v>0</v>
          </cell>
        </row>
        <row r="66">
          <cell r="B66" t="str">
            <v>blokis wyoba 20  niS 0.00</v>
          </cell>
          <cell r="C66" t="str">
            <v>m2</v>
          </cell>
          <cell r="D66">
            <v>584.43179999999995</v>
          </cell>
          <cell r="F66">
            <v>0</v>
          </cell>
          <cell r="G66">
            <v>23.90625</v>
          </cell>
          <cell r="H66">
            <v>13971.57271875</v>
          </cell>
          <cell r="K66">
            <v>13971.57271875</v>
          </cell>
        </row>
        <row r="67">
          <cell r="B67" t="str">
            <v>bloki 20-iani</v>
          </cell>
          <cell r="C67" t="str">
            <v>c</v>
          </cell>
          <cell r="D67">
            <v>7597.6133999999993</v>
          </cell>
          <cell r="E67">
            <v>1.5677966101694918</v>
          </cell>
          <cell r="F67">
            <v>11911.512533898305</v>
          </cell>
          <cell r="H67">
            <v>0</v>
          </cell>
          <cell r="K67">
            <v>11911.512533898305</v>
          </cell>
        </row>
        <row r="68">
          <cell r="B68" t="str">
            <v>zRudari</v>
          </cell>
          <cell r="C68" t="str">
            <v>გრძ/მ</v>
          </cell>
          <cell r="D68">
            <v>62.1</v>
          </cell>
          <cell r="E68">
            <v>12.711864406779661</v>
          </cell>
          <cell r="F68">
            <v>789.40677966101691</v>
          </cell>
          <cell r="G68">
            <v>19.125</v>
          </cell>
          <cell r="H68">
            <v>1187.6625000000001</v>
          </cell>
          <cell r="K68">
            <v>1977.0692796610169</v>
          </cell>
        </row>
        <row r="69">
          <cell r="B69" t="str">
            <v>qviSa</v>
          </cell>
          <cell r="C69" t="str">
            <v>m3</v>
          </cell>
          <cell r="D69">
            <v>18.409601699999996</v>
          </cell>
          <cell r="E69">
            <v>55.084745762711869</v>
          </cell>
          <cell r="F69">
            <v>1014.088229237288</v>
          </cell>
          <cell r="H69">
            <v>0</v>
          </cell>
          <cell r="K69">
            <v>1014.088229237288</v>
          </cell>
        </row>
        <row r="70">
          <cell r="B70" t="str">
            <v>cementi m300</v>
          </cell>
          <cell r="C70" t="str">
            <v>t</v>
          </cell>
          <cell r="D70">
            <v>4.8325204462499993</v>
          </cell>
          <cell r="E70">
            <v>238.55932203389833</v>
          </cell>
          <cell r="F70">
            <v>1152.8428013723517</v>
          </cell>
          <cell r="H70">
            <v>0</v>
          </cell>
          <cell r="K70">
            <v>1152.8428013723517</v>
          </cell>
        </row>
        <row r="71">
          <cell r="B71" t="str">
            <v>damxmare masala</v>
          </cell>
          <cell r="C71" t="str">
            <v>m2</v>
          </cell>
          <cell r="D71">
            <v>584.43179999999995</v>
          </cell>
          <cell r="E71">
            <v>0.84745762711864414</v>
          </cell>
          <cell r="F71">
            <v>495.28118644067797</v>
          </cell>
          <cell r="H71">
            <v>0</v>
          </cell>
          <cell r="K71">
            <v>495.28118644067797</v>
          </cell>
        </row>
        <row r="72">
          <cell r="B72" t="str">
            <v>blokis wyoba 20  niS 3.20/6.40/9.60</v>
          </cell>
          <cell r="C72" t="str">
            <v>m2</v>
          </cell>
          <cell r="D72">
            <v>1639.7490000000003</v>
          </cell>
          <cell r="F72">
            <v>0</v>
          </cell>
          <cell r="G72">
            <v>23.90625</v>
          </cell>
          <cell r="H72">
            <v>39200.249531250003</v>
          </cell>
          <cell r="K72">
            <v>39200.249531250003</v>
          </cell>
        </row>
        <row r="73">
          <cell r="B73" t="str">
            <v>bloki 20-iani</v>
          </cell>
          <cell r="C73" t="str">
            <v>c</v>
          </cell>
          <cell r="D73">
            <v>21316.737000000005</v>
          </cell>
          <cell r="E73">
            <v>1.5677966101694918</v>
          </cell>
          <cell r="F73">
            <v>33420.308008474589</v>
          </cell>
          <cell r="H73">
            <v>0</v>
          </cell>
          <cell r="K73">
            <v>33420.308008474589</v>
          </cell>
        </row>
        <row r="74">
          <cell r="B74" t="str">
            <v>zRudari</v>
          </cell>
          <cell r="C74" t="str">
            <v>გრძ/მ</v>
          </cell>
          <cell r="D74">
            <v>79.2</v>
          </cell>
          <cell r="E74">
            <v>12.711864406779661</v>
          </cell>
          <cell r="F74">
            <v>1006.7796610169491</v>
          </cell>
          <cell r="G74">
            <v>19.125</v>
          </cell>
          <cell r="H74">
            <v>1514.7</v>
          </cell>
          <cell r="K74">
            <v>2521.4796610169492</v>
          </cell>
        </row>
        <row r="75">
          <cell r="B75" t="str">
            <v>qviSa</v>
          </cell>
          <cell r="C75" t="str">
            <v>m3</v>
          </cell>
          <cell r="D75">
            <v>51.652093500000007</v>
          </cell>
          <cell r="E75">
            <v>55.084745762711869</v>
          </cell>
          <cell r="F75">
            <v>2845.2424385593226</v>
          </cell>
          <cell r="H75">
            <v>0</v>
          </cell>
          <cell r="K75">
            <v>2845.2424385593226</v>
          </cell>
        </row>
        <row r="76">
          <cell r="B76" t="str">
            <v>cementi m300</v>
          </cell>
          <cell r="C76" t="str">
            <v>t</v>
          </cell>
          <cell r="D76">
            <v>13.558674543750003</v>
          </cell>
          <cell r="E76">
            <v>238.55932203389833</v>
          </cell>
          <cell r="F76">
            <v>3234.5482068352762</v>
          </cell>
          <cell r="H76">
            <v>0</v>
          </cell>
          <cell r="K76">
            <v>3234.5482068352762</v>
          </cell>
        </row>
        <row r="77">
          <cell r="B77" t="str">
            <v>damxmare masala</v>
          </cell>
          <cell r="C77" t="str">
            <v>m2</v>
          </cell>
          <cell r="D77">
            <v>1639.7490000000003</v>
          </cell>
          <cell r="E77">
            <v>0.84745762711864414</v>
          </cell>
          <cell r="F77">
            <v>1389.6177966101698</v>
          </cell>
          <cell r="H77">
            <v>0</v>
          </cell>
          <cell r="K77">
            <v>1389.6177966101698</v>
          </cell>
        </row>
        <row r="78">
          <cell r="B78" t="str">
            <v>aluminis vitraJi</v>
          </cell>
          <cell r="C78" t="str">
            <v>m2</v>
          </cell>
          <cell r="D78">
            <v>407.82400000000001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295.32033898305087</v>
          </cell>
          <cell r="J78">
            <v>120438.72192542374</v>
          </cell>
          <cell r="K78">
            <v>120438.72192542374</v>
          </cell>
        </row>
        <row r="79">
          <cell r="B79" t="str">
            <v>vitraJi niS. -2.55</v>
          </cell>
          <cell r="C79" t="str">
            <v>m2</v>
          </cell>
          <cell r="D79">
            <v>0</v>
          </cell>
          <cell r="F79">
            <v>0</v>
          </cell>
          <cell r="H79">
            <v>0</v>
          </cell>
          <cell r="I79">
            <v>295.32033898305087</v>
          </cell>
          <cell r="J79">
            <v>0</v>
          </cell>
          <cell r="K79">
            <v>0</v>
          </cell>
        </row>
        <row r="80">
          <cell r="B80" t="str">
            <v>vitraJi niS. 0.00</v>
          </cell>
          <cell r="C80" t="str">
            <v>m2</v>
          </cell>
          <cell r="D80">
            <v>107.82400000000001</v>
          </cell>
          <cell r="F80">
            <v>0</v>
          </cell>
          <cell r="H80">
            <v>0</v>
          </cell>
          <cell r="I80">
            <v>295.32033898305087</v>
          </cell>
          <cell r="J80">
            <v>31842.620230508481</v>
          </cell>
          <cell r="K80">
            <v>31842.620230508481</v>
          </cell>
        </row>
        <row r="81">
          <cell r="B81" t="str">
            <v>vitraJi niS. 3.20/6.40/9.60</v>
          </cell>
          <cell r="C81" t="str">
            <v>m2</v>
          </cell>
          <cell r="D81">
            <v>300</v>
          </cell>
          <cell r="F81">
            <v>0</v>
          </cell>
          <cell r="H81">
            <v>0</v>
          </cell>
          <cell r="I81">
            <v>295.32033898305087</v>
          </cell>
          <cell r="J81">
            <v>88596.101694915269</v>
          </cell>
          <cell r="K81">
            <v>88596.101694915269</v>
          </cell>
        </row>
        <row r="82">
          <cell r="B82" t="str">
            <v>fasadis mopirkeTeba aguriT</v>
          </cell>
          <cell r="C82" t="str">
            <v>m2</v>
          </cell>
          <cell r="D82">
            <v>1290.5161999999998</v>
          </cell>
          <cell r="E82">
            <v>49.815454546124414</v>
          </cell>
          <cell r="F82">
            <v>64287.651102137192</v>
          </cell>
          <cell r="G82">
            <v>84.736316184949871</v>
          </cell>
          <cell r="H82">
            <v>109353.58876499999</v>
          </cell>
          <cell r="I82">
            <v>0</v>
          </cell>
          <cell r="J82">
            <v>0</v>
          </cell>
          <cell r="K82">
            <v>173641.23986713719</v>
          </cell>
        </row>
        <row r="83">
          <cell r="B83" t="str">
            <v>fasadis mopirkeTeba aguriT niS -2.30</v>
          </cell>
          <cell r="C83" t="str">
            <v>m2</v>
          </cell>
          <cell r="D83">
            <v>24.84</v>
          </cell>
          <cell r="F83">
            <v>0</v>
          </cell>
          <cell r="G83">
            <v>80.324999999999989</v>
          </cell>
          <cell r="H83">
            <v>1995.2729999999997</v>
          </cell>
          <cell r="K83">
            <v>1995.2729999999997</v>
          </cell>
        </row>
        <row r="84">
          <cell r="B84" t="str">
            <v>aguri dekoratiuli</v>
          </cell>
          <cell r="C84" t="str">
            <v>cali</v>
          </cell>
          <cell r="D84">
            <v>912.87</v>
          </cell>
          <cell r="E84">
            <v>0.84745762711864414</v>
          </cell>
          <cell r="F84">
            <v>773.61864406779671</v>
          </cell>
          <cell r="H84">
            <v>0</v>
          </cell>
          <cell r="K84">
            <v>773.61864406779671</v>
          </cell>
        </row>
        <row r="85">
          <cell r="B85" t="str">
            <v>qviSa</v>
          </cell>
          <cell r="C85" t="str">
            <v>m3</v>
          </cell>
          <cell r="D85">
            <v>0.78246000000000004</v>
          </cell>
          <cell r="E85">
            <v>55.084745762711869</v>
          </cell>
          <cell r="F85">
            <v>43.101610169491529</v>
          </cell>
          <cell r="H85">
            <v>0</v>
          </cell>
          <cell r="K85">
            <v>43.101610169491529</v>
          </cell>
        </row>
        <row r="86">
          <cell r="B86" t="str">
            <v>kuTxovanis mowyoba</v>
          </cell>
          <cell r="C86" t="str">
            <v>grZ.m</v>
          </cell>
          <cell r="D86">
            <v>0</v>
          </cell>
          <cell r="E86">
            <v>12.076271186440678</v>
          </cell>
          <cell r="F86">
            <v>0</v>
          </cell>
          <cell r="G86">
            <v>12.75</v>
          </cell>
          <cell r="H86">
            <v>0</v>
          </cell>
          <cell r="K86">
            <v>0</v>
          </cell>
        </row>
        <row r="87">
          <cell r="B87" t="str">
            <v>cementi m300</v>
          </cell>
          <cell r="C87" t="str">
            <v>t</v>
          </cell>
          <cell r="D87">
            <v>0.20539575000000002</v>
          </cell>
          <cell r="E87">
            <v>238.55932203389833</v>
          </cell>
          <cell r="F87">
            <v>48.999070868644075</v>
          </cell>
          <cell r="H87">
            <v>0</v>
          </cell>
          <cell r="K87">
            <v>48.999070868644075</v>
          </cell>
        </row>
        <row r="88">
          <cell r="B88" t="str">
            <v>damxmare masala</v>
          </cell>
          <cell r="C88" t="str">
            <v>m2</v>
          </cell>
          <cell r="D88">
            <v>24.84</v>
          </cell>
          <cell r="E88">
            <v>1.0169491525423728</v>
          </cell>
          <cell r="F88">
            <v>25.261016949152541</v>
          </cell>
          <cell r="H88">
            <v>0</v>
          </cell>
          <cell r="K88">
            <v>25.261016949152541</v>
          </cell>
        </row>
        <row r="89">
          <cell r="B89" t="str">
            <v>fasadis mopirkeTeba aguriT niS 0.00</v>
          </cell>
          <cell r="C89" t="str">
            <v>m2</v>
          </cell>
          <cell r="D89">
            <v>225.72739999999999</v>
          </cell>
          <cell r="F89">
            <v>0</v>
          </cell>
          <cell r="G89">
            <v>80.324999999999989</v>
          </cell>
          <cell r="H89">
            <v>18131.553404999995</v>
          </cell>
          <cell r="K89">
            <v>18131.553404999995</v>
          </cell>
        </row>
        <row r="90">
          <cell r="B90" t="str">
            <v>aguri dekoratiuli</v>
          </cell>
          <cell r="C90" t="str">
            <v>cali</v>
          </cell>
          <cell r="D90">
            <v>8295.4819499999994</v>
          </cell>
          <cell r="E90">
            <v>0.84745762711864414</v>
          </cell>
          <cell r="F90">
            <v>7030.0694491525428</v>
          </cell>
          <cell r="H90">
            <v>0</v>
          </cell>
          <cell r="K90">
            <v>7030.0694491525428</v>
          </cell>
        </row>
        <row r="91">
          <cell r="B91" t="str">
            <v>qviSa</v>
          </cell>
          <cell r="C91" t="str">
            <v>m3</v>
          </cell>
          <cell r="D91">
            <v>11.8506885</v>
          </cell>
          <cell r="E91">
            <v>55.084745762711869</v>
          </cell>
          <cell r="F91">
            <v>652.79216313559334</v>
          </cell>
          <cell r="H91">
            <v>0</v>
          </cell>
          <cell r="K91">
            <v>652.79216313559334</v>
          </cell>
        </row>
        <row r="92">
          <cell r="B92" t="str">
            <v>kuTxovanis mowyoba</v>
          </cell>
          <cell r="C92" t="str">
            <v>grZ.m</v>
          </cell>
          <cell r="D92">
            <v>222.10000000000002</v>
          </cell>
          <cell r="E92">
            <v>12.076271186440678</v>
          </cell>
          <cell r="F92">
            <v>2682.1398305084749</v>
          </cell>
          <cell r="G92">
            <v>12.75</v>
          </cell>
          <cell r="H92">
            <v>2831.7750000000001</v>
          </cell>
          <cell r="K92">
            <v>5513.9148305084746</v>
          </cell>
        </row>
        <row r="93">
          <cell r="B93" t="str">
            <v>cementi m300</v>
          </cell>
          <cell r="C93" t="str">
            <v>t</v>
          </cell>
          <cell r="D93">
            <v>3.1108057312500002</v>
          </cell>
          <cell r="E93">
            <v>238.55932203389833</v>
          </cell>
          <cell r="F93">
            <v>742.11170622616532</v>
          </cell>
          <cell r="H93">
            <v>0</v>
          </cell>
          <cell r="K93">
            <v>742.11170622616532</v>
          </cell>
        </row>
        <row r="94">
          <cell r="B94" t="str">
            <v>damxmare masala</v>
          </cell>
          <cell r="C94" t="str">
            <v>m2</v>
          </cell>
          <cell r="D94">
            <v>225.72739999999999</v>
          </cell>
          <cell r="E94">
            <v>4.2372881355932206</v>
          </cell>
          <cell r="F94">
            <v>956.47203389830509</v>
          </cell>
          <cell r="H94">
            <v>0</v>
          </cell>
          <cell r="K94">
            <v>956.47203389830509</v>
          </cell>
        </row>
        <row r="95">
          <cell r="B95" t="str">
            <v>fasadis mopirkeTeba aguriT niS 3.20/6.40/9.60</v>
          </cell>
          <cell r="C95" t="str">
            <v>m2</v>
          </cell>
          <cell r="D95">
            <v>963.97280000000001</v>
          </cell>
          <cell r="F95">
            <v>0</v>
          </cell>
          <cell r="G95">
            <v>80.324999999999989</v>
          </cell>
          <cell r="H95">
            <v>77431.115159999987</v>
          </cell>
          <cell r="K95">
            <v>77431.115159999987</v>
          </cell>
        </row>
        <row r="96">
          <cell r="B96" t="str">
            <v>aguri dekoratiuli</v>
          </cell>
          <cell r="C96" t="str">
            <v>cali</v>
          </cell>
          <cell r="D96">
            <v>35426.000400000004</v>
          </cell>
          <cell r="E96">
            <v>0.84745762711864414</v>
          </cell>
          <cell r="F96">
            <v>30022.034237288142</v>
          </cell>
          <cell r="H96">
            <v>0</v>
          </cell>
          <cell r="K96">
            <v>30022.034237288142</v>
          </cell>
        </row>
        <row r="97">
          <cell r="B97" t="str">
            <v>qviSa</v>
          </cell>
          <cell r="C97" t="str">
            <v>m3</v>
          </cell>
          <cell r="D97">
            <v>50.608572000000009</v>
          </cell>
          <cell r="E97">
            <v>55.084745762711869</v>
          </cell>
          <cell r="F97">
            <v>2787.7603220338992</v>
          </cell>
          <cell r="H97">
            <v>0</v>
          </cell>
          <cell r="K97">
            <v>2787.7603220338992</v>
          </cell>
        </row>
        <row r="98">
          <cell r="B98" t="str">
            <v>kuTxovanis mowyoba</v>
          </cell>
          <cell r="C98" t="str">
            <v>grZ.m</v>
          </cell>
          <cell r="D98">
            <v>224.39999999999998</v>
          </cell>
          <cell r="E98">
            <v>12.076271186440678</v>
          </cell>
          <cell r="F98">
            <v>2709.9152542372881</v>
          </cell>
          <cell r="G98">
            <v>12.75</v>
          </cell>
          <cell r="H98">
            <v>2861.1</v>
          </cell>
          <cell r="K98">
            <v>5571.015254237288</v>
          </cell>
        </row>
        <row r="99">
          <cell r="B99" t="str">
            <v>cementi m300</v>
          </cell>
          <cell r="C99" t="str">
            <v>t</v>
          </cell>
          <cell r="D99">
            <v>13.284750150000002</v>
          </cell>
          <cell r="E99">
            <v>238.55932203389833</v>
          </cell>
          <cell r="F99">
            <v>3169.2009891737298</v>
          </cell>
          <cell r="H99">
            <v>0</v>
          </cell>
          <cell r="K99">
            <v>3169.2009891737298</v>
          </cell>
        </row>
        <row r="100">
          <cell r="B100" t="str">
            <v>damxmare masala</v>
          </cell>
          <cell r="C100" t="str">
            <v>m2</v>
          </cell>
          <cell r="D100">
            <v>963.97280000000001</v>
          </cell>
          <cell r="E100">
            <v>10.16949152542373</v>
          </cell>
          <cell r="F100">
            <v>9803.1132203389843</v>
          </cell>
          <cell r="H100">
            <v>0</v>
          </cell>
          <cell r="K100">
            <v>9803.1132203389843</v>
          </cell>
        </row>
        <row r="101">
          <cell r="B101" t="str">
            <v xml:space="preserve"> parapetis mpirkeTeba aguriT</v>
          </cell>
          <cell r="C101" t="str">
            <v>m2</v>
          </cell>
          <cell r="D101">
            <v>75.975999999999999</v>
          </cell>
          <cell r="F101">
            <v>0</v>
          </cell>
          <cell r="G101">
            <v>80.324999999999989</v>
          </cell>
          <cell r="H101">
            <v>6102.7721999999994</v>
          </cell>
          <cell r="K101">
            <v>6102.7721999999994</v>
          </cell>
        </row>
        <row r="102">
          <cell r="B102" t="str">
            <v>aguri dekoratiuli</v>
          </cell>
          <cell r="C102" t="str">
            <v>cali</v>
          </cell>
          <cell r="D102">
            <v>2792.1179999999999</v>
          </cell>
          <cell r="E102">
            <v>0.84745762711864414</v>
          </cell>
          <cell r="F102">
            <v>2366.2016949152544</v>
          </cell>
          <cell r="H102">
            <v>0</v>
          </cell>
          <cell r="K102">
            <v>2366.2016949152544</v>
          </cell>
        </row>
        <row r="103">
          <cell r="B103" t="str">
            <v>qviSa</v>
          </cell>
          <cell r="C103" t="str">
            <v>m3</v>
          </cell>
          <cell r="D103">
            <v>2.3932440000000001</v>
          </cell>
          <cell r="E103">
            <v>55.084745762711869</v>
          </cell>
          <cell r="F103">
            <v>131.83123728813561</v>
          </cell>
          <cell r="H103">
            <v>0</v>
          </cell>
          <cell r="K103">
            <v>131.83123728813561</v>
          </cell>
        </row>
        <row r="104">
          <cell r="B104" t="str">
            <v>cementi m300</v>
          </cell>
          <cell r="C104" t="str">
            <v>t</v>
          </cell>
          <cell r="D104">
            <v>0.62822655000000005</v>
          </cell>
          <cell r="E104">
            <v>238.55932203389833</v>
          </cell>
          <cell r="F104">
            <v>149.86929985169493</v>
          </cell>
          <cell r="H104">
            <v>0</v>
          </cell>
          <cell r="K104">
            <v>149.86929985169493</v>
          </cell>
        </row>
        <row r="105">
          <cell r="B105" t="str">
            <v>damxmare masala</v>
          </cell>
          <cell r="C105" t="str">
            <v>m2</v>
          </cell>
          <cell r="D105">
            <v>75.975999999999999</v>
          </cell>
          <cell r="E105">
            <v>2.5423728813559325</v>
          </cell>
          <cell r="F105">
            <v>193.15932203389832</v>
          </cell>
          <cell r="H105">
            <v>0</v>
          </cell>
          <cell r="K105">
            <v>193.15932203389832</v>
          </cell>
        </row>
        <row r="106">
          <cell r="B106" t="str">
            <v>kar-fanjrebis ferdilis mopirkeTeba aguriT</v>
          </cell>
          <cell r="C106" t="str">
            <v>grZ.m</v>
          </cell>
          <cell r="D106">
            <v>826.66000000000008</v>
          </cell>
          <cell r="E106">
            <v>6.0646381091101684</v>
          </cell>
          <cell r="F106">
            <v>5013.3937392770122</v>
          </cell>
          <cell r="G106">
            <v>44.625</v>
          </cell>
          <cell r="H106">
            <v>36889.702500000007</v>
          </cell>
          <cell r="I106">
            <v>0</v>
          </cell>
          <cell r="J106">
            <v>0</v>
          </cell>
          <cell r="K106">
            <v>41903.096239277016</v>
          </cell>
        </row>
        <row r="107">
          <cell r="B107" t="str">
            <v>ferdilis mopirkeTeba aguriT, niS. 0.00</v>
          </cell>
          <cell r="C107" t="str">
            <v>grZ.m</v>
          </cell>
          <cell r="D107">
            <v>167.2</v>
          </cell>
          <cell r="F107">
            <v>0</v>
          </cell>
          <cell r="G107">
            <v>44.625</v>
          </cell>
          <cell r="H107">
            <v>7461.2999999999993</v>
          </cell>
          <cell r="K107">
            <v>7461.2999999999993</v>
          </cell>
        </row>
        <row r="108">
          <cell r="B108" t="str">
            <v>aguri dekoratiuli</v>
          </cell>
          <cell r="C108" t="str">
            <v>cali</v>
          </cell>
          <cell r="D108">
            <v>1086.8</v>
          </cell>
          <cell r="E108">
            <v>0.84745762711864414</v>
          </cell>
          <cell r="F108">
            <v>921.01694915254245</v>
          </cell>
          <cell r="H108">
            <v>0</v>
          </cell>
          <cell r="K108">
            <v>921.01694915254245</v>
          </cell>
        </row>
        <row r="109">
          <cell r="B109" t="str">
            <v>qviSa</v>
          </cell>
          <cell r="C109" t="str">
            <v>m3</v>
          </cell>
          <cell r="D109">
            <v>0.79001999999999994</v>
          </cell>
          <cell r="E109">
            <v>55.084745762711869</v>
          </cell>
          <cell r="F109">
            <v>43.51805084745763</v>
          </cell>
          <cell r="H109">
            <v>0</v>
          </cell>
          <cell r="K109">
            <v>43.51805084745763</v>
          </cell>
        </row>
        <row r="110">
          <cell r="B110" t="str">
            <v>cementi m300</v>
          </cell>
          <cell r="C110" t="str">
            <v>t</v>
          </cell>
          <cell r="D110">
            <v>0.20738024999999999</v>
          </cell>
          <cell r="E110">
            <v>238.55932203389833</v>
          </cell>
          <cell r="F110">
            <v>49.47249184322034</v>
          </cell>
          <cell r="H110">
            <v>0</v>
          </cell>
          <cell r="K110">
            <v>49.47249184322034</v>
          </cell>
        </row>
        <row r="111">
          <cell r="B111" t="str">
            <v>ferdilis mopirkeTeba aguriT, niS. 3.20/6.40/9.60</v>
          </cell>
          <cell r="C111" t="str">
            <v>grZ.m</v>
          </cell>
          <cell r="D111">
            <v>656.76</v>
          </cell>
          <cell r="F111">
            <v>0</v>
          </cell>
          <cell r="G111">
            <v>44.625</v>
          </cell>
          <cell r="H111">
            <v>29307.915000000001</v>
          </cell>
          <cell r="K111">
            <v>29307.915000000001</v>
          </cell>
        </row>
        <row r="112">
          <cell r="B112" t="str">
            <v>aguri dekoratiuli</v>
          </cell>
          <cell r="C112" t="str">
            <v>cali</v>
          </cell>
          <cell r="D112">
            <v>4268.9399999999996</v>
          </cell>
          <cell r="E112">
            <v>0.84745762711864414</v>
          </cell>
          <cell r="F112">
            <v>3617.7457627118642</v>
          </cell>
          <cell r="H112">
            <v>0</v>
          </cell>
          <cell r="K112">
            <v>3617.7457627118642</v>
          </cell>
        </row>
        <row r="113">
          <cell r="B113" t="str">
            <v>qviSa</v>
          </cell>
          <cell r="C113" t="str">
            <v>m3</v>
          </cell>
          <cell r="D113">
            <v>3.1031909999999998</v>
          </cell>
          <cell r="E113">
            <v>55.084745762711869</v>
          </cell>
          <cell r="F113">
            <v>170.9384872881356</v>
          </cell>
          <cell r="H113">
            <v>0</v>
          </cell>
          <cell r="K113">
            <v>170.9384872881356</v>
          </cell>
        </row>
        <row r="114">
          <cell r="B114" t="str">
            <v>cementi m300</v>
          </cell>
          <cell r="C114" t="str">
            <v>t</v>
          </cell>
          <cell r="D114">
            <v>0.81458763749999996</v>
          </cell>
          <cell r="E114">
            <v>238.55932203389833</v>
          </cell>
          <cell r="F114">
            <v>194.32747453919492</v>
          </cell>
          <cell r="H114">
            <v>0</v>
          </cell>
          <cell r="K114">
            <v>194.32747453919492</v>
          </cell>
        </row>
        <row r="115">
          <cell r="B115" t="str">
            <v>ferdilis mopirkeTeba parapetze</v>
          </cell>
          <cell r="C115" t="str">
            <v>grZ.m</v>
          </cell>
          <cell r="D115">
            <v>2.7</v>
          </cell>
          <cell r="F115">
            <v>0</v>
          </cell>
          <cell r="G115">
            <v>44.625</v>
          </cell>
          <cell r="H115">
            <v>120.48750000000001</v>
          </cell>
          <cell r="K115">
            <v>120.48750000000001</v>
          </cell>
        </row>
        <row r="116">
          <cell r="B116" t="str">
            <v>aguri dekoratiuli</v>
          </cell>
          <cell r="C116" t="str">
            <v>cali</v>
          </cell>
          <cell r="D116">
            <v>17.55</v>
          </cell>
          <cell r="E116">
            <v>0.84745762711864414</v>
          </cell>
          <cell r="F116">
            <v>14.872881355932206</v>
          </cell>
          <cell r="H116">
            <v>0</v>
          </cell>
          <cell r="K116">
            <v>14.872881355932206</v>
          </cell>
        </row>
        <row r="117">
          <cell r="B117" t="str">
            <v>qviSa</v>
          </cell>
          <cell r="C117" t="str">
            <v>m3</v>
          </cell>
          <cell r="D117">
            <v>1.2757500000000001E-2</v>
          </cell>
          <cell r="E117">
            <v>55.084745762711869</v>
          </cell>
          <cell r="F117">
            <v>0.70274364406779677</v>
          </cell>
          <cell r="H117">
            <v>0</v>
          </cell>
          <cell r="K117">
            <v>0.70274364406779677</v>
          </cell>
        </row>
        <row r="118">
          <cell r="B118" t="str">
            <v>cementi m300</v>
          </cell>
          <cell r="C118" t="str">
            <v>t</v>
          </cell>
          <cell r="D118">
            <v>3.3488437500000007E-3</v>
          </cell>
          <cell r="E118">
            <v>238.55932203389833</v>
          </cell>
          <cell r="F118">
            <v>0.79889789459745786</v>
          </cell>
          <cell r="H118">
            <v>0</v>
          </cell>
          <cell r="K118">
            <v>0.79889789459745786</v>
          </cell>
        </row>
        <row r="119">
          <cell r="B119" t="str">
            <v>liftis Saxtis mopirkeTeba aguriT</v>
          </cell>
          <cell r="C119" t="str">
            <v>m2</v>
          </cell>
          <cell r="D119">
            <v>35.64</v>
          </cell>
          <cell r="E119">
            <v>20.211994173728815</v>
          </cell>
          <cell r="F119">
            <v>720.35547235169497</v>
          </cell>
          <cell r="G119">
            <v>80.324999999999989</v>
          </cell>
          <cell r="H119">
            <v>2862.7829999999994</v>
          </cell>
          <cell r="I119">
            <v>0</v>
          </cell>
          <cell r="J119">
            <v>0</v>
          </cell>
          <cell r="K119">
            <v>3583.1384723516944</v>
          </cell>
        </row>
        <row r="120">
          <cell r="B120" t="str">
            <v>fasadis mopirkeTeba aguriT niS 0.00</v>
          </cell>
          <cell r="C120" t="str">
            <v>m2</v>
          </cell>
          <cell r="D120">
            <v>8.91</v>
          </cell>
          <cell r="F120">
            <v>0</v>
          </cell>
          <cell r="G120">
            <v>80.324999999999989</v>
          </cell>
          <cell r="H120">
            <v>715.69574999999986</v>
          </cell>
          <cell r="K120">
            <v>715.69574999999986</v>
          </cell>
        </row>
        <row r="121">
          <cell r="B121" t="str">
            <v>aguri dekoratiuli</v>
          </cell>
          <cell r="C121" t="str">
            <v>cali</v>
          </cell>
          <cell r="D121">
            <v>163.72125000000003</v>
          </cell>
          <cell r="E121">
            <v>0.84745762711864414</v>
          </cell>
          <cell r="F121">
            <v>138.74682203389833</v>
          </cell>
          <cell r="H121">
            <v>0</v>
          </cell>
          <cell r="K121">
            <v>138.74682203389833</v>
          </cell>
        </row>
        <row r="122">
          <cell r="B122" t="str">
            <v>qviSa</v>
          </cell>
          <cell r="C122" t="str">
            <v>m3</v>
          </cell>
          <cell r="D122">
            <v>0.280665</v>
          </cell>
          <cell r="E122">
            <v>55.084745762711869</v>
          </cell>
          <cell r="F122">
            <v>15.460360169491526</v>
          </cell>
          <cell r="H122">
            <v>0</v>
          </cell>
          <cell r="K122">
            <v>15.460360169491526</v>
          </cell>
        </row>
        <row r="123">
          <cell r="B123" t="str">
            <v>cementi m300</v>
          </cell>
          <cell r="C123" t="str">
            <v>t</v>
          </cell>
          <cell r="D123">
            <v>7.3674562499999999E-2</v>
          </cell>
          <cell r="E123">
            <v>238.55932203389833</v>
          </cell>
          <cell r="F123">
            <v>17.575753681144068</v>
          </cell>
          <cell r="H123">
            <v>0</v>
          </cell>
          <cell r="K123">
            <v>17.575753681144068</v>
          </cell>
        </row>
        <row r="124">
          <cell r="B124" t="str">
            <v>damxmare masala</v>
          </cell>
          <cell r="C124" t="str">
            <v>m2</v>
          </cell>
          <cell r="D124">
            <v>8.91</v>
          </cell>
          <cell r="E124">
            <v>0.93220338983050854</v>
          </cell>
          <cell r="F124">
            <v>8.3059322033898315</v>
          </cell>
          <cell r="H124">
            <v>0</v>
          </cell>
          <cell r="K124">
            <v>8.3059322033898315</v>
          </cell>
        </row>
        <row r="125">
          <cell r="B125" t="str">
            <v>fasadis mopirkeTeba aguriT niS 3.20/6.40/9.60</v>
          </cell>
          <cell r="C125" t="str">
            <v>m2</v>
          </cell>
          <cell r="D125">
            <v>26.73</v>
          </cell>
          <cell r="F125">
            <v>0</v>
          </cell>
          <cell r="G125">
            <v>80.324999999999989</v>
          </cell>
          <cell r="H125">
            <v>2147.0872499999996</v>
          </cell>
          <cell r="K125">
            <v>2147.0872499999996</v>
          </cell>
        </row>
        <row r="126">
          <cell r="B126" t="str">
            <v>aguri dekoratiuli</v>
          </cell>
          <cell r="C126" t="str">
            <v>cali</v>
          </cell>
          <cell r="D126">
            <v>491.16375000000005</v>
          </cell>
          <cell r="E126">
            <v>0.84745762711864414</v>
          </cell>
          <cell r="F126">
            <v>416.24046610169501</v>
          </cell>
          <cell r="H126">
            <v>0</v>
          </cell>
          <cell r="K126">
            <v>416.24046610169501</v>
          </cell>
        </row>
        <row r="127">
          <cell r="B127" t="str">
            <v>qviSa</v>
          </cell>
          <cell r="C127" t="str">
            <v>m3</v>
          </cell>
          <cell r="D127">
            <v>0.84199499999999994</v>
          </cell>
          <cell r="E127">
            <v>55.084745762711869</v>
          </cell>
          <cell r="F127">
            <v>46.381080508474575</v>
          </cell>
          <cell r="H127">
            <v>0</v>
          </cell>
          <cell r="K127">
            <v>46.381080508474575</v>
          </cell>
        </row>
        <row r="128">
          <cell r="B128" t="str">
            <v>cementi m300</v>
          </cell>
          <cell r="C128" t="str">
            <v>t</v>
          </cell>
          <cell r="D128">
            <v>0.22102368749999998</v>
          </cell>
          <cell r="E128">
            <v>238.55932203389833</v>
          </cell>
          <cell r="F128">
            <v>52.7272610434322</v>
          </cell>
          <cell r="H128">
            <v>0</v>
          </cell>
          <cell r="K128">
            <v>52.7272610434322</v>
          </cell>
        </row>
        <row r="129">
          <cell r="B129" t="str">
            <v>damxmare masala</v>
          </cell>
          <cell r="C129" t="str">
            <v>m2</v>
          </cell>
          <cell r="D129">
            <v>26.73</v>
          </cell>
          <cell r="E129">
            <v>0.93220338983050854</v>
          </cell>
          <cell r="F129">
            <v>24.917796610169493</v>
          </cell>
          <cell r="H129">
            <v>0</v>
          </cell>
          <cell r="K129">
            <v>24.917796610169493</v>
          </cell>
        </row>
        <row r="130">
          <cell r="B130" t="str">
            <v>fasadis daTbuneba/SefiTxvna/Rebva</v>
          </cell>
          <cell r="C130" t="str">
            <v>m2</v>
          </cell>
          <cell r="D130">
            <v>164.53800000000001</v>
          </cell>
          <cell r="E130">
            <v>74.643862599562297</v>
          </cell>
          <cell r="F130">
            <v>12281.751864406782</v>
          </cell>
          <cell r="G130">
            <v>63.749999999999993</v>
          </cell>
          <cell r="H130">
            <v>10489.297499999999</v>
          </cell>
          <cell r="I130">
            <v>6.7796610169491531</v>
          </cell>
          <cell r="J130">
            <v>1115.5118644067798</v>
          </cell>
          <cell r="K130">
            <v>23886.561228813564</v>
          </cell>
        </row>
        <row r="131">
          <cell r="B131" t="str">
            <v>niS 0.00</v>
          </cell>
          <cell r="C131" t="str">
            <v>m2</v>
          </cell>
          <cell r="D131">
            <v>73.656000000000006</v>
          </cell>
          <cell r="F131">
            <v>0</v>
          </cell>
          <cell r="H131">
            <v>0</v>
          </cell>
          <cell r="K131">
            <v>0</v>
          </cell>
        </row>
        <row r="132">
          <cell r="B132" t="str">
            <v>წებოცემენტი 185</v>
          </cell>
          <cell r="C132" t="str">
            <v>ცალი</v>
          </cell>
          <cell r="D132">
            <v>29.462400000000002</v>
          </cell>
          <cell r="E132">
            <v>17.796610169491526</v>
          </cell>
          <cell r="F132">
            <v>524.33084745762721</v>
          </cell>
          <cell r="H132">
            <v>0</v>
          </cell>
          <cell r="K132">
            <v>524.33084745762721</v>
          </cell>
        </row>
        <row r="133">
          <cell r="B133" t="str">
            <v>წებოცემენტი 186</v>
          </cell>
          <cell r="C133" t="str">
            <v>ცალი</v>
          </cell>
          <cell r="D133">
            <v>36.828000000000003</v>
          </cell>
          <cell r="E133">
            <v>23.728813559322035</v>
          </cell>
          <cell r="F133">
            <v>873.88474576271199</v>
          </cell>
          <cell r="H133">
            <v>0</v>
          </cell>
          <cell r="K133">
            <v>873.88474576271199</v>
          </cell>
        </row>
        <row r="134">
          <cell r="B134" t="str">
            <v xml:space="preserve">ფასადის ბადე </v>
          </cell>
          <cell r="C134" t="str">
            <v>m2</v>
          </cell>
          <cell r="D134">
            <v>80.656000000000006</v>
          </cell>
          <cell r="E134">
            <v>3.3898305084745766</v>
          </cell>
          <cell r="F134">
            <v>273.41016949152549</v>
          </cell>
          <cell r="H134">
            <v>0</v>
          </cell>
          <cell r="K134">
            <v>273.41016949152549</v>
          </cell>
        </row>
        <row r="135">
          <cell r="B135" t="str">
            <v>ფასადის ფითხი</v>
          </cell>
          <cell r="C135" t="str">
            <v>ცალი</v>
          </cell>
          <cell r="D135">
            <v>14.731200000000001</v>
          </cell>
          <cell r="E135">
            <v>84.745762711864415</v>
          </cell>
          <cell r="F135">
            <v>1248.4067796610173</v>
          </cell>
          <cell r="H135">
            <v>0</v>
          </cell>
          <cell r="K135">
            <v>1248.4067796610173</v>
          </cell>
        </row>
        <row r="136">
          <cell r="B136" t="str">
            <v>გრუნტი</v>
          </cell>
          <cell r="C136" t="str">
            <v>ლიტრი</v>
          </cell>
          <cell r="D136">
            <v>10</v>
          </cell>
          <cell r="E136">
            <v>8.4745762711864412</v>
          </cell>
          <cell r="F136">
            <v>84.745762711864415</v>
          </cell>
          <cell r="H136">
            <v>0</v>
          </cell>
          <cell r="K136">
            <v>84.745762711864415</v>
          </cell>
        </row>
        <row r="137">
          <cell r="B137" t="str">
            <v>საღებავი</v>
          </cell>
          <cell r="C137" t="str">
            <v>ლიტრი</v>
          </cell>
          <cell r="D137">
            <v>30</v>
          </cell>
          <cell r="E137">
            <v>22.881355932203391</v>
          </cell>
          <cell r="F137">
            <v>686.4406779661017</v>
          </cell>
          <cell r="H137">
            <v>0</v>
          </cell>
          <cell r="K137">
            <v>686.4406779661017</v>
          </cell>
        </row>
        <row r="138">
          <cell r="B138" t="str">
            <v>ქვაბამბა 05 ნი</v>
          </cell>
          <cell r="C138" t="str">
            <v>m2</v>
          </cell>
          <cell r="D138">
            <v>88</v>
          </cell>
          <cell r="E138">
            <v>16.864406779661017</v>
          </cell>
          <cell r="F138">
            <v>1484.0677966101696</v>
          </cell>
          <cell r="H138">
            <v>0</v>
          </cell>
          <cell r="K138">
            <v>1484.0677966101696</v>
          </cell>
        </row>
        <row r="139">
          <cell r="B139" t="str">
            <v>ქვაბამბა 03 ნი</v>
          </cell>
          <cell r="C139" t="str">
            <v>m2</v>
          </cell>
          <cell r="D139">
            <v>8</v>
          </cell>
          <cell r="E139">
            <v>8.6440677966101696</v>
          </cell>
          <cell r="F139">
            <v>69.152542372881356</v>
          </cell>
          <cell r="H139">
            <v>0</v>
          </cell>
          <cell r="K139">
            <v>69.152542372881356</v>
          </cell>
        </row>
        <row r="140">
          <cell r="B140" t="str">
            <v>damxmare masala</v>
          </cell>
          <cell r="C140" t="str">
            <v>m2</v>
          </cell>
          <cell r="D140">
            <v>73.656000000000006</v>
          </cell>
          <cell r="E140">
            <v>6.7796610169491531</v>
          </cell>
          <cell r="F140">
            <v>499.36271186440689</v>
          </cell>
          <cell r="H140">
            <v>0</v>
          </cell>
          <cell r="K140">
            <v>499.36271186440689</v>
          </cell>
        </row>
        <row r="141">
          <cell r="B141" t="str">
            <v>niS 3.20/6.40/9.60</v>
          </cell>
          <cell r="C141" t="str">
            <v>m2</v>
          </cell>
          <cell r="D141">
            <v>90.882000000000005</v>
          </cell>
          <cell r="F141">
            <v>0</v>
          </cell>
          <cell r="H141">
            <v>0</v>
          </cell>
          <cell r="K141">
            <v>0</v>
          </cell>
        </row>
        <row r="142">
          <cell r="B142" t="str">
            <v>წებოცემენტი 185</v>
          </cell>
          <cell r="C142" t="str">
            <v>ცალი</v>
          </cell>
          <cell r="D142">
            <v>36.352800000000002</v>
          </cell>
          <cell r="E142">
            <v>17.796610169491526</v>
          </cell>
          <cell r="F142">
            <v>646.95661016949157</v>
          </cell>
          <cell r="H142">
            <v>0</v>
          </cell>
          <cell r="K142">
            <v>646.95661016949157</v>
          </cell>
        </row>
        <row r="143">
          <cell r="B143" t="str">
            <v>წებოცემენტი 186</v>
          </cell>
          <cell r="C143" t="str">
            <v>ცალი</v>
          </cell>
          <cell r="D143">
            <v>45.441000000000003</v>
          </cell>
          <cell r="E143">
            <v>23.728813559322035</v>
          </cell>
          <cell r="F143">
            <v>1078.2610169491527</v>
          </cell>
          <cell r="H143">
            <v>0</v>
          </cell>
          <cell r="K143">
            <v>1078.2610169491527</v>
          </cell>
        </row>
        <row r="144">
          <cell r="B144" t="str">
            <v xml:space="preserve">ფასადის ბადე </v>
          </cell>
          <cell r="C144" t="str">
            <v>m2</v>
          </cell>
          <cell r="D144">
            <v>97.882000000000005</v>
          </cell>
          <cell r="E144">
            <v>3.3898305084745766</v>
          </cell>
          <cell r="F144">
            <v>331.80338983050854</v>
          </cell>
          <cell r="H144">
            <v>0</v>
          </cell>
          <cell r="K144">
            <v>331.80338983050854</v>
          </cell>
        </row>
        <row r="145">
          <cell r="B145" t="str">
            <v>ფასადის ფითხი</v>
          </cell>
          <cell r="C145" t="str">
            <v>ცალი</v>
          </cell>
          <cell r="D145">
            <v>18.176400000000001</v>
          </cell>
          <cell r="E145">
            <v>84.745762711864415</v>
          </cell>
          <cell r="F145">
            <v>1540.3728813559323</v>
          </cell>
          <cell r="H145">
            <v>0</v>
          </cell>
          <cell r="K145">
            <v>1540.3728813559323</v>
          </cell>
        </row>
        <row r="146">
          <cell r="B146" t="str">
            <v>გრუნტი</v>
          </cell>
          <cell r="C146" t="str">
            <v>ლიტრი</v>
          </cell>
          <cell r="D146">
            <v>10</v>
          </cell>
          <cell r="E146">
            <v>8.4745762711864412</v>
          </cell>
          <cell r="F146">
            <v>84.745762711864415</v>
          </cell>
          <cell r="H146">
            <v>0</v>
          </cell>
          <cell r="K146">
            <v>84.745762711864415</v>
          </cell>
        </row>
        <row r="147">
          <cell r="B147" t="str">
            <v>საღებავი</v>
          </cell>
          <cell r="C147" t="str">
            <v>ლიტრი</v>
          </cell>
          <cell r="D147">
            <v>30</v>
          </cell>
          <cell r="E147">
            <v>22.881355932203391</v>
          </cell>
          <cell r="F147">
            <v>686.4406779661017</v>
          </cell>
          <cell r="H147">
            <v>0</v>
          </cell>
          <cell r="K147">
            <v>686.4406779661017</v>
          </cell>
        </row>
        <row r="148">
          <cell r="B148" t="str">
            <v>ქვაბამბა 05 ნი</v>
          </cell>
          <cell r="C148" t="str">
            <v>m2</v>
          </cell>
          <cell r="D148">
            <v>88</v>
          </cell>
          <cell r="E148">
            <v>16.864406779661017</v>
          </cell>
          <cell r="F148">
            <v>1484.0677966101696</v>
          </cell>
          <cell r="H148">
            <v>0</v>
          </cell>
          <cell r="K148">
            <v>1484.0677966101696</v>
          </cell>
        </row>
        <row r="149">
          <cell r="B149" t="str">
            <v>ქვაბამბა 03 ნი</v>
          </cell>
          <cell r="C149" t="str">
            <v>m2</v>
          </cell>
          <cell r="D149">
            <v>8</v>
          </cell>
          <cell r="E149">
            <v>8.6440677966101696</v>
          </cell>
          <cell r="F149">
            <v>69.152542372881356</v>
          </cell>
          <cell r="H149">
            <v>0</v>
          </cell>
          <cell r="K149">
            <v>69.152542372881356</v>
          </cell>
        </row>
        <row r="150">
          <cell r="B150" t="str">
            <v>damxmare masala</v>
          </cell>
          <cell r="C150" t="str">
            <v>m2</v>
          </cell>
          <cell r="D150">
            <v>90.882000000000005</v>
          </cell>
          <cell r="E150">
            <v>6.7796610169491531</v>
          </cell>
          <cell r="F150">
            <v>616.14915254237292</v>
          </cell>
          <cell r="H150">
            <v>0</v>
          </cell>
          <cell r="K150">
            <v>616.14915254237292</v>
          </cell>
        </row>
        <row r="151">
          <cell r="B151" t="str">
            <v>fasadis lesva/ betonis faqtura</v>
          </cell>
          <cell r="C151" t="str">
            <v>m2</v>
          </cell>
          <cell r="D151">
            <v>89.1</v>
          </cell>
          <cell r="E151">
            <v>30.819347607430242</v>
          </cell>
          <cell r="F151">
            <v>2746.0038718220344</v>
          </cell>
          <cell r="G151">
            <v>63.749999999999993</v>
          </cell>
          <cell r="H151">
            <v>5680.1249999999991</v>
          </cell>
          <cell r="I151">
            <v>72.033898305084747</v>
          </cell>
          <cell r="J151">
            <v>6418.2203389830502</v>
          </cell>
          <cell r="K151">
            <v>14844.349210805083</v>
          </cell>
        </row>
        <row r="152">
          <cell r="B152" t="str">
            <v>qviSa</v>
          </cell>
          <cell r="C152" t="str">
            <v>m3</v>
          </cell>
          <cell r="D152">
            <v>4.6777500000000005</v>
          </cell>
          <cell r="E152">
            <v>55.084745762711869</v>
          </cell>
          <cell r="F152">
            <v>257.67266949152548</v>
          </cell>
          <cell r="H152">
            <v>0</v>
          </cell>
          <cell r="K152">
            <v>257.67266949152548</v>
          </cell>
        </row>
        <row r="153">
          <cell r="B153" t="str">
            <v>webo/cementi</v>
          </cell>
          <cell r="C153" t="str">
            <v>c</v>
          </cell>
          <cell r="D153">
            <v>45</v>
          </cell>
          <cell r="E153">
            <v>29.661016949152543</v>
          </cell>
          <cell r="F153">
            <v>1334.7457627118645</v>
          </cell>
          <cell r="H153">
            <v>0</v>
          </cell>
          <cell r="K153">
            <v>1334.7457627118645</v>
          </cell>
        </row>
        <row r="154">
          <cell r="B154" t="str">
            <v>bade</v>
          </cell>
          <cell r="C154" t="str">
            <v>m2</v>
          </cell>
          <cell r="D154">
            <v>98.01</v>
          </cell>
          <cell r="E154">
            <v>2.1610169491525424</v>
          </cell>
          <cell r="F154">
            <v>211.80127118644069</v>
          </cell>
          <cell r="H154">
            <v>0</v>
          </cell>
          <cell r="K154">
            <v>211.80127118644069</v>
          </cell>
        </row>
        <row r="155">
          <cell r="B155" t="str">
            <v>damxmare masala</v>
          </cell>
          <cell r="C155" t="str">
            <v>m2</v>
          </cell>
          <cell r="D155">
            <v>89.1</v>
          </cell>
          <cell r="E155">
            <v>2.9237288135593222</v>
          </cell>
          <cell r="F155">
            <v>260.50423728813558</v>
          </cell>
          <cell r="H155">
            <v>0</v>
          </cell>
          <cell r="K155">
            <v>260.50423728813558</v>
          </cell>
        </row>
        <row r="156">
          <cell r="B156" t="str">
            <v>bade</v>
          </cell>
          <cell r="C156" t="str">
            <v>m2</v>
          </cell>
          <cell r="D156">
            <v>98.01</v>
          </cell>
          <cell r="E156">
            <v>2.9661016949152543</v>
          </cell>
          <cell r="F156">
            <v>290.7076271186441</v>
          </cell>
          <cell r="H156">
            <v>0</v>
          </cell>
          <cell r="K156">
            <v>290.7076271186441</v>
          </cell>
        </row>
        <row r="157">
          <cell r="B157" t="str">
            <v>cementi m300</v>
          </cell>
          <cell r="C157" t="str">
            <v>t</v>
          </cell>
          <cell r="D157">
            <v>1.6372125000000004</v>
          </cell>
          <cell r="E157">
            <v>238.55932203389833</v>
          </cell>
          <cell r="F157">
            <v>390.57230402542388</v>
          </cell>
          <cell r="H157">
            <v>0</v>
          </cell>
          <cell r="K157">
            <v>390.57230402542388</v>
          </cell>
        </row>
        <row r="158">
          <cell r="B158" t="str">
            <v>sak. Saxtis mowyoba/lifti</v>
          </cell>
          <cell r="C158" t="str">
            <v>m2</v>
          </cell>
          <cell r="D158">
            <v>76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293.25</v>
          </cell>
          <cell r="J158">
            <v>22287</v>
          </cell>
          <cell r="K158">
            <v>22287</v>
          </cell>
        </row>
        <row r="159">
          <cell r="B159" t="str">
            <v>fanjris bazaltis sacremle</v>
          </cell>
          <cell r="C159" t="str">
            <v>grZ.m</v>
          </cell>
          <cell r="D159">
            <v>94.800000000000011</v>
          </cell>
          <cell r="E159">
            <v>20.760084745762715</v>
          </cell>
          <cell r="F159">
            <v>1968.0560338983055</v>
          </cell>
          <cell r="G159">
            <v>19.125</v>
          </cell>
          <cell r="H159">
            <v>1813.0500000000002</v>
          </cell>
          <cell r="I159">
            <v>0</v>
          </cell>
          <cell r="J159">
            <v>0</v>
          </cell>
          <cell r="K159">
            <v>3781.1060338983057</v>
          </cell>
        </row>
        <row r="160">
          <cell r="B160" t="str">
            <v>sacremle, niS. -2.55</v>
          </cell>
          <cell r="C160" t="str">
            <v>grZ.m</v>
          </cell>
          <cell r="D160">
            <v>0</v>
          </cell>
          <cell r="F160">
            <v>0</v>
          </cell>
          <cell r="G160">
            <v>19.125</v>
          </cell>
          <cell r="H160">
            <v>0</v>
          </cell>
          <cell r="K160">
            <v>0</v>
          </cell>
        </row>
        <row r="161">
          <cell r="B161" t="str">
            <v>bazaltis fila 05</v>
          </cell>
          <cell r="C161" t="str">
            <v>m2</v>
          </cell>
          <cell r="D161">
            <v>0</v>
          </cell>
          <cell r="E161">
            <v>93.220338983050851</v>
          </cell>
          <cell r="F161">
            <v>0</v>
          </cell>
          <cell r="H161">
            <v>0</v>
          </cell>
          <cell r="K161">
            <v>0</v>
          </cell>
        </row>
        <row r="162">
          <cell r="B162" t="str">
            <v>webo/cementi</v>
          </cell>
          <cell r="C162" t="str">
            <v>c</v>
          </cell>
          <cell r="D162">
            <v>0</v>
          </cell>
          <cell r="E162">
            <v>12.711864406779661</v>
          </cell>
          <cell r="F162">
            <v>0</v>
          </cell>
          <cell r="H162">
            <v>0</v>
          </cell>
          <cell r="K162">
            <v>0</v>
          </cell>
        </row>
        <row r="163">
          <cell r="B163" t="str">
            <v>damxmare masala</v>
          </cell>
          <cell r="C163" t="str">
            <v>lari</v>
          </cell>
          <cell r="D163">
            <v>0</v>
          </cell>
          <cell r="E163">
            <v>0.84745762711864414</v>
          </cell>
          <cell r="F163">
            <v>0</v>
          </cell>
          <cell r="H163">
            <v>0</v>
          </cell>
          <cell r="K163">
            <v>0</v>
          </cell>
        </row>
        <row r="164">
          <cell r="B164" t="str">
            <v>sacremle, niS. 0.00</v>
          </cell>
          <cell r="C164" t="str">
            <v>grZ.m</v>
          </cell>
          <cell r="D164">
            <v>25.200000000000003</v>
          </cell>
          <cell r="F164">
            <v>0</v>
          </cell>
          <cell r="G164">
            <v>19.125</v>
          </cell>
          <cell r="H164">
            <v>481.95000000000005</v>
          </cell>
          <cell r="K164">
            <v>481.95000000000005</v>
          </cell>
        </row>
        <row r="165">
          <cell r="B165" t="str">
            <v>bazaltis fila 05</v>
          </cell>
          <cell r="C165" t="str">
            <v>m2</v>
          </cell>
          <cell r="D165">
            <v>5.2920000000000016</v>
          </cell>
          <cell r="E165">
            <v>93.220338983050851</v>
          </cell>
          <cell r="F165">
            <v>493.32203389830528</v>
          </cell>
          <cell r="H165">
            <v>0</v>
          </cell>
          <cell r="K165">
            <v>493.32203389830528</v>
          </cell>
        </row>
        <row r="166">
          <cell r="B166" t="str">
            <v>webo/cementi</v>
          </cell>
          <cell r="C166" t="str">
            <v>c</v>
          </cell>
          <cell r="D166">
            <v>0.66679200000000016</v>
          </cell>
          <cell r="E166">
            <v>12.711864406779661</v>
          </cell>
          <cell r="F166">
            <v>8.4761694915254253</v>
          </cell>
          <cell r="H166">
            <v>0</v>
          </cell>
          <cell r="K166">
            <v>8.4761694915254253</v>
          </cell>
        </row>
        <row r="167">
          <cell r="B167" t="str">
            <v>damxmare masala</v>
          </cell>
          <cell r="C167" t="str">
            <v>lari</v>
          </cell>
          <cell r="D167">
            <v>25.200000000000003</v>
          </cell>
          <cell r="E167">
            <v>0.84745762711864414</v>
          </cell>
          <cell r="F167">
            <v>21.355932203389834</v>
          </cell>
          <cell r="H167">
            <v>0</v>
          </cell>
          <cell r="K167">
            <v>21.355932203389834</v>
          </cell>
        </row>
        <row r="168">
          <cell r="B168" t="str">
            <v>sacremle, niS. 3.20/6.40/9.60</v>
          </cell>
          <cell r="C168" t="str">
            <v>grZ.m</v>
          </cell>
          <cell r="D168">
            <v>69.600000000000009</v>
          </cell>
          <cell r="F168">
            <v>0</v>
          </cell>
          <cell r="G168">
            <v>19.125</v>
          </cell>
          <cell r="H168">
            <v>1331.1000000000001</v>
          </cell>
          <cell r="K168">
            <v>1331.1000000000001</v>
          </cell>
        </row>
        <row r="169">
          <cell r="B169" t="str">
            <v>bazaltis fila 05</v>
          </cell>
          <cell r="C169" t="str">
            <v>m2</v>
          </cell>
          <cell r="D169">
            <v>14.616000000000003</v>
          </cell>
          <cell r="E169">
            <v>93.220338983050851</v>
          </cell>
          <cell r="F169">
            <v>1362.5084745762715</v>
          </cell>
          <cell r="H169">
            <v>0</v>
          </cell>
          <cell r="K169">
            <v>1362.5084745762715</v>
          </cell>
        </row>
        <row r="170">
          <cell r="B170" t="str">
            <v>webo/cementi</v>
          </cell>
          <cell r="C170" t="str">
            <v>c</v>
          </cell>
          <cell r="D170">
            <v>1.8416160000000008</v>
          </cell>
          <cell r="E170">
            <v>12.711864406779661</v>
          </cell>
          <cell r="F170">
            <v>23.410372881355944</v>
          </cell>
          <cell r="H170">
            <v>0</v>
          </cell>
          <cell r="K170">
            <v>23.410372881355944</v>
          </cell>
        </row>
        <row r="171">
          <cell r="B171" t="str">
            <v>damxmare masala</v>
          </cell>
          <cell r="C171" t="str">
            <v>lari</v>
          </cell>
          <cell r="D171">
            <v>69.600000000000009</v>
          </cell>
          <cell r="E171">
            <v>0.84745762711864414</v>
          </cell>
          <cell r="F171">
            <v>58.98305084745764</v>
          </cell>
          <cell r="H171">
            <v>0</v>
          </cell>
          <cell r="K171">
            <v>58.98305084745764</v>
          </cell>
        </row>
        <row r="172">
          <cell r="B172" t="str">
            <v>sacremle, niS. 10.5</v>
          </cell>
          <cell r="C172" t="str">
            <v>grZ.m</v>
          </cell>
          <cell r="D172">
            <v>0</v>
          </cell>
          <cell r="F172">
            <v>0</v>
          </cell>
          <cell r="G172">
            <v>19.125</v>
          </cell>
          <cell r="H172">
            <v>0</v>
          </cell>
          <cell r="K172">
            <v>0</v>
          </cell>
        </row>
        <row r="173">
          <cell r="B173" t="str">
            <v>bazaltis fila 05</v>
          </cell>
          <cell r="C173" t="str">
            <v>m2</v>
          </cell>
          <cell r="D173">
            <v>0</v>
          </cell>
          <cell r="E173">
            <v>93.220338983050851</v>
          </cell>
          <cell r="F173">
            <v>0</v>
          </cell>
          <cell r="H173">
            <v>0</v>
          </cell>
          <cell r="K173">
            <v>0</v>
          </cell>
        </row>
        <row r="174">
          <cell r="B174" t="str">
            <v>webo/cementi</v>
          </cell>
          <cell r="C174" t="str">
            <v>c</v>
          </cell>
          <cell r="D174">
            <v>0</v>
          </cell>
          <cell r="E174">
            <v>12.711864406779661</v>
          </cell>
          <cell r="F174">
            <v>0</v>
          </cell>
          <cell r="H174">
            <v>0</v>
          </cell>
          <cell r="K174">
            <v>0</v>
          </cell>
        </row>
        <row r="175">
          <cell r="B175" t="str">
            <v>damxmare masala</v>
          </cell>
          <cell r="C175" t="str">
            <v>lari</v>
          </cell>
          <cell r="D175">
            <v>0</v>
          </cell>
          <cell r="E175">
            <v>0.84745762711864414</v>
          </cell>
          <cell r="F175">
            <v>0</v>
          </cell>
          <cell r="H175">
            <v>0</v>
          </cell>
          <cell r="K175">
            <v>0</v>
          </cell>
        </row>
        <row r="176">
          <cell r="B176" t="str">
            <v>kar-fanjrebis amolesva Signidan</v>
          </cell>
          <cell r="C176" t="str">
            <v>grZ.m</v>
          </cell>
          <cell r="D176">
            <v>602</v>
          </cell>
          <cell r="E176">
            <v>0.6547929025423731</v>
          </cell>
          <cell r="F176">
            <v>394.18532733050858</v>
          </cell>
          <cell r="G176">
            <v>6.3750000000000009</v>
          </cell>
          <cell r="H176">
            <v>3837.7500000000005</v>
          </cell>
          <cell r="I176">
            <v>0</v>
          </cell>
          <cell r="J176">
            <v>0</v>
          </cell>
          <cell r="K176">
            <v>4231.9353273305087</v>
          </cell>
        </row>
        <row r="177">
          <cell r="B177" t="str">
            <v>lesva, niS. -2.55</v>
          </cell>
          <cell r="C177" t="str">
            <v>grZ.m</v>
          </cell>
          <cell r="D177">
            <v>0</v>
          </cell>
          <cell r="F177">
            <v>0</v>
          </cell>
          <cell r="G177">
            <v>6.375</v>
          </cell>
          <cell r="H177">
            <v>0</v>
          </cell>
          <cell r="K177">
            <v>0</v>
          </cell>
        </row>
        <row r="178">
          <cell r="B178" t="str">
            <v>qviSa</v>
          </cell>
          <cell r="C178" t="str">
            <v>m3</v>
          </cell>
          <cell r="D178">
            <v>0</v>
          </cell>
          <cell r="E178">
            <v>55.084745762711869</v>
          </cell>
          <cell r="F178">
            <v>0</v>
          </cell>
          <cell r="H178">
            <v>0</v>
          </cell>
          <cell r="K178">
            <v>0</v>
          </cell>
        </row>
        <row r="179">
          <cell r="B179" t="str">
            <v>cementi m300</v>
          </cell>
          <cell r="C179" t="str">
            <v>t</v>
          </cell>
          <cell r="D179">
            <v>0</v>
          </cell>
          <cell r="E179">
            <v>238.55932203389833</v>
          </cell>
          <cell r="F179">
            <v>0</v>
          </cell>
          <cell r="H179">
            <v>0</v>
          </cell>
          <cell r="K179">
            <v>0</v>
          </cell>
        </row>
        <row r="180">
          <cell r="B180" t="str">
            <v>lesva, niS. 0.00</v>
          </cell>
          <cell r="C180" t="str">
            <v>grZ.m</v>
          </cell>
          <cell r="D180">
            <v>124.4</v>
          </cell>
          <cell r="F180">
            <v>0</v>
          </cell>
          <cell r="G180">
            <v>6.375</v>
          </cell>
          <cell r="H180">
            <v>793.05000000000007</v>
          </cell>
          <cell r="K180">
            <v>793.05000000000007</v>
          </cell>
        </row>
        <row r="181">
          <cell r="B181" t="str">
            <v>qviSa</v>
          </cell>
          <cell r="C181" t="str">
            <v>m3</v>
          </cell>
          <cell r="D181">
            <v>0.58779000000000003</v>
          </cell>
          <cell r="E181">
            <v>55.084745762711869</v>
          </cell>
          <cell r="F181">
            <v>32.378262711864409</v>
          </cell>
          <cell r="H181">
            <v>0</v>
          </cell>
          <cell r="K181">
            <v>32.378262711864409</v>
          </cell>
        </row>
        <row r="182">
          <cell r="B182" t="str">
            <v>cementi m300</v>
          </cell>
          <cell r="C182" t="str">
            <v>t</v>
          </cell>
          <cell r="D182">
            <v>0.20572650000000003</v>
          </cell>
          <cell r="E182">
            <v>238.55932203389833</v>
          </cell>
          <cell r="F182">
            <v>49.077974364406792</v>
          </cell>
          <cell r="H182">
            <v>0</v>
          </cell>
          <cell r="K182">
            <v>49.077974364406792</v>
          </cell>
        </row>
        <row r="183">
          <cell r="B183" t="str">
            <v>lesva, niS. 3.20/6.40/9.60</v>
          </cell>
          <cell r="C183" t="str">
            <v>grZ.m</v>
          </cell>
          <cell r="D183">
            <v>477.6</v>
          </cell>
          <cell r="F183">
            <v>0</v>
          </cell>
          <cell r="G183">
            <v>6.375</v>
          </cell>
          <cell r="H183">
            <v>3044.7000000000003</v>
          </cell>
          <cell r="K183">
            <v>3044.7000000000003</v>
          </cell>
        </row>
        <row r="184">
          <cell r="B184" t="str">
            <v>qviSa</v>
          </cell>
          <cell r="C184" t="str">
            <v>m3</v>
          </cell>
          <cell r="D184">
            <v>2.2566600000000001</v>
          </cell>
          <cell r="E184">
            <v>55.084745762711869</v>
          </cell>
          <cell r="F184">
            <v>124.30754237288137</v>
          </cell>
          <cell r="H184">
            <v>0</v>
          </cell>
          <cell r="K184">
            <v>124.30754237288137</v>
          </cell>
        </row>
        <row r="185">
          <cell r="B185" t="str">
            <v>cementi m300</v>
          </cell>
          <cell r="C185" t="str">
            <v>t</v>
          </cell>
          <cell r="D185">
            <v>0.78983100000000006</v>
          </cell>
          <cell r="E185">
            <v>238.55932203389833</v>
          </cell>
          <cell r="F185">
            <v>188.42154788135596</v>
          </cell>
          <cell r="H185">
            <v>0</v>
          </cell>
          <cell r="K185">
            <v>188.42154788135596</v>
          </cell>
        </row>
        <row r="186">
          <cell r="B186" t="str">
            <v>kar-fanjrebis izolacia</v>
          </cell>
          <cell r="C186" t="str">
            <v>grZ.m</v>
          </cell>
          <cell r="D186">
            <v>298.8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15.254237288135593</v>
          </cell>
          <cell r="J186">
            <v>4557.9661016949158</v>
          </cell>
          <cell r="K186">
            <v>4557.9661016949158</v>
          </cell>
        </row>
        <row r="187">
          <cell r="B187" t="str">
            <v>izolacia niS. -2.55</v>
          </cell>
          <cell r="C187" t="str">
            <v>grZ.m</v>
          </cell>
          <cell r="D187">
            <v>0</v>
          </cell>
          <cell r="F187">
            <v>0</v>
          </cell>
          <cell r="I187">
            <v>15.254237288135593</v>
          </cell>
          <cell r="J187">
            <v>0</v>
          </cell>
          <cell r="K187">
            <v>0</v>
          </cell>
        </row>
        <row r="188">
          <cell r="B188" t="str">
            <v>izolacia niS. 0.00</v>
          </cell>
          <cell r="C188" t="str">
            <v>grZ.m</v>
          </cell>
          <cell r="D188">
            <v>64.8</v>
          </cell>
          <cell r="F188">
            <v>0</v>
          </cell>
          <cell r="I188">
            <v>15.254237288135593</v>
          </cell>
          <cell r="J188">
            <v>988.47457627118638</v>
          </cell>
          <cell r="K188">
            <v>988.47457627118638</v>
          </cell>
        </row>
        <row r="189">
          <cell r="B189" t="str">
            <v>izolacia niS. 3.20/6.40/9.60</v>
          </cell>
          <cell r="C189" t="str">
            <v>grZ.m</v>
          </cell>
          <cell r="D189">
            <v>234</v>
          </cell>
          <cell r="F189">
            <v>0</v>
          </cell>
          <cell r="I189">
            <v>15.254237288135593</v>
          </cell>
          <cell r="J189">
            <v>3569.4915254237289</v>
          </cell>
          <cell r="K189">
            <v>3569.4915254237289</v>
          </cell>
        </row>
        <row r="190">
          <cell r="B190" t="str">
            <v>sadarbazos lesva</v>
          </cell>
          <cell r="C190" t="str">
            <v>m2</v>
          </cell>
          <cell r="D190">
            <v>1059.2164</v>
          </cell>
          <cell r="E190">
            <v>4.3652860169491534</v>
          </cell>
          <cell r="F190">
            <v>4623.7825398432215</v>
          </cell>
          <cell r="G190">
            <v>21.674999999999997</v>
          </cell>
          <cell r="H190">
            <v>22958.515469999998</v>
          </cell>
          <cell r="I190">
            <v>0</v>
          </cell>
          <cell r="J190">
            <v>0</v>
          </cell>
          <cell r="K190">
            <v>27582.29800984322</v>
          </cell>
        </row>
        <row r="191">
          <cell r="B191" t="str">
            <v>lesva, niS. -2.55</v>
          </cell>
          <cell r="C191" t="str">
            <v>m2</v>
          </cell>
          <cell r="D191">
            <v>0</v>
          </cell>
          <cell r="F191">
            <v>0</v>
          </cell>
          <cell r="G191">
            <v>21.674999999999997</v>
          </cell>
          <cell r="H191">
            <v>0</v>
          </cell>
          <cell r="K191">
            <v>0</v>
          </cell>
        </row>
        <row r="192">
          <cell r="B192" t="str">
            <v>qviSa</v>
          </cell>
          <cell r="C192" t="str">
            <v>m3</v>
          </cell>
          <cell r="D192">
            <v>0</v>
          </cell>
          <cell r="E192">
            <v>55.084745762711869</v>
          </cell>
          <cell r="F192">
            <v>0</v>
          </cell>
          <cell r="H192">
            <v>0</v>
          </cell>
          <cell r="K192">
            <v>0</v>
          </cell>
        </row>
        <row r="193">
          <cell r="B193" t="str">
            <v>cementi m300</v>
          </cell>
          <cell r="C193" t="str">
            <v>t</v>
          </cell>
          <cell r="D193">
            <v>0</v>
          </cell>
          <cell r="E193">
            <v>238.55932203389833</v>
          </cell>
          <cell r="F193">
            <v>0</v>
          </cell>
          <cell r="H193">
            <v>0</v>
          </cell>
          <cell r="K193">
            <v>0</v>
          </cell>
        </row>
        <row r="194">
          <cell r="B194" t="str">
            <v>lesva, niS. 0.00</v>
          </cell>
          <cell r="C194" t="str">
            <v>m2</v>
          </cell>
          <cell r="D194">
            <v>302.49340000000001</v>
          </cell>
          <cell r="F194">
            <v>0</v>
          </cell>
          <cell r="G194">
            <v>21.674999999999997</v>
          </cell>
          <cell r="H194">
            <v>6556.5444449999995</v>
          </cell>
          <cell r="K194">
            <v>6556.5444449999995</v>
          </cell>
        </row>
        <row r="195">
          <cell r="B195" t="str">
            <v>qviSa</v>
          </cell>
          <cell r="C195" t="str">
            <v>m3</v>
          </cell>
          <cell r="D195">
            <v>9.528542100000001</v>
          </cell>
          <cell r="E195">
            <v>55.084745762711869</v>
          </cell>
          <cell r="F195">
            <v>524.87731906779675</v>
          </cell>
          <cell r="H195">
            <v>0</v>
          </cell>
          <cell r="K195">
            <v>524.87731906779675</v>
          </cell>
        </row>
        <row r="196">
          <cell r="B196" t="str">
            <v>cementi m300</v>
          </cell>
          <cell r="C196" t="str">
            <v>t</v>
          </cell>
          <cell r="D196">
            <v>3.3349897350000002</v>
          </cell>
          <cell r="E196">
            <v>238.55932203389833</v>
          </cell>
          <cell r="F196">
            <v>795.59289017161029</v>
          </cell>
          <cell r="H196">
            <v>0</v>
          </cell>
          <cell r="K196">
            <v>795.59289017161029</v>
          </cell>
        </row>
        <row r="197">
          <cell r="B197" t="str">
            <v>lesva, niS.3.20/6.40/9.60</v>
          </cell>
          <cell r="C197" t="str">
            <v>m2</v>
          </cell>
          <cell r="D197">
            <v>756.72300000000007</v>
          </cell>
          <cell r="F197">
            <v>0</v>
          </cell>
          <cell r="G197">
            <v>21.674999999999997</v>
          </cell>
          <cell r="H197">
            <v>16401.971024999999</v>
          </cell>
          <cell r="K197">
            <v>16401.971024999999</v>
          </cell>
        </row>
        <row r="198">
          <cell r="B198" t="str">
            <v>qviSa</v>
          </cell>
          <cell r="C198" t="str">
            <v>m3</v>
          </cell>
          <cell r="D198">
            <v>23.836774500000004</v>
          </cell>
          <cell r="E198">
            <v>55.084745762711869</v>
          </cell>
          <cell r="F198">
            <v>1313.0426631355936</v>
          </cell>
          <cell r="H198">
            <v>0</v>
          </cell>
          <cell r="K198">
            <v>1313.0426631355936</v>
          </cell>
        </row>
        <row r="199">
          <cell r="B199" t="str">
            <v>cementi m300</v>
          </cell>
          <cell r="C199" t="str">
            <v>t</v>
          </cell>
          <cell r="D199">
            <v>8.3428710750000015</v>
          </cell>
          <cell r="E199">
            <v>238.55932203389833</v>
          </cell>
          <cell r="F199">
            <v>1990.2696674682209</v>
          </cell>
          <cell r="H199">
            <v>0</v>
          </cell>
          <cell r="K199">
            <v>1990.2696674682209</v>
          </cell>
        </row>
        <row r="200">
          <cell r="B200" t="str">
            <v>sadarbazos SefiTxvna</v>
          </cell>
          <cell r="C200" t="str">
            <v>m2</v>
          </cell>
          <cell r="D200">
            <v>1191.9204000000002</v>
          </cell>
          <cell r="E200">
            <v>2.3945762711864411</v>
          </cell>
          <cell r="F200">
            <v>2854.144306983052</v>
          </cell>
          <cell r="G200">
            <v>20.399999999999999</v>
          </cell>
          <cell r="H200">
            <v>24315.176160000003</v>
          </cell>
          <cell r="I200">
            <v>0</v>
          </cell>
          <cell r="J200">
            <v>0</v>
          </cell>
          <cell r="K200">
            <v>27169.320466983056</v>
          </cell>
        </row>
        <row r="201">
          <cell r="B201" t="str">
            <v>SefiTxvna niS. -2.55</v>
          </cell>
          <cell r="C201" t="str">
            <v>m2</v>
          </cell>
          <cell r="D201">
            <v>0</v>
          </cell>
          <cell r="F201">
            <v>0</v>
          </cell>
          <cell r="G201">
            <v>20.399999999999999</v>
          </cell>
          <cell r="H201">
            <v>0</v>
          </cell>
          <cell r="K201">
            <v>0</v>
          </cell>
        </row>
        <row r="202">
          <cell r="B202" t="str">
            <v>fiTxi</v>
          </cell>
          <cell r="C202" t="str">
            <v>c</v>
          </cell>
          <cell r="D202">
            <v>0</v>
          </cell>
          <cell r="E202">
            <v>16.101694915254239</v>
          </cell>
          <cell r="F202">
            <v>0</v>
          </cell>
          <cell r="H202">
            <v>0</v>
          </cell>
          <cell r="K202">
            <v>0</v>
          </cell>
        </row>
        <row r="203">
          <cell r="B203" t="str">
            <v>damxmare masala</v>
          </cell>
          <cell r="C203" t="str">
            <v>m2</v>
          </cell>
          <cell r="D203">
            <v>0</v>
          </cell>
          <cell r="E203">
            <v>0.42372881355932207</v>
          </cell>
          <cell r="F203">
            <v>0</v>
          </cell>
          <cell r="H203">
            <v>0</v>
          </cell>
          <cell r="K203">
            <v>0</v>
          </cell>
        </row>
        <row r="204">
          <cell r="B204" t="str">
            <v>SefiTxvna niS. 0.00</v>
          </cell>
          <cell r="C204" t="str">
            <v>m2</v>
          </cell>
          <cell r="D204">
            <v>342.79740000000004</v>
          </cell>
          <cell r="F204">
            <v>0</v>
          </cell>
          <cell r="G204">
            <v>20.399999999999999</v>
          </cell>
          <cell r="H204">
            <v>6993.0669600000001</v>
          </cell>
          <cell r="K204">
            <v>6993.0669600000001</v>
          </cell>
        </row>
        <row r="205">
          <cell r="B205" t="str">
            <v>fiTxi</v>
          </cell>
          <cell r="C205" t="str">
            <v>c</v>
          </cell>
          <cell r="D205">
            <v>41.958401760000008</v>
          </cell>
          <cell r="E205">
            <v>16.101694915254239</v>
          </cell>
          <cell r="F205">
            <v>675.60138427118659</v>
          </cell>
          <cell r="H205">
            <v>0</v>
          </cell>
          <cell r="K205">
            <v>675.60138427118659</v>
          </cell>
        </row>
        <row r="206">
          <cell r="B206" t="str">
            <v>damxmare masala</v>
          </cell>
          <cell r="C206" t="str">
            <v>m2</v>
          </cell>
          <cell r="D206">
            <v>342.79740000000004</v>
          </cell>
          <cell r="E206">
            <v>0.42372881355932207</v>
          </cell>
          <cell r="F206">
            <v>145.25313559322038</v>
          </cell>
          <cell r="H206">
            <v>0</v>
          </cell>
          <cell r="K206">
            <v>145.25313559322038</v>
          </cell>
        </row>
        <row r="207">
          <cell r="B207" t="str">
            <v>SefiTxvna niS. 3.20/6.40/9.60</v>
          </cell>
          <cell r="C207" t="str">
            <v>m2</v>
          </cell>
          <cell r="D207">
            <v>849.12300000000016</v>
          </cell>
          <cell r="F207">
            <v>0</v>
          </cell>
          <cell r="G207">
            <v>20.399999999999999</v>
          </cell>
          <cell r="H207">
            <v>17322.109200000003</v>
          </cell>
          <cell r="K207">
            <v>17322.109200000003</v>
          </cell>
        </row>
        <row r="208">
          <cell r="B208" t="str">
            <v>fiTxi</v>
          </cell>
          <cell r="C208" t="str">
            <v>c</v>
          </cell>
          <cell r="D208">
            <v>103.93265520000003</v>
          </cell>
          <cell r="E208">
            <v>16.101694915254239</v>
          </cell>
          <cell r="F208">
            <v>1673.4919057627126</v>
          </cell>
          <cell r="H208">
            <v>0</v>
          </cell>
          <cell r="K208">
            <v>1673.4919057627126</v>
          </cell>
        </row>
        <row r="209">
          <cell r="B209" t="str">
            <v>damxmare masala</v>
          </cell>
          <cell r="C209" t="str">
            <v>m2</v>
          </cell>
          <cell r="D209">
            <v>849.12300000000016</v>
          </cell>
          <cell r="E209">
            <v>0.42372881355932207</v>
          </cell>
          <cell r="F209">
            <v>359.7978813559323</v>
          </cell>
          <cell r="H209">
            <v>0</v>
          </cell>
          <cell r="K209">
            <v>359.7978813559323</v>
          </cell>
        </row>
        <row r="210">
          <cell r="B210" t="str">
            <v>sadarbazos Rebva</v>
          </cell>
          <cell r="C210" t="str">
            <v>m2</v>
          </cell>
          <cell r="D210">
            <v>1191.9204000000002</v>
          </cell>
          <cell r="E210">
            <v>8.8135593220338979</v>
          </cell>
          <cell r="F210">
            <v>10505.061152542374</v>
          </cell>
          <cell r="G210">
            <v>10.199999999999999</v>
          </cell>
          <cell r="H210">
            <v>12157.588080000001</v>
          </cell>
          <cell r="I210">
            <v>0</v>
          </cell>
          <cell r="J210">
            <v>0</v>
          </cell>
          <cell r="K210">
            <v>22662.649232542375</v>
          </cell>
        </row>
        <row r="211">
          <cell r="B211" t="str">
            <v>Rebva, niS. -2.55</v>
          </cell>
          <cell r="C211" t="str">
            <v>m2</v>
          </cell>
          <cell r="D211">
            <v>0</v>
          </cell>
          <cell r="F211">
            <v>0</v>
          </cell>
          <cell r="G211">
            <v>10.199999999999999</v>
          </cell>
          <cell r="H211">
            <v>0</v>
          </cell>
          <cell r="K211">
            <v>0</v>
          </cell>
        </row>
        <row r="212">
          <cell r="B212" t="str">
            <v>saRebavi</v>
          </cell>
          <cell r="C212" t="str">
            <v>litri</v>
          </cell>
          <cell r="D212">
            <v>0</v>
          </cell>
          <cell r="E212">
            <v>19.915254237288135</v>
          </cell>
          <cell r="F212">
            <v>0</v>
          </cell>
          <cell r="H212">
            <v>0</v>
          </cell>
          <cell r="K212">
            <v>0</v>
          </cell>
        </row>
        <row r="213">
          <cell r="B213" t="str">
            <v>damxmare masala</v>
          </cell>
          <cell r="C213" t="str">
            <v>m2</v>
          </cell>
          <cell r="D213">
            <v>0</v>
          </cell>
          <cell r="E213">
            <v>0.84745762711864414</v>
          </cell>
          <cell r="F213">
            <v>0</v>
          </cell>
          <cell r="H213">
            <v>0</v>
          </cell>
          <cell r="K213">
            <v>0</v>
          </cell>
        </row>
        <row r="214">
          <cell r="B214" t="str">
            <v>Rebva, niS. 0.00</v>
          </cell>
          <cell r="C214" t="str">
            <v>m2</v>
          </cell>
          <cell r="D214">
            <v>342.79740000000004</v>
          </cell>
          <cell r="F214">
            <v>0</v>
          </cell>
          <cell r="G214">
            <v>10.199999999999999</v>
          </cell>
          <cell r="H214">
            <v>3496.5334800000001</v>
          </cell>
          <cell r="K214">
            <v>3496.5334800000001</v>
          </cell>
        </row>
        <row r="215">
          <cell r="B215" t="str">
            <v>saRebavi</v>
          </cell>
          <cell r="C215" t="str">
            <v>litri</v>
          </cell>
          <cell r="D215">
            <v>137.11896000000002</v>
          </cell>
          <cell r="E215">
            <v>19.915254237288135</v>
          </cell>
          <cell r="F215">
            <v>2730.7589491525428</v>
          </cell>
          <cell r="H215">
            <v>0</v>
          </cell>
          <cell r="K215">
            <v>2730.7589491525428</v>
          </cell>
        </row>
        <row r="216">
          <cell r="B216" t="str">
            <v>damxmare masala</v>
          </cell>
          <cell r="C216" t="str">
            <v>m2</v>
          </cell>
          <cell r="D216">
            <v>342.79740000000004</v>
          </cell>
          <cell r="E216">
            <v>0.84745762711864414</v>
          </cell>
          <cell r="F216">
            <v>290.50627118644076</v>
          </cell>
          <cell r="H216">
            <v>0</v>
          </cell>
          <cell r="K216">
            <v>290.50627118644076</v>
          </cell>
        </row>
        <row r="217">
          <cell r="B217" t="str">
            <v>Rebva, niS. 3.20/6.40/9.60</v>
          </cell>
          <cell r="C217" t="str">
            <v>m2</v>
          </cell>
          <cell r="D217">
            <v>849.12300000000016</v>
          </cell>
          <cell r="F217">
            <v>0</v>
          </cell>
          <cell r="G217">
            <v>10.199999999999999</v>
          </cell>
          <cell r="H217">
            <v>8661.0546000000013</v>
          </cell>
          <cell r="K217">
            <v>8661.0546000000013</v>
          </cell>
        </row>
        <row r="218">
          <cell r="B218" t="str">
            <v>saRebavi</v>
          </cell>
          <cell r="C218" t="str">
            <v>litri</v>
          </cell>
          <cell r="D218">
            <v>339.64920000000006</v>
          </cell>
          <cell r="E218">
            <v>19.915254237288135</v>
          </cell>
          <cell r="F218">
            <v>6764.2001694915261</v>
          </cell>
          <cell r="H218">
            <v>0</v>
          </cell>
          <cell r="K218">
            <v>6764.2001694915261</v>
          </cell>
        </row>
        <row r="219">
          <cell r="B219" t="str">
            <v>damxmare masala</v>
          </cell>
          <cell r="C219" t="str">
            <v>m2</v>
          </cell>
          <cell r="D219">
            <v>849.12300000000016</v>
          </cell>
          <cell r="E219">
            <v>0.84745762711864414</v>
          </cell>
          <cell r="F219">
            <v>719.59576271186461</v>
          </cell>
          <cell r="H219">
            <v>0</v>
          </cell>
          <cell r="K219">
            <v>719.59576271186461</v>
          </cell>
        </row>
        <row r="220">
          <cell r="B220" t="str">
            <v xml:space="preserve">blokis wyoba 10sm tualetebi </v>
          </cell>
          <cell r="C220" t="str">
            <v>m2</v>
          </cell>
          <cell r="D220">
            <v>632.31900000000007</v>
          </cell>
          <cell r="E220">
            <v>16.697351402370728</v>
          </cell>
          <cell r="F220">
            <v>10558.052541395658</v>
          </cell>
          <cell r="G220">
            <v>25.02534495049176</v>
          </cell>
          <cell r="H220">
            <v>15824.001093750001</v>
          </cell>
          <cell r="I220">
            <v>0</v>
          </cell>
          <cell r="J220">
            <v>0</v>
          </cell>
          <cell r="K220">
            <v>26382.053635145661</v>
          </cell>
        </row>
        <row r="221">
          <cell r="B221" t="str">
            <v>blokis wyoba niS. 0.00</v>
          </cell>
          <cell r="C221" t="str">
            <v>m2</v>
          </cell>
          <cell r="D221">
            <v>139.90200000000002</v>
          </cell>
          <cell r="F221">
            <v>0</v>
          </cell>
          <cell r="G221">
            <v>23.90625</v>
          </cell>
          <cell r="H221">
            <v>3344.5321875000004</v>
          </cell>
          <cell r="K221">
            <v>3344.5321875000004</v>
          </cell>
        </row>
        <row r="222">
          <cell r="B222" t="str">
            <v>bloki 10-iani</v>
          </cell>
          <cell r="C222" t="str">
            <v>c</v>
          </cell>
          <cell r="D222">
            <v>1818.7260000000001</v>
          </cell>
          <cell r="E222">
            <v>0.88983050847457634</v>
          </cell>
          <cell r="F222">
            <v>1618.3578813559325</v>
          </cell>
          <cell r="K222">
            <v>1618.3578813559325</v>
          </cell>
        </row>
        <row r="223">
          <cell r="B223" t="str">
            <v>zRudari</v>
          </cell>
          <cell r="C223" t="str">
            <v>grZ.m</v>
          </cell>
          <cell r="D223">
            <v>10</v>
          </cell>
          <cell r="E223">
            <v>12.711864406779661</v>
          </cell>
          <cell r="F223">
            <v>127.11864406779661</v>
          </cell>
          <cell r="G223">
            <v>19.125</v>
          </cell>
          <cell r="H223">
            <v>191.25</v>
          </cell>
          <cell r="K223">
            <v>318.36864406779659</v>
          </cell>
        </row>
        <row r="224">
          <cell r="B224" t="str">
            <v>qviSa</v>
          </cell>
          <cell r="C224" t="str">
            <v>m3</v>
          </cell>
          <cell r="D224">
            <v>4.4069130000000003</v>
          </cell>
          <cell r="E224">
            <v>55.084745762711869</v>
          </cell>
          <cell r="F224">
            <v>242.75368220338987</v>
          </cell>
          <cell r="K224">
            <v>242.75368220338987</v>
          </cell>
        </row>
        <row r="225">
          <cell r="B225" t="str">
            <v>cementi m300</v>
          </cell>
          <cell r="C225" t="str">
            <v>t</v>
          </cell>
          <cell r="D225">
            <v>1.1568146625000002</v>
          </cell>
          <cell r="E225">
            <v>238.55932203389833</v>
          </cell>
          <cell r="F225">
            <v>275.96892160487295</v>
          </cell>
          <cell r="H225">
            <v>0</v>
          </cell>
          <cell r="K225">
            <v>275.96892160487295</v>
          </cell>
        </row>
        <row r="226">
          <cell r="B226" t="str">
            <v>damxmare masala</v>
          </cell>
          <cell r="C226" t="str">
            <v>m2</v>
          </cell>
          <cell r="D226">
            <v>139.90200000000002</v>
          </cell>
          <cell r="E226">
            <v>0.67796610169491534</v>
          </cell>
          <cell r="F226">
            <v>94.848813559322053</v>
          </cell>
          <cell r="H226">
            <v>0</v>
          </cell>
          <cell r="K226">
            <v>94.848813559322053</v>
          </cell>
        </row>
        <row r="227">
          <cell r="B227" t="str">
            <v>blokis wyoba niS. 3.20/6.40/9.60</v>
          </cell>
          <cell r="C227" t="str">
            <v>m2</v>
          </cell>
          <cell r="D227">
            <v>492.41700000000003</v>
          </cell>
          <cell r="F227">
            <v>0</v>
          </cell>
          <cell r="G227">
            <v>23.90625</v>
          </cell>
          <cell r="H227">
            <v>11771.84390625</v>
          </cell>
          <cell r="K227">
            <v>11771.84390625</v>
          </cell>
        </row>
        <row r="228">
          <cell r="B228" t="str">
            <v>bloki 10-iani</v>
          </cell>
          <cell r="C228" t="str">
            <v>c</v>
          </cell>
          <cell r="D228">
            <v>6401.4210000000003</v>
          </cell>
          <cell r="E228">
            <v>0.88983050847457634</v>
          </cell>
          <cell r="F228">
            <v>5696.179703389831</v>
          </cell>
          <cell r="K228">
            <v>5696.179703389831</v>
          </cell>
        </row>
        <row r="229">
          <cell r="B229" t="str">
            <v>zRudari</v>
          </cell>
          <cell r="C229" t="str">
            <v>grZ.m</v>
          </cell>
          <cell r="D229">
            <v>27</v>
          </cell>
          <cell r="E229">
            <v>12.711864406779661</v>
          </cell>
          <cell r="F229">
            <v>343.22033898305085</v>
          </cell>
          <cell r="G229">
            <v>19.125</v>
          </cell>
          <cell r="H229">
            <v>516.375</v>
          </cell>
          <cell r="K229">
            <v>859.59533898305085</v>
          </cell>
        </row>
        <row r="230">
          <cell r="B230" t="str">
            <v>qviSa</v>
          </cell>
          <cell r="C230" t="str">
            <v>m3</v>
          </cell>
          <cell r="D230">
            <v>15.511135500000002</v>
          </cell>
          <cell r="E230">
            <v>55.084745762711869</v>
          </cell>
          <cell r="F230">
            <v>854.42695550847475</v>
          </cell>
          <cell r="K230">
            <v>854.42695550847475</v>
          </cell>
        </row>
        <row r="231">
          <cell r="B231" t="str">
            <v>cementi m300</v>
          </cell>
          <cell r="C231" t="str">
            <v>t</v>
          </cell>
          <cell r="D231">
            <v>4.0716730687500009</v>
          </cell>
          <cell r="E231">
            <v>238.55932203389833</v>
          </cell>
          <cell r="F231">
            <v>971.33556682468247</v>
          </cell>
          <cell r="H231">
            <v>0</v>
          </cell>
          <cell r="K231">
            <v>971.33556682468247</v>
          </cell>
        </row>
        <row r="232">
          <cell r="B232" t="str">
            <v>damxmare masala</v>
          </cell>
          <cell r="C232" t="str">
            <v>m2</v>
          </cell>
          <cell r="D232">
            <v>492.41700000000003</v>
          </cell>
          <cell r="E232">
            <v>0.67796610169491534</v>
          </cell>
          <cell r="F232">
            <v>333.84203389830515</v>
          </cell>
          <cell r="H232">
            <v>0</v>
          </cell>
          <cell r="K232">
            <v>333.84203389830515</v>
          </cell>
        </row>
        <row r="233">
          <cell r="B233" t="str">
            <v>blokis wyoba 10sm Saxtebi</v>
          </cell>
          <cell r="C233" t="str">
            <v>m2</v>
          </cell>
          <cell r="D233">
            <v>467.60309999999998</v>
          </cell>
          <cell r="E233">
            <v>15.953519597457628</v>
          </cell>
          <cell r="F233">
            <v>7459.9152196819387</v>
          </cell>
          <cell r="G233">
            <v>23.90625</v>
          </cell>
          <cell r="H233">
            <v>11178.636609375</v>
          </cell>
          <cell r="I233">
            <v>0</v>
          </cell>
          <cell r="J233">
            <v>0</v>
          </cell>
          <cell r="K233">
            <v>18638.551829056938</v>
          </cell>
        </row>
        <row r="234">
          <cell r="B234" t="str">
            <v>blokis wyoba 10 niS. -2.65</v>
          </cell>
          <cell r="C234" t="str">
            <v>m2</v>
          </cell>
          <cell r="D234">
            <v>0</v>
          </cell>
          <cell r="F234">
            <v>0</v>
          </cell>
          <cell r="G234">
            <v>23.90625</v>
          </cell>
          <cell r="H234">
            <v>0</v>
          </cell>
          <cell r="K234">
            <v>0</v>
          </cell>
        </row>
        <row r="235">
          <cell r="B235" t="str">
            <v>bloki 10-iani</v>
          </cell>
          <cell r="C235" t="str">
            <v>c</v>
          </cell>
          <cell r="D235">
            <v>0</v>
          </cell>
          <cell r="E235">
            <v>0.88983050847457634</v>
          </cell>
          <cell r="F235">
            <v>0</v>
          </cell>
          <cell r="K235">
            <v>0</v>
          </cell>
        </row>
        <row r="236">
          <cell r="B236" t="str">
            <v>qviSa</v>
          </cell>
          <cell r="C236" t="str">
            <v>m3</v>
          </cell>
          <cell r="D236">
            <v>0</v>
          </cell>
          <cell r="E236">
            <v>55.084745762711869</v>
          </cell>
          <cell r="F236">
            <v>0</v>
          </cell>
          <cell r="K236">
            <v>0</v>
          </cell>
        </row>
        <row r="237">
          <cell r="B237" t="str">
            <v>cementi m300</v>
          </cell>
          <cell r="C237" t="str">
            <v>t</v>
          </cell>
          <cell r="D237">
            <v>0</v>
          </cell>
          <cell r="E237">
            <v>238.55932203389833</v>
          </cell>
          <cell r="F237">
            <v>0</v>
          </cell>
          <cell r="H237">
            <v>0</v>
          </cell>
          <cell r="K237">
            <v>0</v>
          </cell>
        </row>
        <row r="238">
          <cell r="B238" t="str">
            <v>damxmare masala</v>
          </cell>
          <cell r="C238" t="str">
            <v>m2</v>
          </cell>
          <cell r="D238">
            <v>0</v>
          </cell>
          <cell r="E238">
            <v>0.67796610169491534</v>
          </cell>
          <cell r="F238">
            <v>0</v>
          </cell>
          <cell r="K238">
            <v>0</v>
          </cell>
        </row>
        <row r="239">
          <cell r="B239" t="str">
            <v>blokis wyoba 10 niS. 0.00</v>
          </cell>
          <cell r="C239" t="str">
            <v>m2</v>
          </cell>
          <cell r="D239">
            <v>52.410499999999999</v>
          </cell>
          <cell r="F239">
            <v>0</v>
          </cell>
          <cell r="G239">
            <v>23.90625</v>
          </cell>
          <cell r="H239">
            <v>1252.938515625</v>
          </cell>
          <cell r="K239">
            <v>1252.938515625</v>
          </cell>
        </row>
        <row r="240">
          <cell r="B240" t="str">
            <v>bloki 10-iani</v>
          </cell>
          <cell r="C240" t="str">
            <v>c</v>
          </cell>
          <cell r="D240">
            <v>681.3365</v>
          </cell>
          <cell r="E240">
            <v>0.88983050847457634</v>
          </cell>
          <cell r="F240">
            <v>606.27400423728818</v>
          </cell>
          <cell r="K240">
            <v>606.27400423728818</v>
          </cell>
        </row>
        <row r="241">
          <cell r="B241" t="str">
            <v>qviSa</v>
          </cell>
          <cell r="C241" t="str">
            <v>m3</v>
          </cell>
          <cell r="D241">
            <v>1.6509307499999999</v>
          </cell>
          <cell r="E241">
            <v>55.084745762711869</v>
          </cell>
          <cell r="F241">
            <v>90.941100635593216</v>
          </cell>
          <cell r="K241">
            <v>90.941100635593216</v>
          </cell>
        </row>
        <row r="242">
          <cell r="B242" t="str">
            <v>cementi m300</v>
          </cell>
          <cell r="C242" t="str">
            <v>t</v>
          </cell>
          <cell r="D242">
            <v>0.43336932187499999</v>
          </cell>
          <cell r="E242">
            <v>238.55932203389833</v>
          </cell>
          <cell r="F242">
            <v>103.38429161679026</v>
          </cell>
          <cell r="H242">
            <v>0</v>
          </cell>
          <cell r="K242">
            <v>103.38429161679026</v>
          </cell>
        </row>
        <row r="243">
          <cell r="B243" t="str">
            <v>damxmare masala</v>
          </cell>
          <cell r="C243" t="str">
            <v>m2</v>
          </cell>
          <cell r="D243">
            <v>52.410499999999999</v>
          </cell>
          <cell r="E243">
            <v>0.67796610169491534</v>
          </cell>
          <cell r="F243">
            <v>35.532542372881359</v>
          </cell>
          <cell r="K243">
            <v>35.532542372881359</v>
          </cell>
        </row>
        <row r="244">
          <cell r="B244" t="str">
            <v>blokis wyoba 10 niS. 3.20/6.40/9.60</v>
          </cell>
          <cell r="C244" t="str">
            <v>m2</v>
          </cell>
          <cell r="D244">
            <v>415.19259999999997</v>
          </cell>
          <cell r="F244">
            <v>0</v>
          </cell>
          <cell r="G244">
            <v>23.90625</v>
          </cell>
          <cell r="H244">
            <v>9925.6980937499993</v>
          </cell>
          <cell r="K244">
            <v>9925.6980937499993</v>
          </cell>
        </row>
        <row r="245">
          <cell r="B245" t="str">
            <v>bloki 10-iani</v>
          </cell>
          <cell r="C245" t="str">
            <v>c</v>
          </cell>
          <cell r="D245">
            <v>5397.5037999999995</v>
          </cell>
          <cell r="E245">
            <v>0.88983050847457634</v>
          </cell>
          <cell r="F245">
            <v>4802.8635508474572</v>
          </cell>
          <cell r="K245">
            <v>4802.8635508474572</v>
          </cell>
        </row>
        <row r="246">
          <cell r="B246" t="str">
            <v>qviSa</v>
          </cell>
          <cell r="C246" t="str">
            <v>m3</v>
          </cell>
          <cell r="D246">
            <v>13.078566899999998</v>
          </cell>
          <cell r="E246">
            <v>55.084745762711869</v>
          </cell>
          <cell r="F246">
            <v>720.42953262711865</v>
          </cell>
          <cell r="K246">
            <v>720.42953262711865</v>
          </cell>
        </row>
        <row r="247">
          <cell r="B247" t="str">
            <v>cementi m300</v>
          </cell>
          <cell r="C247" t="str">
            <v>t</v>
          </cell>
          <cell r="D247">
            <v>3.4331238112499998</v>
          </cell>
          <cell r="E247">
            <v>238.55932203389833</v>
          </cell>
          <cell r="F247">
            <v>819.00368887023308</v>
          </cell>
          <cell r="H247">
            <v>0</v>
          </cell>
          <cell r="K247">
            <v>819.00368887023308</v>
          </cell>
        </row>
        <row r="248">
          <cell r="B248" t="str">
            <v>damxmare masala</v>
          </cell>
          <cell r="C248" t="str">
            <v>m2</v>
          </cell>
          <cell r="D248">
            <v>415.19259999999997</v>
          </cell>
          <cell r="E248">
            <v>0.67796610169491534</v>
          </cell>
          <cell r="F248">
            <v>281.48650847457628</v>
          </cell>
          <cell r="K248">
            <v>281.48650847457628</v>
          </cell>
        </row>
        <row r="249">
          <cell r="B249" t="str">
            <v>mwvane saxuravis mowyoba</v>
          </cell>
          <cell r="C249" t="str">
            <v>m2</v>
          </cell>
          <cell r="D249">
            <v>850</v>
          </cell>
          <cell r="E249">
            <v>90.102707876370886</v>
          </cell>
          <cell r="F249">
            <v>76587.301694915252</v>
          </cell>
          <cell r="G249">
            <v>66.45</v>
          </cell>
          <cell r="H249">
            <v>56482.5</v>
          </cell>
          <cell r="I249">
            <v>0</v>
          </cell>
          <cell r="J249">
            <v>0</v>
          </cell>
          <cell r="K249">
            <v>133069.80169491525</v>
          </cell>
        </row>
        <row r="250">
          <cell r="B250" t="str">
            <v>TunuqiT</v>
          </cell>
          <cell r="C250" t="str">
            <v>m2</v>
          </cell>
          <cell r="D250">
            <v>470</v>
          </cell>
          <cell r="F250">
            <v>0</v>
          </cell>
          <cell r="G250">
            <v>51</v>
          </cell>
          <cell r="H250">
            <v>23970</v>
          </cell>
          <cell r="K250">
            <v>23970</v>
          </cell>
        </row>
        <row r="251">
          <cell r="B251" t="str">
            <v>hidroizolacia, Roris da miwis gaSla</v>
          </cell>
          <cell r="C251" t="str">
            <v>m2</v>
          </cell>
          <cell r="D251">
            <v>850</v>
          </cell>
          <cell r="F251">
            <v>0</v>
          </cell>
          <cell r="G251">
            <v>38.25</v>
          </cell>
          <cell r="H251">
            <v>32512.5</v>
          </cell>
          <cell r="K251">
            <v>32512.5</v>
          </cell>
        </row>
        <row r="252">
          <cell r="B252" t="str">
            <v>Tunuqi</v>
          </cell>
          <cell r="C252" t="str">
            <v>m2</v>
          </cell>
          <cell r="D252">
            <v>470</v>
          </cell>
          <cell r="E252">
            <v>23.728813559322035</v>
          </cell>
          <cell r="F252">
            <v>11152.542372881357</v>
          </cell>
          <cell r="H252">
            <v>0</v>
          </cell>
          <cell r="K252">
            <v>11152.542372881357</v>
          </cell>
        </row>
        <row r="253">
          <cell r="B253" t="str">
            <v>membrana</v>
          </cell>
          <cell r="C253" t="str">
            <v>m2</v>
          </cell>
          <cell r="D253">
            <v>820</v>
          </cell>
          <cell r="E253">
            <v>2.4576271186440679</v>
          </cell>
          <cell r="F253">
            <v>2015.2542372881358</v>
          </cell>
          <cell r="H253">
            <v>0</v>
          </cell>
          <cell r="K253">
            <v>2015.2542372881358</v>
          </cell>
        </row>
        <row r="254">
          <cell r="B254" t="str">
            <v>membrana იპდმ</v>
          </cell>
          <cell r="C254" t="str">
            <v>m2</v>
          </cell>
          <cell r="D254">
            <v>850</v>
          </cell>
          <cell r="E254">
            <v>33.898305084745765</v>
          </cell>
          <cell r="F254">
            <v>28813.5593220339</v>
          </cell>
          <cell r="H254">
            <v>0</v>
          </cell>
          <cell r="K254">
            <v>28813.5593220339</v>
          </cell>
        </row>
        <row r="255">
          <cell r="B255" t="str">
            <v>ჯეოტექსტილი</v>
          </cell>
          <cell r="C255" t="str">
            <v>m2</v>
          </cell>
          <cell r="D255">
            <v>820</v>
          </cell>
          <cell r="E255">
            <v>2.7542372881355934</v>
          </cell>
          <cell r="F255">
            <v>2258.4745762711868</v>
          </cell>
          <cell r="H255">
            <v>0</v>
          </cell>
          <cell r="K255">
            <v>2258.4745762711868</v>
          </cell>
        </row>
        <row r="256">
          <cell r="B256" t="str">
            <v>იქსპიესი 3 ნი</v>
          </cell>
          <cell r="C256" t="str">
            <v>m2</v>
          </cell>
          <cell r="D256">
            <v>706.43999999999994</v>
          </cell>
          <cell r="E256">
            <v>7.7966101694915251</v>
          </cell>
          <cell r="F256">
            <v>5507.8372881355926</v>
          </cell>
          <cell r="H256">
            <v>0</v>
          </cell>
          <cell r="K256">
            <v>5507.8372881355926</v>
          </cell>
        </row>
        <row r="257">
          <cell r="B257" t="str">
            <v>იქსპიესი 5 ნი</v>
          </cell>
          <cell r="C257" t="str">
            <v>m2</v>
          </cell>
          <cell r="D257">
            <v>706.43999999999994</v>
          </cell>
          <cell r="E257">
            <v>14.576271186440678</v>
          </cell>
          <cell r="F257">
            <v>10297.261016949153</v>
          </cell>
          <cell r="H257">
            <v>0</v>
          </cell>
          <cell r="K257">
            <v>10297.261016949153</v>
          </cell>
        </row>
        <row r="258">
          <cell r="B258" t="str">
            <v>ხის მასალა</v>
          </cell>
          <cell r="C258" t="str">
            <v>მ3</v>
          </cell>
          <cell r="D258">
            <v>9</v>
          </cell>
          <cell r="E258">
            <v>677.96610169491532</v>
          </cell>
          <cell r="F258">
            <v>6101.6949152542384</v>
          </cell>
          <cell r="H258">
            <v>0</v>
          </cell>
          <cell r="K258">
            <v>6101.6949152542384</v>
          </cell>
        </row>
        <row r="259">
          <cell r="B259" t="str">
            <v>ოსბ 12 ნი</v>
          </cell>
          <cell r="C259" t="str">
            <v>ცალი</v>
          </cell>
          <cell r="D259">
            <v>40</v>
          </cell>
          <cell r="E259">
            <v>38.135593220338983</v>
          </cell>
          <cell r="F259">
            <v>1525.4237288135594</v>
          </cell>
          <cell r="H259">
            <v>0</v>
          </cell>
          <cell r="K259">
            <v>1525.4237288135594</v>
          </cell>
        </row>
        <row r="260">
          <cell r="B260" t="str">
            <v>webo/cementi</v>
          </cell>
          <cell r="C260" t="str">
            <v>c</v>
          </cell>
          <cell r="D260">
            <v>200</v>
          </cell>
          <cell r="E260">
            <v>12.711864406779661</v>
          </cell>
          <cell r="F260">
            <v>2542.3728813559323</v>
          </cell>
          <cell r="H260">
            <v>0</v>
          </cell>
          <cell r="K260">
            <v>2542.3728813559323</v>
          </cell>
        </row>
        <row r="261">
          <cell r="B261" t="str">
            <v>damxmare masala</v>
          </cell>
          <cell r="C261" t="str">
            <v>m2</v>
          </cell>
          <cell r="D261">
            <v>470</v>
          </cell>
          <cell r="E261">
            <v>13.559322033898306</v>
          </cell>
          <cell r="F261">
            <v>6372.8813559322043</v>
          </cell>
          <cell r="H261">
            <v>0</v>
          </cell>
          <cell r="K261">
            <v>6372.8813559322043</v>
          </cell>
        </row>
        <row r="262">
          <cell r="B262" t="str">
            <v>meTlaxi aivnebze</v>
          </cell>
          <cell r="C262" t="str">
            <v>m2</v>
          </cell>
          <cell r="D262">
            <v>224.00000000000003</v>
          </cell>
          <cell r="E262">
            <v>42.49152542372881</v>
          </cell>
          <cell r="F262">
            <v>9518.1016949152545</v>
          </cell>
          <cell r="G262">
            <v>38.249999999999993</v>
          </cell>
          <cell r="H262">
            <v>8568</v>
          </cell>
          <cell r="I262">
            <v>0</v>
          </cell>
          <cell r="J262">
            <v>0</v>
          </cell>
          <cell r="K262">
            <v>18086.101694915254</v>
          </cell>
        </row>
        <row r="263">
          <cell r="B263" t="str">
            <v>meTlaxi niS. 0.00</v>
          </cell>
          <cell r="C263" t="str">
            <v>m2</v>
          </cell>
          <cell r="D263">
            <v>18.8</v>
          </cell>
          <cell r="F263">
            <v>0</v>
          </cell>
          <cell r="G263">
            <v>38.25</v>
          </cell>
          <cell r="H263">
            <v>719.1</v>
          </cell>
          <cell r="K263">
            <v>719.1</v>
          </cell>
        </row>
        <row r="264">
          <cell r="B264" t="str">
            <v>meTlaxi fila</v>
          </cell>
          <cell r="C264" t="str">
            <v>m2</v>
          </cell>
          <cell r="D264">
            <v>19.740000000000002</v>
          </cell>
          <cell r="E264">
            <v>38.135593220338983</v>
          </cell>
          <cell r="F264">
            <v>752.7966101694916</v>
          </cell>
          <cell r="K264">
            <v>752.7966101694916</v>
          </cell>
        </row>
        <row r="265">
          <cell r="B265" t="str">
            <v>webo/cementi</v>
          </cell>
          <cell r="C265" t="str">
            <v>c</v>
          </cell>
          <cell r="D265">
            <v>2.3688000000000002</v>
          </cell>
          <cell r="E265">
            <v>12.711864406779661</v>
          </cell>
          <cell r="F265">
            <v>30.111864406779663</v>
          </cell>
          <cell r="K265">
            <v>30.111864406779663</v>
          </cell>
        </row>
        <row r="266">
          <cell r="B266" t="str">
            <v>damxmare masala</v>
          </cell>
          <cell r="C266" t="str">
            <v>მ2</v>
          </cell>
          <cell r="D266">
            <v>18.8</v>
          </cell>
          <cell r="E266">
            <v>0.84745762711864414</v>
          </cell>
          <cell r="F266">
            <v>15.93220338983051</v>
          </cell>
          <cell r="K266">
            <v>15.93220338983051</v>
          </cell>
        </row>
        <row r="267">
          <cell r="B267" t="str">
            <v>meTlaxi niS. 3.20/6.40/9.60</v>
          </cell>
          <cell r="C267" t="str">
            <v>m2</v>
          </cell>
          <cell r="D267">
            <v>205.20000000000002</v>
          </cell>
          <cell r="F267">
            <v>0</v>
          </cell>
          <cell r="G267">
            <v>38.25</v>
          </cell>
          <cell r="H267">
            <v>7848.9000000000005</v>
          </cell>
          <cell r="K267">
            <v>7848.9000000000005</v>
          </cell>
        </row>
        <row r="268">
          <cell r="B268" t="str">
            <v>meTlaxi fila</v>
          </cell>
          <cell r="C268" t="str">
            <v>m2</v>
          </cell>
          <cell r="D268">
            <v>215.46000000000004</v>
          </cell>
          <cell r="E268">
            <v>38.135593220338983</v>
          </cell>
          <cell r="F268">
            <v>8216.6949152542384</v>
          </cell>
          <cell r="K268">
            <v>8216.6949152542384</v>
          </cell>
        </row>
        <row r="269">
          <cell r="B269" t="str">
            <v>webo/cementi</v>
          </cell>
          <cell r="C269" t="str">
            <v>c</v>
          </cell>
          <cell r="D269">
            <v>25.855200000000004</v>
          </cell>
          <cell r="E269">
            <v>12.711864406779661</v>
          </cell>
          <cell r="F269">
            <v>328.66779661016955</v>
          </cell>
          <cell r="K269">
            <v>328.66779661016955</v>
          </cell>
        </row>
        <row r="270">
          <cell r="B270" t="str">
            <v>damxmare masala</v>
          </cell>
          <cell r="C270" t="str">
            <v>მ2</v>
          </cell>
          <cell r="D270">
            <v>205.20000000000002</v>
          </cell>
          <cell r="E270">
            <v>0.84745762711864414</v>
          </cell>
          <cell r="F270">
            <v>173.8983050847458</v>
          </cell>
          <cell r="K270">
            <v>173.8983050847458</v>
          </cell>
        </row>
        <row r="271">
          <cell r="B271" t="str">
            <v>meTlaxi sadarbazoSi</v>
          </cell>
          <cell r="C271" t="str">
            <v>m2</v>
          </cell>
          <cell r="D271">
            <v>242.85999999999999</v>
          </cell>
          <cell r="E271">
            <v>42.674776009614241</v>
          </cell>
          <cell r="F271">
            <v>10363.996101694915</v>
          </cell>
          <cell r="G271">
            <v>38.250000000000007</v>
          </cell>
          <cell r="H271">
            <v>9289.3950000000004</v>
          </cell>
          <cell r="I271">
            <v>0</v>
          </cell>
          <cell r="J271">
            <v>0</v>
          </cell>
          <cell r="K271">
            <v>19653.391101694913</v>
          </cell>
        </row>
        <row r="272">
          <cell r="B272" t="str">
            <v>meTlaxi niS. -2.55</v>
          </cell>
          <cell r="C272" t="str">
            <v>m2</v>
          </cell>
          <cell r="D272">
            <v>0</v>
          </cell>
          <cell r="F272">
            <v>0</v>
          </cell>
          <cell r="G272">
            <v>38.25</v>
          </cell>
          <cell r="H272">
            <v>0</v>
          </cell>
          <cell r="K272">
            <v>0</v>
          </cell>
        </row>
        <row r="273">
          <cell r="B273" t="str">
            <v>meTlaxi fila</v>
          </cell>
          <cell r="C273" t="str">
            <v>m2</v>
          </cell>
          <cell r="D273">
            <v>0</v>
          </cell>
          <cell r="E273">
            <v>38.135593220338983</v>
          </cell>
          <cell r="F273">
            <v>0</v>
          </cell>
          <cell r="K273">
            <v>0</v>
          </cell>
        </row>
        <row r="274">
          <cell r="B274" t="str">
            <v>webo/cementi</v>
          </cell>
          <cell r="C274" t="str">
            <v>c</v>
          </cell>
          <cell r="D274">
            <v>0</v>
          </cell>
          <cell r="E274">
            <v>12.711864406779661</v>
          </cell>
          <cell r="F274">
            <v>0</v>
          </cell>
          <cell r="K274">
            <v>0</v>
          </cell>
        </row>
        <row r="275">
          <cell r="B275" t="str">
            <v>meTlaxi niS. 0.00</v>
          </cell>
          <cell r="C275" t="str">
            <v>m2</v>
          </cell>
          <cell r="D275">
            <v>76.66</v>
          </cell>
          <cell r="F275">
            <v>0</v>
          </cell>
          <cell r="G275">
            <v>38.25</v>
          </cell>
          <cell r="H275">
            <v>2932.2449999999999</v>
          </cell>
          <cell r="K275">
            <v>2932.2449999999999</v>
          </cell>
        </row>
        <row r="276">
          <cell r="B276" t="str">
            <v>meTlaxi fila</v>
          </cell>
          <cell r="C276" t="str">
            <v>m2</v>
          </cell>
          <cell r="D276">
            <v>81.66</v>
          </cell>
          <cell r="E276">
            <v>38.135593220338983</v>
          </cell>
          <cell r="F276">
            <v>3114.1525423728813</v>
          </cell>
          <cell r="K276">
            <v>3114.1525423728813</v>
          </cell>
        </row>
        <row r="277">
          <cell r="B277" t="str">
            <v>webo/cementi</v>
          </cell>
          <cell r="C277" t="str">
            <v>c</v>
          </cell>
          <cell r="D277">
            <v>9.65916</v>
          </cell>
          <cell r="E277">
            <v>12.711864406779661</v>
          </cell>
          <cell r="F277">
            <v>122.78593220338983</v>
          </cell>
          <cell r="K277">
            <v>122.78593220338983</v>
          </cell>
        </row>
        <row r="278">
          <cell r="B278" t="str">
            <v>damxmare masala</v>
          </cell>
          <cell r="C278" t="str">
            <v>მ2</v>
          </cell>
          <cell r="D278">
            <v>76.66</v>
          </cell>
          <cell r="E278">
            <v>0.84745762711864414</v>
          </cell>
          <cell r="F278">
            <v>64.966101694915253</v>
          </cell>
          <cell r="K278">
            <v>64.966101694915253</v>
          </cell>
        </row>
        <row r="279">
          <cell r="B279" t="str">
            <v>meTlaxi niS. 3.20/6.40/9.60</v>
          </cell>
          <cell r="C279" t="str">
            <v>m2</v>
          </cell>
          <cell r="D279">
            <v>166.2</v>
          </cell>
          <cell r="F279">
            <v>0</v>
          </cell>
          <cell r="G279">
            <v>38.25</v>
          </cell>
          <cell r="H279">
            <v>6357.15</v>
          </cell>
          <cell r="K279">
            <v>6357.15</v>
          </cell>
        </row>
        <row r="280">
          <cell r="B280" t="str">
            <v>meTlaxi fila</v>
          </cell>
          <cell r="C280" t="str">
            <v>m2</v>
          </cell>
          <cell r="D280">
            <v>174.51</v>
          </cell>
          <cell r="E280">
            <v>38.135593220338983</v>
          </cell>
          <cell r="F280">
            <v>6655.0423728813557</v>
          </cell>
          <cell r="K280">
            <v>6655.0423728813557</v>
          </cell>
        </row>
        <row r="281">
          <cell r="B281" t="str">
            <v>webo/cementi</v>
          </cell>
          <cell r="C281" t="str">
            <v>c</v>
          </cell>
          <cell r="D281">
            <v>20.941199999999998</v>
          </cell>
          <cell r="E281">
            <v>12.711864406779661</v>
          </cell>
          <cell r="F281">
            <v>266.20169491525422</v>
          </cell>
          <cell r="K281">
            <v>266.20169491525422</v>
          </cell>
        </row>
        <row r="282">
          <cell r="B282" t="str">
            <v>damxmare masala</v>
          </cell>
          <cell r="C282" t="str">
            <v>მ2</v>
          </cell>
          <cell r="D282">
            <v>166.2</v>
          </cell>
          <cell r="E282">
            <v>0.84745762711864414</v>
          </cell>
          <cell r="F282">
            <v>140.84745762711864</v>
          </cell>
          <cell r="K282">
            <v>140.84745762711864</v>
          </cell>
        </row>
        <row r="283">
          <cell r="B283" t="str">
            <v>k/granitis plintusi</v>
          </cell>
          <cell r="C283" t="str">
            <v>grZ.m</v>
          </cell>
          <cell r="D283">
            <v>846</v>
          </cell>
          <cell r="E283">
            <v>39.737288135593225</v>
          </cell>
          <cell r="F283">
            <v>33617.745762711871</v>
          </cell>
          <cell r="G283">
            <v>15.299999999999999</v>
          </cell>
          <cell r="H283">
            <v>12943.8</v>
          </cell>
          <cell r="I283">
            <v>0</v>
          </cell>
          <cell r="J283">
            <v>0</v>
          </cell>
          <cell r="K283">
            <v>46561.545762711874</v>
          </cell>
        </row>
        <row r="284">
          <cell r="B284" t="str">
            <v>plintusi niS. -2.55</v>
          </cell>
          <cell r="C284" t="str">
            <v>grZ.m</v>
          </cell>
          <cell r="D284">
            <v>0</v>
          </cell>
          <cell r="F284">
            <v>0</v>
          </cell>
          <cell r="G284">
            <v>15.299999999999999</v>
          </cell>
          <cell r="H284">
            <v>0</v>
          </cell>
          <cell r="K284">
            <v>0</v>
          </cell>
        </row>
        <row r="285">
          <cell r="B285" t="str">
            <v>meTlaxi fila</v>
          </cell>
          <cell r="C285" t="str">
            <v>m2</v>
          </cell>
          <cell r="D285">
            <v>0</v>
          </cell>
          <cell r="E285">
            <v>38.135593220338983</v>
          </cell>
          <cell r="F285">
            <v>0</v>
          </cell>
          <cell r="K285">
            <v>0</v>
          </cell>
        </row>
        <row r="286">
          <cell r="B286" t="str">
            <v>webo/cementi</v>
          </cell>
          <cell r="C286" t="str">
            <v>c</v>
          </cell>
          <cell r="D286">
            <v>0</v>
          </cell>
          <cell r="E286">
            <v>12.711864406779661</v>
          </cell>
          <cell r="F286">
            <v>0</v>
          </cell>
          <cell r="K286">
            <v>0</v>
          </cell>
        </row>
        <row r="287">
          <cell r="B287" t="str">
            <v>plintusi niS. 0.00</v>
          </cell>
          <cell r="C287" t="str">
            <v>grZ.m</v>
          </cell>
          <cell r="D287">
            <v>211.5</v>
          </cell>
          <cell r="F287">
            <v>0</v>
          </cell>
          <cell r="G287">
            <v>15.299999999999999</v>
          </cell>
          <cell r="H287">
            <v>3235.95</v>
          </cell>
          <cell r="K287">
            <v>3235.95</v>
          </cell>
        </row>
        <row r="288">
          <cell r="B288" t="str">
            <v>meTlaxi fila</v>
          </cell>
          <cell r="C288" t="str">
            <v>m2</v>
          </cell>
          <cell r="D288">
            <v>211.5</v>
          </cell>
          <cell r="E288">
            <v>38.135593220338983</v>
          </cell>
          <cell r="F288">
            <v>8065.6779661016944</v>
          </cell>
          <cell r="K288">
            <v>8065.6779661016944</v>
          </cell>
        </row>
        <row r="289">
          <cell r="B289" t="str">
            <v>webo/cementi</v>
          </cell>
          <cell r="C289" t="str">
            <v>c</v>
          </cell>
          <cell r="D289">
            <v>26.649000000000001</v>
          </cell>
          <cell r="E289">
            <v>12.711864406779661</v>
          </cell>
          <cell r="F289">
            <v>338.75847457627117</v>
          </cell>
          <cell r="K289">
            <v>338.75847457627117</v>
          </cell>
        </row>
        <row r="290">
          <cell r="B290" t="str">
            <v>plintusi niS. 3.20/6.40/9.60</v>
          </cell>
          <cell r="C290" t="str">
            <v>grZ.m</v>
          </cell>
          <cell r="D290">
            <v>634.5</v>
          </cell>
          <cell r="F290">
            <v>0</v>
          </cell>
          <cell r="G290">
            <v>15.299999999999999</v>
          </cell>
          <cell r="H290">
            <v>9707.8499999999985</v>
          </cell>
          <cell r="K290">
            <v>9707.8499999999985</v>
          </cell>
        </row>
        <row r="291">
          <cell r="B291" t="str">
            <v>meTlaxi fila</v>
          </cell>
          <cell r="C291" t="str">
            <v>m2</v>
          </cell>
          <cell r="D291">
            <v>634.5</v>
          </cell>
          <cell r="E291">
            <v>38.135593220338983</v>
          </cell>
          <cell r="F291">
            <v>24197.033898305086</v>
          </cell>
          <cell r="K291">
            <v>24197.033898305086</v>
          </cell>
        </row>
        <row r="292">
          <cell r="B292" t="str">
            <v>webo/cementi</v>
          </cell>
          <cell r="C292" t="str">
            <v>c</v>
          </cell>
          <cell r="D292">
            <v>79.947000000000003</v>
          </cell>
          <cell r="E292">
            <v>12.711864406779661</v>
          </cell>
          <cell r="F292">
            <v>1016.2754237288136</v>
          </cell>
          <cell r="K292">
            <v>1016.2754237288136</v>
          </cell>
        </row>
        <row r="293">
          <cell r="B293" t="str">
            <v>iatakebis moWimva</v>
          </cell>
          <cell r="C293" t="str">
            <v>m2</v>
          </cell>
          <cell r="D293">
            <v>2714.86</v>
          </cell>
          <cell r="E293">
            <v>8.5052372881355929</v>
          </cell>
          <cell r="F293">
            <v>23090.528504067795</v>
          </cell>
          <cell r="G293">
            <v>0</v>
          </cell>
          <cell r="H293">
            <v>0</v>
          </cell>
          <cell r="I293">
            <v>10.16949152542373</v>
          </cell>
          <cell r="J293">
            <v>27608.745762711871</v>
          </cell>
          <cell r="K293">
            <v>50699.27426677967</v>
          </cell>
        </row>
        <row r="294">
          <cell r="B294" t="str">
            <v>iatakebis moWimva niS -2.55</v>
          </cell>
          <cell r="C294" t="str">
            <v>m2</v>
          </cell>
          <cell r="D294">
            <v>0</v>
          </cell>
          <cell r="F294">
            <v>0</v>
          </cell>
          <cell r="H294">
            <v>0</v>
          </cell>
          <cell r="I294">
            <v>10.16949152542373</v>
          </cell>
          <cell r="J294">
            <v>0</v>
          </cell>
          <cell r="K294">
            <v>0</v>
          </cell>
        </row>
        <row r="295">
          <cell r="B295" t="str">
            <v>Savi qviSa</v>
          </cell>
          <cell r="C295" t="str">
            <v>m3</v>
          </cell>
          <cell r="D295">
            <v>0</v>
          </cell>
          <cell r="E295">
            <v>55.084745762711869</v>
          </cell>
          <cell r="F295">
            <v>0</v>
          </cell>
          <cell r="H295">
            <v>0</v>
          </cell>
          <cell r="K295">
            <v>0</v>
          </cell>
        </row>
        <row r="296">
          <cell r="B296" t="str">
            <v>cementi m400</v>
          </cell>
          <cell r="C296" t="str">
            <v>t</v>
          </cell>
          <cell r="D296">
            <v>0</v>
          </cell>
          <cell r="E296">
            <v>277.00847457627123</v>
          </cell>
          <cell r="F296">
            <v>0</v>
          </cell>
          <cell r="H296">
            <v>0</v>
          </cell>
          <cell r="K296">
            <v>0</v>
          </cell>
        </row>
        <row r="297">
          <cell r="B297" t="str">
            <v>iatakebis moWimva niS 0.00</v>
          </cell>
          <cell r="C297" t="str">
            <v>m2</v>
          </cell>
          <cell r="D297">
            <v>633.45999999999992</v>
          </cell>
          <cell r="F297">
            <v>0</v>
          </cell>
          <cell r="H297">
            <v>0</v>
          </cell>
          <cell r="I297">
            <v>10.16949152542373</v>
          </cell>
          <cell r="J297">
            <v>6441.9661016949149</v>
          </cell>
          <cell r="K297">
            <v>6441.9661016949149</v>
          </cell>
        </row>
        <row r="298">
          <cell r="B298" t="str">
            <v>Savi qviSa</v>
          </cell>
          <cell r="C298" t="str">
            <v>m3</v>
          </cell>
          <cell r="D298">
            <v>53.210639999999998</v>
          </cell>
          <cell r="E298">
            <v>55.084745762711869</v>
          </cell>
          <cell r="F298">
            <v>2931.0945762711867</v>
          </cell>
          <cell r="H298">
            <v>0</v>
          </cell>
          <cell r="K298">
            <v>2931.0945762711867</v>
          </cell>
        </row>
        <row r="299">
          <cell r="B299" t="str">
            <v>cementi m400</v>
          </cell>
          <cell r="C299" t="str">
            <v>t</v>
          </cell>
          <cell r="D299">
            <v>8.8684399999999997</v>
          </cell>
          <cell r="E299">
            <v>277.00847457627123</v>
          </cell>
          <cell r="F299">
            <v>2456.6330362711865</v>
          </cell>
          <cell r="H299">
            <v>0</v>
          </cell>
          <cell r="K299">
            <v>2456.6330362711865</v>
          </cell>
        </row>
        <row r="300">
          <cell r="B300" t="str">
            <v>iatakebis moWimva niS 3.20/6.40/9.60</v>
          </cell>
          <cell r="C300" t="str">
            <v>m2</v>
          </cell>
          <cell r="D300">
            <v>2081.4</v>
          </cell>
          <cell r="F300">
            <v>0</v>
          </cell>
          <cell r="H300">
            <v>0</v>
          </cell>
          <cell r="I300">
            <v>10.16949152542373</v>
          </cell>
          <cell r="J300">
            <v>21166.779661016953</v>
          </cell>
          <cell r="K300">
            <v>21166.779661016953</v>
          </cell>
        </row>
        <row r="301">
          <cell r="B301" t="str">
            <v>Savi qviSa</v>
          </cell>
          <cell r="C301" t="str">
            <v>m3</v>
          </cell>
          <cell r="D301">
            <v>174.83760000000001</v>
          </cell>
          <cell r="E301">
            <v>55.084745762711869</v>
          </cell>
          <cell r="F301">
            <v>9630.8847457627126</v>
          </cell>
          <cell r="H301">
            <v>0</v>
          </cell>
          <cell r="K301">
            <v>9630.8847457627126</v>
          </cell>
        </row>
        <row r="302">
          <cell r="B302" t="str">
            <v>cementi m400</v>
          </cell>
          <cell r="C302" t="str">
            <v>t</v>
          </cell>
          <cell r="D302">
            <v>29.139600000000002</v>
          </cell>
          <cell r="E302">
            <v>277.00847457627123</v>
          </cell>
          <cell r="F302">
            <v>8071.9161457627133</v>
          </cell>
          <cell r="H302">
            <v>0</v>
          </cell>
          <cell r="K302">
            <v>8071.9161457627133</v>
          </cell>
        </row>
        <row r="303">
          <cell r="B303" t="str">
            <v>T/m mopirkeTeba kedlebi</v>
          </cell>
          <cell r="C303" t="str">
            <v>m2</v>
          </cell>
          <cell r="D303">
            <v>3796.6104000000005</v>
          </cell>
          <cell r="E303">
            <v>25.183659050134992</v>
          </cell>
          <cell r="F303">
            <v>95612.541859796649</v>
          </cell>
          <cell r="G303">
            <v>19.125</v>
          </cell>
          <cell r="H303">
            <v>72610.173900000009</v>
          </cell>
          <cell r="I303">
            <v>0</v>
          </cell>
          <cell r="J303">
            <v>0</v>
          </cell>
          <cell r="K303">
            <v>168222.71575979667</v>
          </cell>
        </row>
        <row r="304">
          <cell r="B304" t="str">
            <v>T/m niS, 0.00</v>
          </cell>
          <cell r="C304" t="str">
            <v>m2</v>
          </cell>
          <cell r="D304">
            <v>902.64240000000007</v>
          </cell>
          <cell r="F304">
            <v>0</v>
          </cell>
          <cell r="G304">
            <v>19.125</v>
          </cell>
          <cell r="H304">
            <v>17263.035900000003</v>
          </cell>
          <cell r="K304">
            <v>17263.035900000003</v>
          </cell>
        </row>
        <row r="305">
          <cell r="B305" t="str">
            <v>T/m niS, 0.00</v>
          </cell>
          <cell r="C305" t="str">
            <v>m2</v>
          </cell>
          <cell r="D305">
            <v>902.64240000000007</v>
          </cell>
          <cell r="F305">
            <v>0</v>
          </cell>
          <cell r="G305">
            <v>0</v>
          </cell>
          <cell r="H305">
            <v>0</v>
          </cell>
          <cell r="K305">
            <v>0</v>
          </cell>
        </row>
        <row r="306">
          <cell r="B306" t="str">
            <v>T/muyaos fila</v>
          </cell>
          <cell r="C306" t="str">
            <v>c</v>
          </cell>
          <cell r="D306">
            <v>631.84968000000003</v>
          </cell>
          <cell r="E306">
            <v>14.40677966101695</v>
          </cell>
          <cell r="F306">
            <v>9102.9191186440694</v>
          </cell>
          <cell r="H306">
            <v>0</v>
          </cell>
          <cell r="K306">
            <v>9102.9191186440694</v>
          </cell>
        </row>
        <row r="307">
          <cell r="B307" t="str">
            <v>profili cd</v>
          </cell>
          <cell r="C307" t="str">
            <v>c</v>
          </cell>
          <cell r="D307">
            <v>631.84968000000003</v>
          </cell>
          <cell r="E307">
            <v>9.4067796610169498</v>
          </cell>
          <cell r="F307">
            <v>5943.670718644069</v>
          </cell>
          <cell r="H307">
            <v>0</v>
          </cell>
          <cell r="K307">
            <v>5943.670718644069</v>
          </cell>
        </row>
        <row r="308">
          <cell r="B308" t="str">
            <v>profili ud</v>
          </cell>
          <cell r="C308" t="str">
            <v>c</v>
          </cell>
          <cell r="D308">
            <v>442.29477600000007</v>
          </cell>
          <cell r="E308">
            <v>6.9491525423728815</v>
          </cell>
          <cell r="F308">
            <v>3073.5738671186446</v>
          </cell>
          <cell r="H308">
            <v>0</v>
          </cell>
          <cell r="K308">
            <v>3073.5738671186446</v>
          </cell>
        </row>
        <row r="309">
          <cell r="B309" t="str">
            <v>minabamba</v>
          </cell>
          <cell r="C309" t="str">
            <v>m2</v>
          </cell>
          <cell r="D309">
            <v>920.69524800000011</v>
          </cell>
          <cell r="E309">
            <v>2.2033898305084749</v>
          </cell>
          <cell r="F309">
            <v>2028.6505464406785</v>
          </cell>
          <cell r="H309">
            <v>0</v>
          </cell>
          <cell r="K309">
            <v>2028.6505464406785</v>
          </cell>
        </row>
        <row r="310">
          <cell r="B310" t="str">
            <v>agrafi</v>
          </cell>
          <cell r="C310" t="str">
            <v>c</v>
          </cell>
          <cell r="D310">
            <v>2256.6060000000002</v>
          </cell>
          <cell r="E310">
            <v>0.76271186440677974</v>
          </cell>
          <cell r="F310">
            <v>1721.1401694915257</v>
          </cell>
          <cell r="H310">
            <v>0</v>
          </cell>
          <cell r="K310">
            <v>1721.1401694915257</v>
          </cell>
        </row>
        <row r="311">
          <cell r="B311" t="str">
            <v>Surufi tn25</v>
          </cell>
          <cell r="C311" t="str">
            <v>c</v>
          </cell>
          <cell r="D311">
            <v>6860.0822399999997</v>
          </cell>
          <cell r="E311">
            <v>3.5593220338983052E-2</v>
          </cell>
          <cell r="F311">
            <v>244.1724187118644</v>
          </cell>
          <cell r="H311">
            <v>0</v>
          </cell>
          <cell r="K311">
            <v>244.1724187118644</v>
          </cell>
        </row>
        <row r="312">
          <cell r="B312" t="str">
            <v>Surufi tn35</v>
          </cell>
          <cell r="C312" t="str">
            <v>c</v>
          </cell>
          <cell r="D312">
            <v>12998.050560000001</v>
          </cell>
          <cell r="E312">
            <v>4.0677966101694919E-2</v>
          </cell>
          <cell r="F312">
            <v>528.73426006779675</v>
          </cell>
          <cell r="H312">
            <v>0</v>
          </cell>
          <cell r="K312">
            <v>528.73426006779675</v>
          </cell>
        </row>
        <row r="313">
          <cell r="B313" t="str">
            <v>dubel Surufi 35</v>
          </cell>
          <cell r="C313" t="str">
            <v>c</v>
          </cell>
          <cell r="D313">
            <v>2256.6060000000002</v>
          </cell>
          <cell r="E313">
            <v>8.4745762711864417E-2</v>
          </cell>
          <cell r="F313">
            <v>191.23779661016954</v>
          </cell>
          <cell r="H313">
            <v>0</v>
          </cell>
          <cell r="K313">
            <v>191.23779661016954</v>
          </cell>
        </row>
        <row r="314">
          <cell r="B314" t="str">
            <v>damxmare masala</v>
          </cell>
          <cell r="C314" t="str">
            <v>m2</v>
          </cell>
          <cell r="D314">
            <v>902.64240000000007</v>
          </cell>
          <cell r="E314">
            <v>0.76271186440677974</v>
          </cell>
          <cell r="F314">
            <v>688.45606779661034</v>
          </cell>
          <cell r="H314">
            <v>0</v>
          </cell>
          <cell r="K314">
            <v>688.45606779661034</v>
          </cell>
        </row>
        <row r="315">
          <cell r="B315" t="str">
            <v>T/m niS, 3.20/6.40/9.60</v>
          </cell>
          <cell r="C315" t="str">
            <v>m2</v>
          </cell>
          <cell r="D315">
            <v>2893.9680000000003</v>
          </cell>
          <cell r="F315">
            <v>0</v>
          </cell>
          <cell r="G315">
            <v>19.125</v>
          </cell>
          <cell r="H315">
            <v>55347.138000000006</v>
          </cell>
          <cell r="K315">
            <v>55347.138000000006</v>
          </cell>
        </row>
        <row r="316">
          <cell r="B316" t="str">
            <v>T/m niS, 3.20/6.40/9.60</v>
          </cell>
          <cell r="C316" t="str">
            <v>m2</v>
          </cell>
          <cell r="D316">
            <v>2766.3440000000001</v>
          </cell>
          <cell r="F316">
            <v>0</v>
          </cell>
          <cell r="G316">
            <v>0</v>
          </cell>
          <cell r="H316">
            <v>0</v>
          </cell>
          <cell r="K316">
            <v>0</v>
          </cell>
        </row>
        <row r="317">
          <cell r="B317" t="str">
            <v>T/muyaos fila</v>
          </cell>
          <cell r="C317" t="str">
            <v>c</v>
          </cell>
          <cell r="D317">
            <v>1936.4408000000003</v>
          </cell>
          <cell r="E317">
            <v>14.40677966101695</v>
          </cell>
          <cell r="F317">
            <v>27897.875932203395</v>
          </cell>
          <cell r="H317">
            <v>0</v>
          </cell>
          <cell r="K317">
            <v>27897.875932203395</v>
          </cell>
        </row>
        <row r="318">
          <cell r="B318" t="str">
            <v>profili cd</v>
          </cell>
          <cell r="C318" t="str">
            <v>c</v>
          </cell>
          <cell r="D318">
            <v>1936.4408000000003</v>
          </cell>
          <cell r="E318">
            <v>9.4067796610169498</v>
          </cell>
          <cell r="F318">
            <v>18215.671932203393</v>
          </cell>
          <cell r="H318">
            <v>0</v>
          </cell>
          <cell r="K318">
            <v>18215.671932203393</v>
          </cell>
        </row>
        <row r="319">
          <cell r="B319" t="str">
            <v>profili ud</v>
          </cell>
          <cell r="C319" t="str">
            <v>c</v>
          </cell>
          <cell r="D319">
            <v>1355.50856</v>
          </cell>
          <cell r="E319">
            <v>6.9491525423728815</v>
          </cell>
          <cell r="F319">
            <v>9419.6357559322041</v>
          </cell>
          <cell r="H319">
            <v>0</v>
          </cell>
          <cell r="K319">
            <v>9419.6357559322041</v>
          </cell>
        </row>
        <row r="320">
          <cell r="B320" t="str">
            <v>minabamba</v>
          </cell>
          <cell r="C320" t="str">
            <v>m2</v>
          </cell>
          <cell r="D320">
            <v>2821.6708800000001</v>
          </cell>
          <cell r="E320">
            <v>2.2033898305084749</v>
          </cell>
          <cell r="F320">
            <v>6217.2409220338996</v>
          </cell>
          <cell r="H320">
            <v>0</v>
          </cell>
          <cell r="K320">
            <v>6217.2409220338996</v>
          </cell>
        </row>
        <row r="321">
          <cell r="B321" t="str">
            <v>agrafi</v>
          </cell>
          <cell r="C321" t="str">
            <v>c</v>
          </cell>
          <cell r="D321">
            <v>6915.8600000000006</v>
          </cell>
          <cell r="E321">
            <v>0.76271186440677974</v>
          </cell>
          <cell r="F321">
            <v>5274.8084745762726</v>
          </cell>
          <cell r="H321">
            <v>0</v>
          </cell>
          <cell r="K321">
            <v>5274.8084745762726</v>
          </cell>
        </row>
        <row r="322">
          <cell r="B322" t="str">
            <v>Surufi tn25</v>
          </cell>
          <cell r="C322" t="str">
            <v>c</v>
          </cell>
          <cell r="D322">
            <v>21024.214400000001</v>
          </cell>
          <cell r="E322">
            <v>3.5593220338983052E-2</v>
          </cell>
          <cell r="F322">
            <v>748.31949559322038</v>
          </cell>
          <cell r="H322">
            <v>0</v>
          </cell>
          <cell r="K322">
            <v>748.31949559322038</v>
          </cell>
        </row>
        <row r="323">
          <cell r="B323" t="str">
            <v>Surufi tn35</v>
          </cell>
          <cell r="C323" t="str">
            <v>c</v>
          </cell>
          <cell r="D323">
            <v>39835.353600000002</v>
          </cell>
          <cell r="E323">
            <v>4.0677966101694919E-2</v>
          </cell>
          <cell r="F323">
            <v>1620.4211633898308</v>
          </cell>
          <cell r="H323">
            <v>0</v>
          </cell>
          <cell r="K323">
            <v>1620.4211633898308</v>
          </cell>
        </row>
        <row r="324">
          <cell r="B324" t="str">
            <v>dubel Surufi 35</v>
          </cell>
          <cell r="C324" t="str">
            <v>c</v>
          </cell>
          <cell r="D324">
            <v>6915.8600000000006</v>
          </cell>
          <cell r="E324">
            <v>8.4745762711864417E-2</v>
          </cell>
          <cell r="F324">
            <v>586.08983050847473</v>
          </cell>
          <cell r="H324">
            <v>0</v>
          </cell>
          <cell r="K324">
            <v>586.08983050847473</v>
          </cell>
        </row>
        <row r="325">
          <cell r="B325" t="str">
            <v>damxmare masala</v>
          </cell>
          <cell r="C325" t="str">
            <v>m2</v>
          </cell>
          <cell r="D325">
            <v>2766.3440000000001</v>
          </cell>
          <cell r="E325">
            <v>0.76271186440677974</v>
          </cell>
          <cell r="F325">
            <v>2109.9233898305088</v>
          </cell>
          <cell r="H325">
            <v>0</v>
          </cell>
          <cell r="K325">
            <v>2109.9233898305088</v>
          </cell>
        </row>
        <row r="326">
          <cell r="B326" t="str">
            <v>T/m mopirkeTeba tixrebi</v>
          </cell>
          <cell r="C326" t="str">
            <v>m2</v>
          </cell>
          <cell r="D326">
            <v>2523.9059999999999</v>
          </cell>
          <cell r="E326">
            <v>18.593104145394662</v>
          </cell>
          <cell r="F326">
            <v>46927.247111186458</v>
          </cell>
          <cell r="G326">
            <v>14.024999999999999</v>
          </cell>
          <cell r="H326">
            <v>35397.781649999997</v>
          </cell>
          <cell r="I326">
            <v>0</v>
          </cell>
          <cell r="J326">
            <v>0</v>
          </cell>
          <cell r="K326">
            <v>82325.028761186462</v>
          </cell>
        </row>
        <row r="327">
          <cell r="B327" t="str">
            <v>T/m niS, 0.00</v>
          </cell>
          <cell r="C327" t="str">
            <v>m2</v>
          </cell>
          <cell r="D327">
            <v>519.15600000000006</v>
          </cell>
          <cell r="F327">
            <v>0</v>
          </cell>
          <cell r="G327">
            <v>14.024999999999999</v>
          </cell>
          <cell r="H327">
            <v>7281.1629000000003</v>
          </cell>
          <cell r="K327">
            <v>7281.1629000000003</v>
          </cell>
        </row>
        <row r="328">
          <cell r="B328" t="str">
            <v>T/m niS, 0.00</v>
          </cell>
          <cell r="C328" t="str">
            <v>m2</v>
          </cell>
          <cell r="D328">
            <v>256.21800000000002</v>
          </cell>
          <cell r="F328">
            <v>0</v>
          </cell>
          <cell r="G328">
            <v>0</v>
          </cell>
          <cell r="H328">
            <v>0</v>
          </cell>
          <cell r="K328">
            <v>0</v>
          </cell>
        </row>
        <row r="329">
          <cell r="B329" t="str">
            <v>T/muyaos fila</v>
          </cell>
          <cell r="C329" t="str">
            <v>c</v>
          </cell>
          <cell r="D329">
            <v>358.70520000000005</v>
          </cell>
          <cell r="E329">
            <v>14.40677966101695</v>
          </cell>
          <cell r="F329">
            <v>5167.786779661018</v>
          </cell>
          <cell r="H329">
            <v>0</v>
          </cell>
          <cell r="K329">
            <v>5167.786779661018</v>
          </cell>
        </row>
        <row r="330">
          <cell r="B330" t="str">
            <v>profili uv</v>
          </cell>
          <cell r="C330" t="str">
            <v>c</v>
          </cell>
          <cell r="D330">
            <v>62.773409999999998</v>
          </cell>
          <cell r="E330">
            <v>11.864406779661017</v>
          </cell>
          <cell r="F330">
            <v>744.76927118644073</v>
          </cell>
          <cell r="H330">
            <v>0</v>
          </cell>
          <cell r="K330">
            <v>744.76927118644073</v>
          </cell>
        </row>
        <row r="331">
          <cell r="B331" t="str">
            <v>profili cv</v>
          </cell>
          <cell r="C331" t="str">
            <v>c</v>
          </cell>
          <cell r="D331">
            <v>179.35260000000002</v>
          </cell>
          <cell r="E331">
            <v>15.423728813559322</v>
          </cell>
          <cell r="F331">
            <v>2766.2858644067801</v>
          </cell>
          <cell r="H331">
            <v>0</v>
          </cell>
          <cell r="K331">
            <v>2766.2858644067801</v>
          </cell>
        </row>
        <row r="332">
          <cell r="B332" t="str">
            <v>minabamba</v>
          </cell>
          <cell r="C332" t="str">
            <v>m2</v>
          </cell>
          <cell r="D332">
            <v>130.67118000000002</v>
          </cell>
          <cell r="E332">
            <v>2.2033898305084749</v>
          </cell>
          <cell r="F332">
            <v>287.91954915254246</v>
          </cell>
          <cell r="H332">
            <v>0</v>
          </cell>
          <cell r="K332">
            <v>287.91954915254246</v>
          </cell>
        </row>
        <row r="333">
          <cell r="B333" t="str">
            <v>agrafi</v>
          </cell>
          <cell r="C333" t="str">
            <v>c</v>
          </cell>
          <cell r="D333">
            <v>640.54500000000007</v>
          </cell>
          <cell r="E333">
            <v>0.76271186440677974</v>
          </cell>
          <cell r="F333">
            <v>488.55127118644077</v>
          </cell>
          <cell r="H333">
            <v>0</v>
          </cell>
          <cell r="K333">
            <v>488.55127118644077</v>
          </cell>
        </row>
        <row r="334">
          <cell r="B334" t="str">
            <v>Surufi tn25</v>
          </cell>
          <cell r="C334" t="str">
            <v>c</v>
          </cell>
          <cell r="D334">
            <v>1947.2568000000001</v>
          </cell>
          <cell r="E334">
            <v>3.5593220338983052E-2</v>
          </cell>
          <cell r="F334">
            <v>69.309140338983056</v>
          </cell>
          <cell r="H334">
            <v>0</v>
          </cell>
          <cell r="K334">
            <v>69.309140338983056</v>
          </cell>
        </row>
        <row r="335">
          <cell r="B335" t="str">
            <v>Surufi tn35</v>
          </cell>
          <cell r="C335" t="str">
            <v>c</v>
          </cell>
          <cell r="D335">
            <v>3689.5392000000002</v>
          </cell>
          <cell r="E335">
            <v>4.0677966101694919E-2</v>
          </cell>
          <cell r="F335">
            <v>150.0829505084746</v>
          </cell>
          <cell r="H335">
            <v>0</v>
          </cell>
          <cell r="K335">
            <v>150.0829505084746</v>
          </cell>
        </row>
        <row r="336">
          <cell r="B336" t="str">
            <v>dubel Surufi 35</v>
          </cell>
          <cell r="C336" t="str">
            <v>c</v>
          </cell>
          <cell r="D336">
            <v>640.54500000000007</v>
          </cell>
          <cell r="E336">
            <v>8.4745762711864417E-2</v>
          </cell>
          <cell r="F336">
            <v>54.283474576271196</v>
          </cell>
          <cell r="H336">
            <v>0</v>
          </cell>
          <cell r="K336">
            <v>54.283474576271196</v>
          </cell>
        </row>
        <row r="337">
          <cell r="B337" t="str">
            <v>damxmare masala</v>
          </cell>
          <cell r="C337" t="str">
            <v>m2</v>
          </cell>
          <cell r="D337">
            <v>256.21800000000002</v>
          </cell>
          <cell r="E337">
            <v>0.76271186440677974</v>
          </cell>
          <cell r="F337">
            <v>195.42050847457631</v>
          </cell>
          <cell r="H337">
            <v>0</v>
          </cell>
          <cell r="K337">
            <v>195.42050847457631</v>
          </cell>
        </row>
        <row r="338">
          <cell r="B338" t="str">
            <v>T/m niS, 3.20/6.40/9.60</v>
          </cell>
          <cell r="C338" t="str">
            <v>m2</v>
          </cell>
          <cell r="D338">
            <v>2004.75</v>
          </cell>
          <cell r="F338">
            <v>0</v>
          </cell>
          <cell r="G338">
            <v>14.024999999999999</v>
          </cell>
          <cell r="H338">
            <v>28116.618749999998</v>
          </cell>
          <cell r="K338">
            <v>28116.618749999998</v>
          </cell>
        </row>
        <row r="339">
          <cell r="B339" t="str">
            <v>T/m niS, 3.20/6.40/9.60</v>
          </cell>
          <cell r="C339" t="str">
            <v>m2</v>
          </cell>
          <cell r="D339">
            <v>999.01499999999999</v>
          </cell>
          <cell r="F339">
            <v>0</v>
          </cell>
          <cell r="G339">
            <v>0</v>
          </cell>
          <cell r="H339">
            <v>0</v>
          </cell>
          <cell r="K339">
            <v>0</v>
          </cell>
        </row>
        <row r="340">
          <cell r="B340" t="str">
            <v>T/muyaos fila</v>
          </cell>
          <cell r="C340" t="str">
            <v>c</v>
          </cell>
          <cell r="D340">
            <v>1398.6210000000001</v>
          </cell>
          <cell r="E340">
            <v>13.474576271186441</v>
          </cell>
          <cell r="F340">
            <v>18845.825338983053</v>
          </cell>
          <cell r="H340">
            <v>0</v>
          </cell>
          <cell r="K340">
            <v>18845.825338983053</v>
          </cell>
        </row>
        <row r="341">
          <cell r="B341" t="str">
            <v>profili uv</v>
          </cell>
          <cell r="C341" t="str">
            <v>c</v>
          </cell>
          <cell r="D341">
            <v>244.75867499999998</v>
          </cell>
          <cell r="E341">
            <v>11.525423728813559</v>
          </cell>
          <cell r="F341">
            <v>2820.9474406779659</v>
          </cell>
          <cell r="H341">
            <v>0</v>
          </cell>
          <cell r="K341">
            <v>2820.9474406779659</v>
          </cell>
        </row>
        <row r="342">
          <cell r="B342" t="str">
            <v>profili cv</v>
          </cell>
          <cell r="C342" t="str">
            <v>c</v>
          </cell>
          <cell r="D342">
            <v>699.31050000000005</v>
          </cell>
          <cell r="E342">
            <v>15.423728813559322</v>
          </cell>
          <cell r="F342">
            <v>10785.975508474578</v>
          </cell>
          <cell r="H342">
            <v>0</v>
          </cell>
          <cell r="K342">
            <v>10785.975508474578</v>
          </cell>
        </row>
        <row r="343">
          <cell r="B343" t="str">
            <v>minabamba</v>
          </cell>
          <cell r="C343" t="str">
            <v>m2</v>
          </cell>
          <cell r="D343">
            <v>509.49765000000002</v>
          </cell>
          <cell r="E343">
            <v>2.2033898305084749</v>
          </cell>
          <cell r="F343">
            <v>1122.6219406779662</v>
          </cell>
          <cell r="H343">
            <v>0</v>
          </cell>
          <cell r="K343">
            <v>1122.6219406779662</v>
          </cell>
        </row>
        <row r="344">
          <cell r="B344" t="str">
            <v>agrafi</v>
          </cell>
          <cell r="C344" t="str">
            <v>c</v>
          </cell>
          <cell r="D344">
            <v>2497.5374999999999</v>
          </cell>
          <cell r="E344">
            <v>0.64</v>
          </cell>
          <cell r="F344">
            <v>1598.424</v>
          </cell>
          <cell r="H344">
            <v>0</v>
          </cell>
          <cell r="K344">
            <v>1598.424</v>
          </cell>
        </row>
        <row r="345">
          <cell r="B345" t="str">
            <v>Surufi tn25</v>
          </cell>
          <cell r="C345" t="str">
            <v>c</v>
          </cell>
          <cell r="D345">
            <v>7592.5139999999992</v>
          </cell>
          <cell r="E345">
            <v>3.5593220338983052E-2</v>
          </cell>
          <cell r="F345">
            <v>270.24202372881354</v>
          </cell>
          <cell r="H345">
            <v>0</v>
          </cell>
          <cell r="K345">
            <v>270.24202372881354</v>
          </cell>
        </row>
        <row r="346">
          <cell r="B346" t="str">
            <v>Surufi tn35</v>
          </cell>
          <cell r="C346" t="str">
            <v>c</v>
          </cell>
          <cell r="D346">
            <v>14385.816000000001</v>
          </cell>
          <cell r="E346">
            <v>4.0677966101694919E-2</v>
          </cell>
          <cell r="F346">
            <v>585.18573559322044</v>
          </cell>
          <cell r="H346">
            <v>0</v>
          </cell>
          <cell r="K346">
            <v>585.18573559322044</v>
          </cell>
        </row>
        <row r="347">
          <cell r="B347" t="str">
            <v>dubel Surufi 35</v>
          </cell>
          <cell r="C347" t="str">
            <v>c</v>
          </cell>
          <cell r="D347">
            <v>2497.5374999999999</v>
          </cell>
          <cell r="E347">
            <v>8.4745762711864417E-2</v>
          </cell>
          <cell r="F347">
            <v>211.65572033898306</v>
          </cell>
          <cell r="H347">
            <v>0</v>
          </cell>
          <cell r="K347">
            <v>211.65572033898306</v>
          </cell>
        </row>
        <row r="348">
          <cell r="B348" t="str">
            <v>damxmare masala</v>
          </cell>
          <cell r="C348" t="str">
            <v>m2</v>
          </cell>
          <cell r="D348">
            <v>999.01499999999999</v>
          </cell>
          <cell r="E348">
            <v>0.76271186440677974</v>
          </cell>
          <cell r="F348">
            <v>761.96059322033909</v>
          </cell>
          <cell r="H348">
            <v>0</v>
          </cell>
          <cell r="K348">
            <v>761.96059322033909</v>
          </cell>
        </row>
        <row r="349">
          <cell r="B349" t="str">
            <v>liTonis binis kari</v>
          </cell>
          <cell r="C349" t="str">
            <v>cali</v>
          </cell>
          <cell r="D349">
            <v>39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1457.6271186440679</v>
          </cell>
          <cell r="J349">
            <v>56847.457627118645</v>
          </cell>
          <cell r="K349">
            <v>56847.457627118645</v>
          </cell>
        </row>
        <row r="350">
          <cell r="B350" t="str">
            <v>kari. niS. -2.55</v>
          </cell>
          <cell r="C350" t="str">
            <v>cali</v>
          </cell>
          <cell r="D350">
            <v>0</v>
          </cell>
          <cell r="F350">
            <v>0</v>
          </cell>
          <cell r="H350">
            <v>0</v>
          </cell>
          <cell r="I350">
            <v>1457.6271186440679</v>
          </cell>
          <cell r="J350">
            <v>0</v>
          </cell>
          <cell r="K350">
            <v>0</v>
          </cell>
        </row>
        <row r="351">
          <cell r="B351" t="str">
            <v>kari. niS. 0.00</v>
          </cell>
          <cell r="C351" t="str">
            <v>cali</v>
          </cell>
          <cell r="D351">
            <v>9</v>
          </cell>
          <cell r="F351">
            <v>0</v>
          </cell>
          <cell r="H351">
            <v>0</v>
          </cell>
          <cell r="I351">
            <v>1457.6271186440679</v>
          </cell>
          <cell r="J351">
            <v>13118.644067796611</v>
          </cell>
          <cell r="K351">
            <v>13118.644067796611</v>
          </cell>
        </row>
        <row r="352">
          <cell r="B352" t="str">
            <v>kari. niS. 3.20/6.40/9.60</v>
          </cell>
          <cell r="C352" t="str">
            <v>cali</v>
          </cell>
          <cell r="D352">
            <v>30</v>
          </cell>
          <cell r="F352">
            <v>0</v>
          </cell>
          <cell r="H352">
            <v>0</v>
          </cell>
          <cell r="I352">
            <v>1457.6271186440679</v>
          </cell>
          <cell r="J352">
            <v>43728.813559322036</v>
          </cell>
          <cell r="K352">
            <v>43728.813559322036</v>
          </cell>
        </row>
        <row r="353">
          <cell r="B353" t="str">
            <v>liTonis aivnis gisosi</v>
          </cell>
          <cell r="C353" t="str">
            <v>m2</v>
          </cell>
          <cell r="D353">
            <v>86.7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211.86440677966104</v>
          </cell>
          <cell r="J353">
            <v>18368.644067796613</v>
          </cell>
          <cell r="K353">
            <v>18368.644067796613</v>
          </cell>
        </row>
        <row r="354">
          <cell r="B354" t="str">
            <v>kari. niS. 0.00</v>
          </cell>
          <cell r="C354" t="str">
            <v>m2</v>
          </cell>
          <cell r="D354">
            <v>10.199999999999999</v>
          </cell>
          <cell r="F354">
            <v>0</v>
          </cell>
          <cell r="H354">
            <v>0</v>
          </cell>
          <cell r="I354">
            <v>211.86440677966104</v>
          </cell>
          <cell r="J354">
            <v>2161.0169491525426</v>
          </cell>
          <cell r="K354">
            <v>2161.0169491525426</v>
          </cell>
        </row>
        <row r="355">
          <cell r="B355" t="str">
            <v>kari. niS. 3.20/6.40/9.60</v>
          </cell>
          <cell r="C355" t="str">
            <v>m2</v>
          </cell>
          <cell r="D355">
            <v>76.5</v>
          </cell>
          <cell r="F355">
            <v>0</v>
          </cell>
          <cell r="H355">
            <v>0</v>
          </cell>
          <cell r="I355">
            <v>211.86440677966104</v>
          </cell>
          <cell r="J355">
            <v>16207.62711864407</v>
          </cell>
          <cell r="K355">
            <v>16207.62711864407</v>
          </cell>
        </row>
        <row r="356">
          <cell r="B356" t="str">
            <v>liTonis sadarbazos kari</v>
          </cell>
          <cell r="C356" t="str">
            <v>cali</v>
          </cell>
          <cell r="D356">
            <v>2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3050.8474576271187</v>
          </cell>
          <cell r="J356">
            <v>6101.6949152542375</v>
          </cell>
          <cell r="K356">
            <v>6101.6949152542375</v>
          </cell>
        </row>
        <row r="357">
          <cell r="B357" t="str">
            <v>kari niS. 0.00</v>
          </cell>
          <cell r="C357" t="str">
            <v>cali</v>
          </cell>
          <cell r="D357">
            <v>2</v>
          </cell>
          <cell r="F357">
            <v>0</v>
          </cell>
          <cell r="H357">
            <v>0</v>
          </cell>
          <cell r="I357">
            <v>3050.8474576271187</v>
          </cell>
          <cell r="J357">
            <v>6101.6949152542375</v>
          </cell>
          <cell r="K357">
            <v>6101.6949152542375</v>
          </cell>
        </row>
        <row r="358">
          <cell r="B358" t="str">
            <v>saxuravze gasasvleli gisosi</v>
          </cell>
          <cell r="C358" t="str">
            <v>cali</v>
          </cell>
          <cell r="D358">
            <v>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152.54237288135593</v>
          </cell>
          <cell r="J358">
            <v>305.08474576271186</v>
          </cell>
          <cell r="K358">
            <v>305.08474576271186</v>
          </cell>
        </row>
        <row r="359">
          <cell r="B359" t="str">
            <v>gisosi</v>
          </cell>
          <cell r="C359" t="str">
            <v>cali</v>
          </cell>
          <cell r="D359">
            <v>2</v>
          </cell>
          <cell r="F359">
            <v>0</v>
          </cell>
          <cell r="H359">
            <v>0</v>
          </cell>
          <cell r="I359">
            <v>152.54237288135593</v>
          </cell>
          <cell r="J359">
            <v>305.08474576271186</v>
          </cell>
          <cell r="K359">
            <v>305.08474576271186</v>
          </cell>
        </row>
        <row r="360">
          <cell r="B360" t="str">
            <v>saevakuacio kari</v>
          </cell>
          <cell r="C360" t="str">
            <v>cali</v>
          </cell>
          <cell r="D360">
            <v>12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1483.0508474576272</v>
          </cell>
          <cell r="J360">
            <v>17796.610169491527</v>
          </cell>
          <cell r="K360">
            <v>17796.610169491527</v>
          </cell>
        </row>
        <row r="361">
          <cell r="B361" t="str">
            <v>kari. niS. -2.55</v>
          </cell>
          <cell r="C361" t="str">
            <v>cali</v>
          </cell>
          <cell r="D361">
            <v>0</v>
          </cell>
          <cell r="F361">
            <v>0</v>
          </cell>
          <cell r="I361">
            <v>1483.0508474576272</v>
          </cell>
          <cell r="J361">
            <v>0</v>
          </cell>
          <cell r="K361">
            <v>0</v>
          </cell>
        </row>
        <row r="362">
          <cell r="B362" t="str">
            <v>kari. niS. 0.00</v>
          </cell>
          <cell r="C362" t="str">
            <v>cali</v>
          </cell>
          <cell r="D362">
            <v>6</v>
          </cell>
          <cell r="F362">
            <v>0</v>
          </cell>
          <cell r="I362">
            <v>1483.0508474576272</v>
          </cell>
          <cell r="J362">
            <v>8898.3050847457635</v>
          </cell>
          <cell r="K362">
            <v>8898.3050847457635</v>
          </cell>
        </row>
        <row r="363">
          <cell r="B363" t="str">
            <v>kari. niS. 3.20/6.40/9.60</v>
          </cell>
          <cell r="C363" t="str">
            <v>cali</v>
          </cell>
          <cell r="D363">
            <v>6</v>
          </cell>
          <cell r="F363">
            <v>0</v>
          </cell>
          <cell r="I363">
            <v>1483.0508474576272</v>
          </cell>
          <cell r="J363">
            <v>8898.3050847457635</v>
          </cell>
          <cell r="K363">
            <v>8898.3050847457635</v>
          </cell>
        </row>
        <row r="364">
          <cell r="B364" t="str">
            <v>liTonis aivnis moajiri</v>
          </cell>
          <cell r="C364" t="str">
            <v>grZ.m</v>
          </cell>
          <cell r="D364">
            <v>203.07999999999998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220.3389830508475</v>
          </cell>
          <cell r="J364">
            <v>44746.440677966108</v>
          </cell>
          <cell r="K364">
            <v>44746.440677966108</v>
          </cell>
        </row>
        <row r="365">
          <cell r="B365" t="str">
            <v>moajiri, niS. 0.00</v>
          </cell>
          <cell r="C365" t="str">
            <v>grZ.m</v>
          </cell>
          <cell r="D365">
            <v>50.8</v>
          </cell>
          <cell r="F365">
            <v>0</v>
          </cell>
          <cell r="H365">
            <v>0</v>
          </cell>
          <cell r="I365">
            <v>220.33898305084747</v>
          </cell>
          <cell r="J365">
            <v>11193.22033898305</v>
          </cell>
          <cell r="K365">
            <v>11193.22033898305</v>
          </cell>
        </row>
        <row r="366">
          <cell r="B366" t="str">
            <v>moajiri, niS. 3.20/6.40/9.60</v>
          </cell>
          <cell r="C366" t="str">
            <v>grZ.m</v>
          </cell>
          <cell r="D366">
            <v>152.28</v>
          </cell>
          <cell r="F366">
            <v>0</v>
          </cell>
          <cell r="H366">
            <v>0</v>
          </cell>
          <cell r="I366">
            <v>220.33898305084747</v>
          </cell>
          <cell r="J366">
            <v>33553.220338983054</v>
          </cell>
          <cell r="K366">
            <v>33553.220338983054</v>
          </cell>
        </row>
        <row r="367">
          <cell r="B367" t="str">
            <v>liTonis kibis moajiri</v>
          </cell>
          <cell r="C367" t="str">
            <v>grZ.m</v>
          </cell>
          <cell r="D367">
            <v>77.099999999999994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211.86440677966104</v>
          </cell>
          <cell r="J367">
            <v>16334.745762711866</v>
          </cell>
          <cell r="K367">
            <v>16334.745762711866</v>
          </cell>
        </row>
        <row r="368">
          <cell r="B368" t="str">
            <v>moajiri, niS. 0.00</v>
          </cell>
          <cell r="C368" t="str">
            <v>grZ.m</v>
          </cell>
          <cell r="D368">
            <v>20.85</v>
          </cell>
          <cell r="F368">
            <v>0</v>
          </cell>
          <cell r="G368">
            <v>0</v>
          </cell>
          <cell r="I368">
            <v>220.33898305084747</v>
          </cell>
          <cell r="J368">
            <v>4594.0677966101703</v>
          </cell>
          <cell r="K368">
            <v>4594.0677966101703</v>
          </cell>
        </row>
        <row r="369">
          <cell r="B369" t="str">
            <v>moajiri, niS. 3.20/6.40/9.60</v>
          </cell>
          <cell r="C369" t="str">
            <v>grZ.m</v>
          </cell>
          <cell r="D369">
            <v>56.25</v>
          </cell>
          <cell r="F369">
            <v>0</v>
          </cell>
          <cell r="G369">
            <v>0</v>
          </cell>
          <cell r="I369">
            <v>220.33898305084747</v>
          </cell>
          <cell r="J369">
            <v>12394.06779661017</v>
          </cell>
          <cell r="K369">
            <v>12394.06779661017</v>
          </cell>
        </row>
        <row r="370">
          <cell r="B370" t="str">
            <v>liTonis kibis moajiri kedelze misamagrebeli</v>
          </cell>
          <cell r="C370" t="str">
            <v>grZ.m</v>
          </cell>
          <cell r="D370">
            <v>89.4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73.728813559322035</v>
          </cell>
          <cell r="J370">
            <v>6591.3559322033907</v>
          </cell>
          <cell r="K370">
            <v>6591.3559322033907</v>
          </cell>
        </row>
        <row r="371">
          <cell r="B371" t="str">
            <v>moajiri, niS. 0.00</v>
          </cell>
          <cell r="C371" t="str">
            <v>grZ.m</v>
          </cell>
          <cell r="D371">
            <v>51.9</v>
          </cell>
          <cell r="F371">
            <v>0</v>
          </cell>
          <cell r="G371">
            <v>0</v>
          </cell>
          <cell r="I371">
            <v>73.728813559322035</v>
          </cell>
          <cell r="J371">
            <v>3826.5254237288136</v>
          </cell>
          <cell r="K371">
            <v>3826.5254237288136</v>
          </cell>
        </row>
        <row r="372">
          <cell r="B372" t="str">
            <v>moajiri, niS. 3.20/6.40/9.60</v>
          </cell>
          <cell r="C372" t="str">
            <v>grZ.m</v>
          </cell>
          <cell r="D372">
            <v>37.5</v>
          </cell>
          <cell r="F372">
            <v>0</v>
          </cell>
          <cell r="G372">
            <v>0</v>
          </cell>
          <cell r="I372">
            <v>73.728813559322035</v>
          </cell>
          <cell r="J372">
            <v>2764.8305084745762</v>
          </cell>
          <cell r="K372">
            <v>2764.8305084745762</v>
          </cell>
        </row>
        <row r="373">
          <cell r="B373" t="str">
            <v>gazis saqvabe</v>
          </cell>
          <cell r="C373" t="str">
            <v>cali</v>
          </cell>
          <cell r="D373">
            <v>39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1567.7966101694917</v>
          </cell>
          <cell r="J373">
            <v>61144.067796610179</v>
          </cell>
          <cell r="K373">
            <v>61144.067796610179</v>
          </cell>
        </row>
        <row r="374">
          <cell r="B374" t="str">
            <v>sak. Saxta niS. -5</v>
          </cell>
          <cell r="C374" t="str">
            <v>cali</v>
          </cell>
          <cell r="D374">
            <v>0</v>
          </cell>
          <cell r="F374">
            <v>0</v>
          </cell>
          <cell r="H374">
            <v>0</v>
          </cell>
          <cell r="I374">
            <v>1567.7966101694917</v>
          </cell>
          <cell r="J374">
            <v>0</v>
          </cell>
          <cell r="K374">
            <v>0</v>
          </cell>
        </row>
        <row r="375">
          <cell r="B375" t="str">
            <v>sak. Saxta niS. 0.00</v>
          </cell>
          <cell r="C375" t="str">
            <v>cali</v>
          </cell>
          <cell r="D375">
            <v>9</v>
          </cell>
          <cell r="F375">
            <v>0</v>
          </cell>
          <cell r="H375">
            <v>0</v>
          </cell>
          <cell r="I375">
            <v>1567.7966101694917</v>
          </cell>
          <cell r="J375">
            <v>14110.169491525425</v>
          </cell>
          <cell r="K375">
            <v>14110.169491525425</v>
          </cell>
        </row>
        <row r="376">
          <cell r="B376" t="str">
            <v>sak. Saxta niS. 3.20/6.40/9.60</v>
          </cell>
          <cell r="C376" t="str">
            <v>cali</v>
          </cell>
          <cell r="D376">
            <v>30</v>
          </cell>
          <cell r="F376">
            <v>0</v>
          </cell>
          <cell r="H376">
            <v>0</v>
          </cell>
          <cell r="I376">
            <v>1567.7966101694917</v>
          </cell>
          <cell r="J376">
            <v>47033.898305084753</v>
          </cell>
          <cell r="K376">
            <v>47033.898305084753</v>
          </cell>
        </row>
        <row r="377">
          <cell r="B377" t="str">
            <v>gaTbobis milebis daqselva</v>
          </cell>
          <cell r="C377" t="str">
            <v>bina</v>
          </cell>
          <cell r="D377">
            <v>39</v>
          </cell>
          <cell r="E377">
            <v>410.69100391134282</v>
          </cell>
          <cell r="F377">
            <v>16016.949152542369</v>
          </cell>
          <cell r="G377">
            <v>114.74999999999997</v>
          </cell>
          <cell r="H377">
            <v>4475.2499999999991</v>
          </cell>
          <cell r="I377">
            <v>0</v>
          </cell>
          <cell r="J377">
            <v>0</v>
          </cell>
          <cell r="K377">
            <v>20492.199152542369</v>
          </cell>
        </row>
        <row r="378">
          <cell r="B378" t="str">
            <v>gaTboba, niS. 0.00</v>
          </cell>
          <cell r="C378" t="str">
            <v>bina</v>
          </cell>
          <cell r="D378">
            <v>9</v>
          </cell>
          <cell r="F378">
            <v>0</v>
          </cell>
          <cell r="G378">
            <v>114.74999999999999</v>
          </cell>
          <cell r="H378">
            <v>1032.7499999999998</v>
          </cell>
          <cell r="K378">
            <v>1032.7499999999998</v>
          </cell>
        </row>
        <row r="379">
          <cell r="B379" t="str">
            <v>gaTbobis mili</v>
          </cell>
          <cell r="C379" t="str">
            <v>grZ.m</v>
          </cell>
          <cell r="D379">
            <v>2250</v>
          </cell>
          <cell r="E379">
            <v>2.3728813559322033</v>
          </cell>
          <cell r="F379">
            <v>5338.983050847457</v>
          </cell>
          <cell r="H379">
            <v>0</v>
          </cell>
          <cell r="K379">
            <v>5338.983050847457</v>
          </cell>
        </row>
        <row r="380">
          <cell r="B380" t="str">
            <v>gaTboba, niS. 3.20/6.40/9.60</v>
          </cell>
          <cell r="C380" t="str">
            <v>bina</v>
          </cell>
          <cell r="D380">
            <v>30</v>
          </cell>
          <cell r="F380">
            <v>0</v>
          </cell>
          <cell r="G380">
            <v>114.74999999999999</v>
          </cell>
          <cell r="H380">
            <v>3442.4999999999995</v>
          </cell>
          <cell r="K380">
            <v>3442.4999999999995</v>
          </cell>
        </row>
        <row r="381">
          <cell r="B381" t="str">
            <v>gaTbobis mili</v>
          </cell>
          <cell r="C381" t="str">
            <v>grZ.m</v>
          </cell>
          <cell r="D381">
            <v>4500</v>
          </cell>
          <cell r="E381">
            <v>2.3728813559322033</v>
          </cell>
          <cell r="F381">
            <v>10677.966101694914</v>
          </cell>
          <cell r="H381">
            <v>0</v>
          </cell>
          <cell r="K381">
            <v>10677.966101694914</v>
          </cell>
        </row>
        <row r="382">
          <cell r="B382" t="str">
            <v>kanalizaciis daqselva</v>
          </cell>
          <cell r="C382" t="str">
            <v>c</v>
          </cell>
          <cell r="D382">
            <v>64</v>
          </cell>
          <cell r="E382">
            <v>106.33305084745764</v>
          </cell>
          <cell r="F382">
            <v>6805.3152542372891</v>
          </cell>
          <cell r="G382">
            <v>22.95</v>
          </cell>
          <cell r="H382">
            <v>1468.8</v>
          </cell>
          <cell r="I382">
            <v>0</v>
          </cell>
          <cell r="J382">
            <v>0</v>
          </cell>
          <cell r="K382">
            <v>8274.1152542372893</v>
          </cell>
        </row>
        <row r="383">
          <cell r="B383" t="str">
            <v>ventilaciis daqselva</v>
          </cell>
          <cell r="C383" t="str">
            <v>c</v>
          </cell>
          <cell r="D383">
            <v>225</v>
          </cell>
          <cell r="E383">
            <v>19.200278910105126</v>
          </cell>
          <cell r="F383">
            <v>4320.0627547736531</v>
          </cell>
          <cell r="G383">
            <v>17.849999999999998</v>
          </cell>
          <cell r="H383">
            <v>4016.2499999999995</v>
          </cell>
          <cell r="I383">
            <v>0</v>
          </cell>
          <cell r="J383">
            <v>0</v>
          </cell>
          <cell r="K383">
            <v>8336.3127547736531</v>
          </cell>
        </row>
        <row r="384">
          <cell r="B384" t="str">
            <v>Sida eldaqselva</v>
          </cell>
          <cell r="C384" t="str">
            <v>wert.</v>
          </cell>
          <cell r="D384">
            <v>4485</v>
          </cell>
          <cell r="E384">
            <v>13.151238591916561</v>
          </cell>
          <cell r="F384">
            <v>58983.305084745778</v>
          </cell>
          <cell r="G384">
            <v>10.199999999999999</v>
          </cell>
          <cell r="H384">
            <v>45747</v>
          </cell>
          <cell r="I384">
            <v>0</v>
          </cell>
          <cell r="J384">
            <v>0</v>
          </cell>
          <cell r="K384">
            <v>104730.30508474578</v>
          </cell>
        </row>
        <row r="385">
          <cell r="B385" t="str">
            <v>eldaqselva, niS. 0.00</v>
          </cell>
          <cell r="C385" t="str">
            <v>wert.</v>
          </cell>
          <cell r="D385">
            <v>1035</v>
          </cell>
          <cell r="F385">
            <v>0</v>
          </cell>
          <cell r="G385">
            <v>10.199999999999999</v>
          </cell>
          <cell r="H385">
            <v>10557</v>
          </cell>
          <cell r="K385">
            <v>10557</v>
          </cell>
        </row>
        <row r="386">
          <cell r="B386" t="str">
            <v>kabeli 3*2.5</v>
          </cell>
          <cell r="C386" t="str">
            <v>grZ.m</v>
          </cell>
          <cell r="D386">
            <v>3260.25</v>
          </cell>
          <cell r="E386">
            <v>2.6271186440677967</v>
          </cell>
          <cell r="F386">
            <v>8565.0635593220341</v>
          </cell>
          <cell r="K386">
            <v>8565.0635593220341</v>
          </cell>
        </row>
        <row r="387">
          <cell r="B387" t="str">
            <v>kabeli 3*1.5</v>
          </cell>
          <cell r="C387" t="str">
            <v>grZ.m</v>
          </cell>
          <cell r="D387">
            <v>923.73750000000007</v>
          </cell>
          <cell r="E387">
            <v>1.6949152542372883</v>
          </cell>
          <cell r="F387">
            <v>1565.6567796610173</v>
          </cell>
          <cell r="K387">
            <v>1565.6567796610173</v>
          </cell>
        </row>
        <row r="388">
          <cell r="B388" t="str">
            <v>kabeli 2*1.5</v>
          </cell>
          <cell r="C388" t="str">
            <v>grZ.m</v>
          </cell>
          <cell r="D388">
            <v>1901.8125</v>
          </cell>
          <cell r="E388">
            <v>1.1864406779661016</v>
          </cell>
          <cell r="F388">
            <v>2256.3877118644068</v>
          </cell>
          <cell r="K388">
            <v>2256.3877118644068</v>
          </cell>
        </row>
        <row r="389">
          <cell r="B389" t="str">
            <v>internetis kabeli</v>
          </cell>
          <cell r="C389" t="str">
            <v>grZ.m</v>
          </cell>
          <cell r="D389">
            <v>672.75</v>
          </cell>
          <cell r="E389">
            <v>1.3135593220338984</v>
          </cell>
          <cell r="F389">
            <v>883.69703389830511</v>
          </cell>
          <cell r="K389">
            <v>883.69703389830511</v>
          </cell>
        </row>
        <row r="390">
          <cell r="B390" t="str">
            <v>damxmare masala</v>
          </cell>
          <cell r="C390" t="str">
            <v>wert.</v>
          </cell>
          <cell r="D390">
            <v>1035</v>
          </cell>
          <cell r="E390">
            <v>0.46610169491525427</v>
          </cell>
          <cell r="F390">
            <v>482.4152542372882</v>
          </cell>
          <cell r="K390">
            <v>482.4152542372882</v>
          </cell>
        </row>
        <row r="391">
          <cell r="B391" t="str">
            <v>eldaqselva, niS. 3.20/6.40</v>
          </cell>
          <cell r="C391" t="str">
            <v>wert.</v>
          </cell>
          <cell r="D391">
            <v>3450</v>
          </cell>
          <cell r="F391">
            <v>0</v>
          </cell>
          <cell r="G391">
            <v>10.199999999999999</v>
          </cell>
          <cell r="H391">
            <v>35190</v>
          </cell>
          <cell r="K391">
            <v>35190</v>
          </cell>
        </row>
        <row r="392">
          <cell r="B392" t="str">
            <v>kabeli 3*2.5</v>
          </cell>
          <cell r="C392" t="str">
            <v>grZ.m</v>
          </cell>
          <cell r="D392">
            <v>10867.5</v>
          </cell>
          <cell r="E392">
            <v>2.6271186440677967</v>
          </cell>
          <cell r="F392">
            <v>28550.211864406781</v>
          </cell>
          <cell r="K392">
            <v>28550.211864406781</v>
          </cell>
        </row>
        <row r="393">
          <cell r="B393" t="str">
            <v>kabeli 3*1.5</v>
          </cell>
          <cell r="C393" t="str">
            <v>grZ.m</v>
          </cell>
          <cell r="D393">
            <v>2716.875</v>
          </cell>
          <cell r="E393">
            <v>1.6949152542372883</v>
          </cell>
          <cell r="F393">
            <v>4604.8728813559328</v>
          </cell>
          <cell r="K393">
            <v>4604.8728813559328</v>
          </cell>
        </row>
        <row r="394">
          <cell r="B394" t="str">
            <v>kabeli 2*1.5</v>
          </cell>
          <cell r="C394" t="str">
            <v>grZ.m</v>
          </cell>
          <cell r="D394">
            <v>6339.375</v>
          </cell>
          <cell r="E394">
            <v>1.1864406779661016</v>
          </cell>
          <cell r="F394">
            <v>7521.2923728813557</v>
          </cell>
          <cell r="K394">
            <v>7521.2923728813557</v>
          </cell>
        </row>
        <row r="395">
          <cell r="B395" t="str">
            <v>internetis kabeli</v>
          </cell>
          <cell r="C395" t="str">
            <v>grZ.m</v>
          </cell>
          <cell r="D395">
            <v>2242.5</v>
          </cell>
          <cell r="E395">
            <v>1.3135593220338984</v>
          </cell>
          <cell r="F395">
            <v>2945.656779661017</v>
          </cell>
          <cell r="K395">
            <v>2945.656779661017</v>
          </cell>
        </row>
        <row r="396">
          <cell r="B396" t="str">
            <v>damxmare masala</v>
          </cell>
          <cell r="C396" t="str">
            <v>wert.</v>
          </cell>
          <cell r="D396">
            <v>3450</v>
          </cell>
          <cell r="E396">
            <v>0.46610169491525427</v>
          </cell>
          <cell r="F396">
            <v>1608.0508474576272</v>
          </cell>
          <cell r="K396">
            <v>1608.0508474576272</v>
          </cell>
        </row>
        <row r="397">
          <cell r="B397" t="str">
            <v>aivnis sanaTebi</v>
          </cell>
          <cell r="C397" t="str">
            <v>cali</v>
          </cell>
          <cell r="D397">
            <v>48</v>
          </cell>
          <cell r="E397">
            <v>21.186440677966104</v>
          </cell>
          <cell r="F397">
            <v>1016.949152542373</v>
          </cell>
          <cell r="G397">
            <v>10.199999999999999</v>
          </cell>
          <cell r="H397">
            <v>489.59999999999997</v>
          </cell>
          <cell r="I397">
            <v>0</v>
          </cell>
          <cell r="J397">
            <v>0</v>
          </cell>
          <cell r="K397">
            <v>1506.5491525423729</v>
          </cell>
        </row>
        <row r="398">
          <cell r="B398" t="str">
            <v>sanaTi, niS. 0.00</v>
          </cell>
          <cell r="C398" t="str">
            <v>cali</v>
          </cell>
          <cell r="D398">
            <v>16</v>
          </cell>
          <cell r="F398">
            <v>0</v>
          </cell>
          <cell r="G398">
            <v>10.199999999999999</v>
          </cell>
          <cell r="H398">
            <v>163.19999999999999</v>
          </cell>
          <cell r="K398">
            <v>163.19999999999999</v>
          </cell>
        </row>
        <row r="399">
          <cell r="B399" t="str">
            <v>sanaTi</v>
          </cell>
          <cell r="C399" t="str">
            <v>cali</v>
          </cell>
          <cell r="D399">
            <v>16</v>
          </cell>
          <cell r="E399">
            <v>21.186440677966104</v>
          </cell>
          <cell r="F399">
            <v>338.98305084745766</v>
          </cell>
          <cell r="K399">
            <v>338.98305084745766</v>
          </cell>
        </row>
        <row r="400">
          <cell r="B400" t="str">
            <v>sanaTi, niS. 3.20/6.40/9.60</v>
          </cell>
          <cell r="C400" t="str">
            <v>cali</v>
          </cell>
          <cell r="D400">
            <v>32</v>
          </cell>
          <cell r="F400">
            <v>0</v>
          </cell>
          <cell r="G400">
            <v>10.199999999999999</v>
          </cell>
          <cell r="H400">
            <v>326.39999999999998</v>
          </cell>
          <cell r="K400">
            <v>326.39999999999998</v>
          </cell>
        </row>
        <row r="401">
          <cell r="B401" t="str">
            <v>sanaTi</v>
          </cell>
          <cell r="C401" t="str">
            <v>cali</v>
          </cell>
          <cell r="D401">
            <v>32</v>
          </cell>
          <cell r="E401">
            <v>21.186440677966104</v>
          </cell>
          <cell r="F401">
            <v>677.96610169491532</v>
          </cell>
          <cell r="K401">
            <v>677.96610169491532</v>
          </cell>
        </row>
        <row r="402">
          <cell r="B402" t="str">
            <v>sadarbazos sanaTi</v>
          </cell>
          <cell r="C402" t="str">
            <v>cali</v>
          </cell>
          <cell r="D402">
            <v>40</v>
          </cell>
          <cell r="E402">
            <v>13.771186440677969</v>
          </cell>
          <cell r="F402">
            <v>550.84745762711873</v>
          </cell>
          <cell r="G402">
            <v>19.125</v>
          </cell>
          <cell r="H402">
            <v>765</v>
          </cell>
          <cell r="I402">
            <v>0</v>
          </cell>
          <cell r="J402">
            <v>0</v>
          </cell>
          <cell r="K402">
            <v>1315.8474576271187</v>
          </cell>
        </row>
        <row r="403">
          <cell r="B403" t="str">
            <v>sanaTi, niS. -5</v>
          </cell>
          <cell r="C403" t="str">
            <v>cali</v>
          </cell>
          <cell r="D403">
            <v>0</v>
          </cell>
          <cell r="F403">
            <v>0</v>
          </cell>
          <cell r="G403">
            <v>19.125</v>
          </cell>
          <cell r="H403">
            <v>0</v>
          </cell>
          <cell r="K403">
            <v>0</v>
          </cell>
        </row>
        <row r="404">
          <cell r="B404" t="str">
            <v>sanaTi</v>
          </cell>
          <cell r="C404" t="str">
            <v>cali</v>
          </cell>
          <cell r="D404">
            <v>0</v>
          </cell>
          <cell r="E404">
            <v>42.372881355932208</v>
          </cell>
          <cell r="F404">
            <v>0</v>
          </cell>
          <cell r="H404">
            <v>0</v>
          </cell>
          <cell r="K404">
            <v>0</v>
          </cell>
        </row>
        <row r="405">
          <cell r="B405" t="str">
            <v>sanaTi, niS. 0.00</v>
          </cell>
          <cell r="C405" t="str">
            <v>cali</v>
          </cell>
          <cell r="D405">
            <v>10</v>
          </cell>
          <cell r="F405">
            <v>0</v>
          </cell>
          <cell r="G405">
            <v>19.125</v>
          </cell>
          <cell r="H405">
            <v>191.25</v>
          </cell>
          <cell r="K405">
            <v>191.25</v>
          </cell>
        </row>
        <row r="406">
          <cell r="B406" t="str">
            <v>sanaTi</v>
          </cell>
          <cell r="C406" t="str">
            <v>cali</v>
          </cell>
          <cell r="D406">
            <v>10</v>
          </cell>
          <cell r="E406">
            <v>55.084745762711869</v>
          </cell>
          <cell r="F406">
            <v>550.84745762711873</v>
          </cell>
          <cell r="H406">
            <v>0</v>
          </cell>
          <cell r="K406">
            <v>550.84745762711873</v>
          </cell>
        </row>
        <row r="407">
          <cell r="B407" t="str">
            <v>sanaTi, niS. 3.20/6.40</v>
          </cell>
          <cell r="C407" t="str">
            <v>cali</v>
          </cell>
          <cell r="D407">
            <v>30</v>
          </cell>
          <cell r="F407">
            <v>0</v>
          </cell>
          <cell r="G407">
            <v>19.125</v>
          </cell>
          <cell r="H407">
            <v>573.75</v>
          </cell>
          <cell r="K407">
            <v>573.75</v>
          </cell>
        </row>
        <row r="408">
          <cell r="B408" t="str">
            <v>sanaTi</v>
          </cell>
          <cell r="C408" t="str">
            <v>cali</v>
          </cell>
          <cell r="D408">
            <v>30</v>
          </cell>
          <cell r="E408">
            <v>55.084745762711869</v>
          </cell>
          <cell r="F408">
            <v>1652.542372881356</v>
          </cell>
          <cell r="H408">
            <v>0</v>
          </cell>
          <cell r="K408">
            <v>1652.542372881356</v>
          </cell>
        </row>
        <row r="409">
          <cell r="B409" t="str">
            <v>sadarbazos daqselva</v>
          </cell>
          <cell r="C409" t="str">
            <v>cali</v>
          </cell>
          <cell r="D409">
            <v>47</v>
          </cell>
          <cell r="E409">
            <v>336.59172376487555</v>
          </cell>
          <cell r="F409">
            <v>15819.81101694915</v>
          </cell>
          <cell r="G409">
            <v>142.83390957446807</v>
          </cell>
          <cell r="H409">
            <v>6713.1937499999995</v>
          </cell>
          <cell r="I409">
            <v>0</v>
          </cell>
          <cell r="J409">
            <v>0</v>
          </cell>
          <cell r="K409">
            <v>22533.004766949151</v>
          </cell>
        </row>
        <row r="410">
          <cell r="B410" t="str">
            <v>ელ. სადენი TWIN FLAT (6242Y) 2X10+1X6</v>
          </cell>
          <cell r="C410" t="str">
            <v>გრძ.მ</v>
          </cell>
          <cell r="D410">
            <v>1551</v>
          </cell>
          <cell r="E410">
            <v>7.5423728813559325</v>
          </cell>
          <cell r="F410">
            <v>11698.220338983052</v>
          </cell>
          <cell r="G410">
            <v>3.5062499999999996</v>
          </cell>
          <cell r="H410">
            <v>5438.1937499999995</v>
          </cell>
          <cell r="K410">
            <v>17136.414088983052</v>
          </cell>
        </row>
        <row r="411">
          <cell r="B411" t="str">
            <v>რეტრო სადენი</v>
          </cell>
          <cell r="C411" t="str">
            <v>გრძ.მ</v>
          </cell>
          <cell r="D411">
            <v>400</v>
          </cell>
          <cell r="E411">
            <v>5.9322033898305087</v>
          </cell>
          <cell r="F411">
            <v>2372.8813559322034</v>
          </cell>
          <cell r="G411">
            <v>2.5499999999999998</v>
          </cell>
          <cell r="H411">
            <v>1019.9999999999999</v>
          </cell>
          <cell r="K411">
            <v>3392.8813559322034</v>
          </cell>
        </row>
        <row r="412">
          <cell r="B412" t="str">
            <v>ელ. სადენი H05VVH2-U 3X1.5 - ELVARE</v>
          </cell>
          <cell r="C412" t="str">
            <v>გრძ.მ</v>
          </cell>
          <cell r="D412">
            <v>100</v>
          </cell>
          <cell r="E412">
            <v>1.6949152542372883</v>
          </cell>
          <cell r="F412">
            <v>169.49152542372883</v>
          </cell>
          <cell r="G412">
            <v>1.2749999999999999</v>
          </cell>
          <cell r="H412">
            <v>127.49999999999999</v>
          </cell>
          <cell r="K412">
            <v>296.99152542372883</v>
          </cell>
        </row>
        <row r="413">
          <cell r="B413" t="str">
            <v>საკაბელო არხი  20x10</v>
          </cell>
          <cell r="C413" t="str">
            <v>გრძ.მ</v>
          </cell>
          <cell r="D413">
            <v>100</v>
          </cell>
          <cell r="E413">
            <v>5.9322033898305087</v>
          </cell>
          <cell r="F413">
            <v>593.22033898305085</v>
          </cell>
          <cell r="G413">
            <v>1.2749999999999999</v>
          </cell>
          <cell r="H413">
            <v>127.49999999999999</v>
          </cell>
          <cell r="K413">
            <v>720.72033898305085</v>
          </cell>
        </row>
        <row r="414">
          <cell r="B414" t="str">
            <v>დამხმარე მასალა</v>
          </cell>
          <cell r="C414" t="str">
            <v>სახლი</v>
          </cell>
          <cell r="D414">
            <v>1</v>
          </cell>
          <cell r="E414">
            <v>985.99745762711871</v>
          </cell>
          <cell r="F414">
            <v>985.99745762711871</v>
          </cell>
          <cell r="G414">
            <v>0</v>
          </cell>
          <cell r="H414">
            <v>0</v>
          </cell>
          <cell r="K414">
            <v>985.99745762711871</v>
          </cell>
        </row>
        <row r="415">
          <cell r="B415" t="str">
            <v>wylis centraluri dgari</v>
          </cell>
          <cell r="C415" t="str">
            <v>grZ.m</v>
          </cell>
          <cell r="D415">
            <v>36</v>
          </cell>
          <cell r="E415">
            <v>7.3728813559322042</v>
          </cell>
          <cell r="F415">
            <v>265.42372881355936</v>
          </cell>
          <cell r="G415">
            <v>44.625</v>
          </cell>
          <cell r="H415">
            <v>1606.5</v>
          </cell>
          <cell r="I415">
            <v>0</v>
          </cell>
          <cell r="J415">
            <v>0</v>
          </cell>
          <cell r="K415">
            <v>1871.9237288135594</v>
          </cell>
        </row>
        <row r="416">
          <cell r="B416" t="str">
            <v>wylis dgari, niS. -5</v>
          </cell>
          <cell r="C416" t="str">
            <v>grZ.m</v>
          </cell>
          <cell r="D416">
            <v>0</v>
          </cell>
          <cell r="F416">
            <v>0</v>
          </cell>
          <cell r="G416">
            <v>44.625</v>
          </cell>
          <cell r="H416">
            <v>0</v>
          </cell>
          <cell r="K416">
            <v>0</v>
          </cell>
        </row>
        <row r="417">
          <cell r="B417" t="str">
            <v>wylis mili</v>
          </cell>
          <cell r="C417" t="str">
            <v>grZ.m</v>
          </cell>
          <cell r="D417">
            <v>0</v>
          </cell>
          <cell r="E417">
            <v>4.0677966101694913</v>
          </cell>
          <cell r="F417">
            <v>0</v>
          </cell>
          <cell r="K417">
            <v>0</v>
          </cell>
        </row>
        <row r="418">
          <cell r="B418" t="str">
            <v>damxmare masala</v>
          </cell>
          <cell r="C418" t="str">
            <v>grZ.m</v>
          </cell>
          <cell r="D418">
            <v>0</v>
          </cell>
          <cell r="E418">
            <v>3.3050847457627119</v>
          </cell>
          <cell r="F418">
            <v>0</v>
          </cell>
          <cell r="K418">
            <v>0</v>
          </cell>
        </row>
        <row r="419">
          <cell r="B419" t="str">
            <v>wylis dgari, niS. 0.00</v>
          </cell>
          <cell r="C419" t="str">
            <v>grZ.m</v>
          </cell>
          <cell r="D419">
            <v>9</v>
          </cell>
          <cell r="F419">
            <v>0</v>
          </cell>
          <cell r="G419">
            <v>44.625</v>
          </cell>
          <cell r="H419">
            <v>401.625</v>
          </cell>
          <cell r="K419">
            <v>401.625</v>
          </cell>
        </row>
        <row r="420">
          <cell r="B420" t="str">
            <v>wylis mili</v>
          </cell>
          <cell r="C420" t="str">
            <v>grZ.m</v>
          </cell>
          <cell r="D420">
            <v>9</v>
          </cell>
          <cell r="E420">
            <v>4.0677966101694913</v>
          </cell>
          <cell r="F420">
            <v>36.610169491525426</v>
          </cell>
          <cell r="K420">
            <v>36.610169491525426</v>
          </cell>
        </row>
        <row r="421">
          <cell r="B421" t="str">
            <v>damxmare masala</v>
          </cell>
          <cell r="C421" t="str">
            <v>grZ.m</v>
          </cell>
          <cell r="D421">
            <v>9</v>
          </cell>
          <cell r="E421">
            <v>3.3050847457627119</v>
          </cell>
          <cell r="F421">
            <v>29.745762711864408</v>
          </cell>
          <cell r="K421">
            <v>29.745762711864408</v>
          </cell>
        </row>
        <row r="422">
          <cell r="B422" t="str">
            <v>wylis dgari, niS. 3.20</v>
          </cell>
          <cell r="C422" t="str">
            <v>grZ.m</v>
          </cell>
          <cell r="D422">
            <v>9</v>
          </cell>
          <cell r="F422">
            <v>0</v>
          </cell>
          <cell r="G422">
            <v>44.625</v>
          </cell>
          <cell r="H422">
            <v>401.625</v>
          </cell>
          <cell r="K422">
            <v>401.625</v>
          </cell>
        </row>
        <row r="423">
          <cell r="B423" t="str">
            <v>wylis mili</v>
          </cell>
          <cell r="C423" t="str">
            <v>grZ.m</v>
          </cell>
          <cell r="D423">
            <v>9</v>
          </cell>
          <cell r="E423">
            <v>4.0677966101694913</v>
          </cell>
          <cell r="F423">
            <v>36.610169491525426</v>
          </cell>
          <cell r="K423">
            <v>36.610169491525426</v>
          </cell>
        </row>
        <row r="424">
          <cell r="B424" t="str">
            <v>damxmare masala</v>
          </cell>
          <cell r="C424" t="str">
            <v>grZ.m</v>
          </cell>
          <cell r="D424">
            <v>9</v>
          </cell>
          <cell r="E424">
            <v>3.3050847457627119</v>
          </cell>
          <cell r="F424">
            <v>29.745762711864408</v>
          </cell>
          <cell r="K424">
            <v>29.745762711864408</v>
          </cell>
        </row>
        <row r="425">
          <cell r="B425" t="str">
            <v>wylis dgari, niS. 6.40</v>
          </cell>
          <cell r="C425" t="str">
            <v>grZ.m</v>
          </cell>
          <cell r="D425">
            <v>18</v>
          </cell>
          <cell r="F425">
            <v>0</v>
          </cell>
          <cell r="G425">
            <v>44.625</v>
          </cell>
          <cell r="H425">
            <v>803.25</v>
          </cell>
          <cell r="K425">
            <v>803.25</v>
          </cell>
        </row>
        <row r="426">
          <cell r="B426" t="str">
            <v>wylis mili</v>
          </cell>
          <cell r="C426" t="str">
            <v>grZ.m</v>
          </cell>
          <cell r="D426">
            <v>18</v>
          </cell>
          <cell r="E426">
            <v>4.0677966101694913</v>
          </cell>
          <cell r="F426">
            <v>73.220338983050851</v>
          </cell>
          <cell r="K426">
            <v>73.220338983050851</v>
          </cell>
        </row>
        <row r="427">
          <cell r="B427" t="str">
            <v>damxmare masala</v>
          </cell>
          <cell r="C427" t="str">
            <v>grZ.m</v>
          </cell>
          <cell r="D427">
            <v>18</v>
          </cell>
          <cell r="E427">
            <v>3.3050847457627119</v>
          </cell>
          <cell r="F427">
            <v>59.491525423728817</v>
          </cell>
          <cell r="K427">
            <v>59.491525423728817</v>
          </cell>
        </row>
        <row r="428">
          <cell r="B428" t="str">
            <v>wylis mricxveli</v>
          </cell>
          <cell r="C428" t="str">
            <v>bina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B429" t="str">
            <v>mricxveli, niS. 0.00</v>
          </cell>
          <cell r="C429" t="str">
            <v>bina</v>
          </cell>
          <cell r="D429">
            <v>0</v>
          </cell>
          <cell r="F429">
            <v>0</v>
          </cell>
          <cell r="G429">
            <v>31.874999999999996</v>
          </cell>
          <cell r="H429">
            <v>0</v>
          </cell>
          <cell r="K429">
            <v>0</v>
          </cell>
        </row>
        <row r="430">
          <cell r="B430" t="str">
            <v>mricxveli</v>
          </cell>
          <cell r="C430" t="str">
            <v>c</v>
          </cell>
          <cell r="D430">
            <v>0</v>
          </cell>
          <cell r="E430">
            <v>29.661016949152543</v>
          </cell>
          <cell r="F430">
            <v>0</v>
          </cell>
          <cell r="K430">
            <v>0</v>
          </cell>
        </row>
        <row r="431">
          <cell r="B431" t="str">
            <v>damxmare masala</v>
          </cell>
          <cell r="C431" t="str">
            <v>c</v>
          </cell>
          <cell r="D431">
            <v>0</v>
          </cell>
          <cell r="E431">
            <v>2.5423728813559325</v>
          </cell>
          <cell r="F431">
            <v>0</v>
          </cell>
          <cell r="K431">
            <v>0</v>
          </cell>
        </row>
        <row r="432">
          <cell r="B432" t="str">
            <v>mricxveli, niS. 3.20/6.40</v>
          </cell>
          <cell r="C432" t="str">
            <v>bina</v>
          </cell>
          <cell r="D432">
            <v>0</v>
          </cell>
          <cell r="F432">
            <v>0</v>
          </cell>
          <cell r="G432">
            <v>31.874999999999996</v>
          </cell>
          <cell r="H432">
            <v>0</v>
          </cell>
          <cell r="K432">
            <v>0</v>
          </cell>
        </row>
        <row r="433">
          <cell r="B433" t="str">
            <v>mricxveli</v>
          </cell>
          <cell r="C433" t="str">
            <v>c</v>
          </cell>
          <cell r="D433">
            <v>0</v>
          </cell>
          <cell r="E433">
            <v>29.661016949152543</v>
          </cell>
          <cell r="F433">
            <v>0</v>
          </cell>
          <cell r="K433">
            <v>0</v>
          </cell>
        </row>
        <row r="434">
          <cell r="B434" t="str">
            <v>damxmare masala</v>
          </cell>
          <cell r="C434" t="str">
            <v>c</v>
          </cell>
          <cell r="D434">
            <v>0</v>
          </cell>
          <cell r="E434">
            <v>2.5423728813559325</v>
          </cell>
          <cell r="F434">
            <v>0</v>
          </cell>
          <cell r="K434">
            <v>0</v>
          </cell>
        </row>
        <row r="435">
          <cell r="B435" t="str">
            <v>wylis daqselva binebSi</v>
          </cell>
          <cell r="C435" t="str">
            <v>bina</v>
          </cell>
          <cell r="D435">
            <v>47</v>
          </cell>
          <cell r="E435">
            <v>80.165885322755145</v>
          </cell>
          <cell r="F435">
            <v>3767.7966101694919</v>
          </cell>
          <cell r="G435">
            <v>57.374999999999993</v>
          </cell>
          <cell r="H435">
            <v>2696.6249999999995</v>
          </cell>
          <cell r="I435">
            <v>0</v>
          </cell>
          <cell r="J435">
            <v>0</v>
          </cell>
          <cell r="K435">
            <v>6464.421610169491</v>
          </cell>
        </row>
        <row r="436">
          <cell r="B436" t="str">
            <v>daqselva, niS. 0.00</v>
          </cell>
          <cell r="C436" t="str">
            <v>bina</v>
          </cell>
          <cell r="D436">
            <v>9</v>
          </cell>
          <cell r="F436">
            <v>0</v>
          </cell>
          <cell r="G436">
            <v>57.374999999999993</v>
          </cell>
          <cell r="H436">
            <v>516.37499999999989</v>
          </cell>
          <cell r="K436">
            <v>516.37499999999989</v>
          </cell>
        </row>
        <row r="437">
          <cell r="B437" t="str">
            <v>wylis mili</v>
          </cell>
          <cell r="C437" t="str">
            <v>grZ.m</v>
          </cell>
          <cell r="D437">
            <v>270</v>
          </cell>
          <cell r="E437">
            <v>2.3728813559322033</v>
          </cell>
          <cell r="F437">
            <v>640.67796610169489</v>
          </cell>
          <cell r="K437">
            <v>640.67796610169489</v>
          </cell>
        </row>
        <row r="438">
          <cell r="B438" t="str">
            <v>damxmare masala</v>
          </cell>
          <cell r="C438" t="str">
            <v>grZ.m</v>
          </cell>
          <cell r="D438">
            <v>270</v>
          </cell>
          <cell r="E438">
            <v>0.84745762711864414</v>
          </cell>
          <cell r="F438">
            <v>228.81355932203391</v>
          </cell>
          <cell r="K438">
            <v>228.81355932203391</v>
          </cell>
        </row>
        <row r="439">
          <cell r="B439" t="str">
            <v>daqselva, niS. 3.20/6.40/9.60</v>
          </cell>
          <cell r="C439" t="str">
            <v>bina</v>
          </cell>
          <cell r="D439">
            <v>30</v>
          </cell>
          <cell r="F439">
            <v>0</v>
          </cell>
          <cell r="G439">
            <v>57.374999999999993</v>
          </cell>
          <cell r="H439">
            <v>1721.2499999999998</v>
          </cell>
          <cell r="K439">
            <v>1721.2499999999998</v>
          </cell>
        </row>
        <row r="440">
          <cell r="B440" t="str">
            <v>wylis mili</v>
          </cell>
          <cell r="C440" t="str">
            <v>grZ.m</v>
          </cell>
          <cell r="D440">
            <v>900</v>
          </cell>
          <cell r="E440">
            <v>2.3728813559322033</v>
          </cell>
          <cell r="F440">
            <v>2135.593220338983</v>
          </cell>
          <cell r="K440">
            <v>2135.593220338983</v>
          </cell>
        </row>
        <row r="441">
          <cell r="B441" t="str">
            <v>damxmare masala</v>
          </cell>
          <cell r="C441" t="str">
            <v>grZ.m</v>
          </cell>
          <cell r="D441">
            <v>900</v>
          </cell>
          <cell r="E441">
            <v>0.84745762711864414</v>
          </cell>
          <cell r="F441">
            <v>762.71186440677968</v>
          </cell>
          <cell r="K441">
            <v>762.71186440677968</v>
          </cell>
        </row>
        <row r="442">
          <cell r="B442" t="str">
            <v>liftebi</v>
          </cell>
          <cell r="C442" t="str">
            <v>cali</v>
          </cell>
          <cell r="D442">
            <v>2</v>
          </cell>
          <cell r="E442">
            <v>68150.847457627126</v>
          </cell>
          <cell r="F442">
            <v>136301.69491525425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136301.69491525425</v>
          </cell>
        </row>
        <row r="443">
          <cell r="B443" t="str">
            <v>lifi</v>
          </cell>
          <cell r="C443" t="str">
            <v>cali</v>
          </cell>
          <cell r="D443">
            <v>2</v>
          </cell>
          <cell r="F443">
            <v>0</v>
          </cell>
          <cell r="H443">
            <v>0</v>
          </cell>
          <cell r="K443">
            <v>0</v>
          </cell>
        </row>
        <row r="444">
          <cell r="B444" t="str">
            <v>lifti</v>
          </cell>
          <cell r="C444" t="str">
            <v>cali</v>
          </cell>
          <cell r="D444">
            <v>2</v>
          </cell>
          <cell r="E444">
            <v>68150.847457627126</v>
          </cell>
          <cell r="F444">
            <v>136301.69491525425</v>
          </cell>
          <cell r="H444">
            <v>0</v>
          </cell>
          <cell r="K444">
            <v>136301.69491525425</v>
          </cell>
        </row>
        <row r="445">
          <cell r="B445" t="str">
            <v>tentebi</v>
          </cell>
          <cell r="C445" t="str">
            <v>m2</v>
          </cell>
          <cell r="D445">
            <v>0</v>
          </cell>
          <cell r="E445">
            <v>0</v>
          </cell>
          <cell r="F445">
            <v>0</v>
          </cell>
          <cell r="H445">
            <v>0</v>
          </cell>
          <cell r="I445">
            <v>281.46300000000002</v>
          </cell>
          <cell r="J445">
            <v>0</v>
          </cell>
          <cell r="K445">
            <v>0</v>
          </cell>
        </row>
        <row r="446">
          <cell r="B446" t="str">
            <v>asaZromi kibe</v>
          </cell>
          <cell r="C446" t="str">
            <v>c</v>
          </cell>
          <cell r="D446">
            <v>2</v>
          </cell>
          <cell r="E446">
            <v>0</v>
          </cell>
          <cell r="F446">
            <v>0</v>
          </cell>
          <cell r="G446">
            <v>63.749999999999993</v>
          </cell>
          <cell r="H446">
            <v>0</v>
          </cell>
          <cell r="I446">
            <v>169.49152542372883</v>
          </cell>
          <cell r="J446">
            <v>338.98305084745766</v>
          </cell>
          <cell r="K446">
            <v>338.98305084745766</v>
          </cell>
        </row>
        <row r="447">
          <cell r="B447" t="str">
            <v>samisamarTo saxanZro signalizaciis mowyoba</v>
          </cell>
          <cell r="C447" t="str">
            <v>sarTuli</v>
          </cell>
          <cell r="D447">
            <v>8</v>
          </cell>
          <cell r="F447">
            <v>0</v>
          </cell>
          <cell r="H447">
            <v>0</v>
          </cell>
          <cell r="I447">
            <v>3622.8574576271189</v>
          </cell>
          <cell r="J447">
            <v>28982.859661016952</v>
          </cell>
          <cell r="K447">
            <v>28982.859661016952</v>
          </cell>
        </row>
        <row r="448">
          <cell r="B448" t="str">
            <v>saxanZro mildgarebis sistemis mowyoba</v>
          </cell>
          <cell r="C448" t="str">
            <v>sarTuli</v>
          </cell>
          <cell r="D448">
            <v>8</v>
          </cell>
          <cell r="F448">
            <v>0</v>
          </cell>
          <cell r="H448">
            <v>0</v>
          </cell>
          <cell r="I448">
            <v>3784.1477966101693</v>
          </cell>
          <cell r="J448">
            <v>30273.182372881354</v>
          </cell>
          <cell r="K448">
            <v>30273.182372881354</v>
          </cell>
        </row>
        <row r="449">
          <cell r="B449" t="str">
            <v>saxanZro saventilacio danadgarebis mowyoba</v>
          </cell>
          <cell r="C449" t="str">
            <v>sadarbazo</v>
          </cell>
          <cell r="D449">
            <v>2</v>
          </cell>
          <cell r="F449">
            <v>0</v>
          </cell>
          <cell r="H449">
            <v>0</v>
          </cell>
          <cell r="I449">
            <v>5966.1107627118654</v>
          </cell>
          <cell r="J449">
            <v>11932.221525423731</v>
          </cell>
          <cell r="K449">
            <v>11932.221525423731</v>
          </cell>
        </row>
        <row r="450">
          <cell r="B450" t="str">
            <v>domofonis mowyoba</v>
          </cell>
          <cell r="C450" t="str">
            <v>bina</v>
          </cell>
          <cell r="D450">
            <v>39</v>
          </cell>
          <cell r="E450">
            <v>0</v>
          </cell>
          <cell r="F450">
            <v>0</v>
          </cell>
          <cell r="H450">
            <v>0</v>
          </cell>
          <cell r="I450">
            <v>354.95233050847457</v>
          </cell>
          <cell r="J450">
            <v>13843.140889830509</v>
          </cell>
          <cell r="K450">
            <v>13843.140889830509</v>
          </cell>
        </row>
        <row r="451">
          <cell r="B451" t="str">
            <v>internetis kabelis daqselva</v>
          </cell>
          <cell r="C451" t="str">
            <v>bina</v>
          </cell>
          <cell r="D451">
            <v>39</v>
          </cell>
          <cell r="E451">
            <v>0</v>
          </cell>
          <cell r="F451">
            <v>0</v>
          </cell>
          <cell r="H451">
            <v>0</v>
          </cell>
          <cell r="I451">
            <v>107.1</v>
          </cell>
          <cell r="J451">
            <v>4176.8999999999996</v>
          </cell>
          <cell r="K451">
            <v>4176.8999999999996</v>
          </cell>
        </row>
        <row r="452">
          <cell r="B452" t="str">
            <v>monoliTis kedlebis damuSaveba</v>
          </cell>
          <cell r="C452" t="str">
            <v>m2</v>
          </cell>
          <cell r="D452">
            <v>450</v>
          </cell>
          <cell r="E452">
            <v>0.42372881355932207</v>
          </cell>
          <cell r="F452">
            <v>190.67796610169492</v>
          </cell>
          <cell r="G452">
            <v>2.5499999999999998</v>
          </cell>
          <cell r="H452">
            <v>1147.5</v>
          </cell>
          <cell r="I452">
            <v>0</v>
          </cell>
          <cell r="J452">
            <v>0</v>
          </cell>
          <cell r="K452">
            <v>1338.1779661016949</v>
          </cell>
        </row>
        <row r="453">
          <cell r="B453" t="str">
            <v>kibis mopirkeTeba</v>
          </cell>
          <cell r="C453" t="str">
            <v>c</v>
          </cell>
          <cell r="D453">
            <v>108</v>
          </cell>
          <cell r="E453">
            <v>76.271186440677965</v>
          </cell>
          <cell r="F453">
            <v>8237.2881355932204</v>
          </cell>
          <cell r="G453">
            <v>51</v>
          </cell>
          <cell r="H453">
            <v>5508</v>
          </cell>
          <cell r="I453">
            <v>0</v>
          </cell>
          <cell r="J453">
            <v>0</v>
          </cell>
          <cell r="K453">
            <v>13745.28813559322</v>
          </cell>
        </row>
        <row r="454">
          <cell r="B454" t="str">
            <v>dRiuri muSebi</v>
          </cell>
          <cell r="C454" t="str">
            <v>kac/dRe</v>
          </cell>
          <cell r="D454">
            <v>130</v>
          </cell>
          <cell r="F454">
            <v>0</v>
          </cell>
          <cell r="G454">
            <v>816</v>
          </cell>
          <cell r="H454">
            <v>106080</v>
          </cell>
          <cell r="I454">
            <v>0</v>
          </cell>
          <cell r="J454">
            <v>0</v>
          </cell>
          <cell r="K454">
            <v>106080</v>
          </cell>
        </row>
        <row r="455">
          <cell r="B455" t="str">
            <v>usafrTxoebis xarji</v>
          </cell>
          <cell r="C455" t="str">
            <v>Tve</v>
          </cell>
          <cell r="D455">
            <v>3</v>
          </cell>
          <cell r="E455">
            <v>4298.2946919019705</v>
          </cell>
          <cell r="F455">
            <v>12894.884075705912</v>
          </cell>
          <cell r="G455">
            <v>0</v>
          </cell>
          <cell r="H455">
            <v>0</v>
          </cell>
          <cell r="I455">
            <v>6949.1525423728817</v>
          </cell>
          <cell r="J455">
            <v>20847.457627118645</v>
          </cell>
          <cell r="K455">
            <v>33742.34170282456</v>
          </cell>
        </row>
        <row r="456">
          <cell r="B456" t="str">
            <v>jami</v>
          </cell>
          <cell r="F456">
            <v>741560.4488481197</v>
          </cell>
          <cell r="H456">
            <v>689239.76822812506</v>
          </cell>
          <cell r="J456">
            <v>521057.01281525433</v>
          </cell>
          <cell r="K456">
            <v>1951857.2298914983</v>
          </cell>
        </row>
        <row r="457">
          <cell r="B457" t="str">
            <v>zednadebi xarji</v>
          </cell>
          <cell r="C457">
            <v>7.3999999999999996E-2</v>
          </cell>
          <cell r="K457">
            <v>144437.43501197087</v>
          </cell>
        </row>
        <row r="458">
          <cell r="B458" t="str">
            <v>jami</v>
          </cell>
          <cell r="K458">
            <v>2096294.6649034692</v>
          </cell>
        </row>
        <row r="459">
          <cell r="B459" t="str">
            <v>teqnika</v>
          </cell>
          <cell r="C459">
            <v>3.5000000000000003E-2</v>
          </cell>
          <cell r="K459">
            <v>73370.313271621431</v>
          </cell>
        </row>
        <row r="460">
          <cell r="B460" t="str">
            <v>jami</v>
          </cell>
          <cell r="K460">
            <v>2169664.9781750906</v>
          </cell>
        </row>
        <row r="461">
          <cell r="B461" t="str">
            <v>mogeba</v>
          </cell>
          <cell r="C461">
            <v>0.16500000000000001</v>
          </cell>
          <cell r="K461">
            <v>357994.72139888996</v>
          </cell>
        </row>
        <row r="462">
          <cell r="B462" t="str">
            <v>jami</v>
          </cell>
          <cell r="K462">
            <v>2527659.6995739806</v>
          </cell>
        </row>
        <row r="463">
          <cell r="B463" t="str">
            <v>dRg</v>
          </cell>
          <cell r="C463">
            <v>0.18</v>
          </cell>
          <cell r="K463">
            <v>454978.74592331651</v>
          </cell>
        </row>
        <row r="464">
          <cell r="B464" t="str">
            <v>mTliani</v>
          </cell>
          <cell r="K464">
            <v>2982638.4454972972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Normal="100" workbookViewId="0">
      <selection activeCell="A37" sqref="A37"/>
    </sheetView>
  </sheetViews>
  <sheetFormatPr defaultColWidth="9.08984375" defaultRowHeight="14.5" x14ac:dyDescent="0.35"/>
  <cols>
    <col min="1" max="1" width="17.54296875" style="9" bestFit="1" customWidth="1"/>
    <col min="2" max="2" width="16.6328125" style="9" customWidth="1"/>
    <col min="3" max="3" width="22.08984375" style="9" customWidth="1"/>
    <col min="4" max="4" width="24.453125" style="9" bestFit="1" customWidth="1"/>
    <col min="5" max="5" width="19.36328125" style="9" bestFit="1" customWidth="1"/>
    <col min="6" max="6" width="3" style="9" customWidth="1"/>
    <col min="7" max="7" width="12.36328125" style="9" bestFit="1" customWidth="1"/>
    <col min="8" max="9" width="9.08984375" style="9" customWidth="1"/>
    <col min="10" max="16384" width="9.08984375" style="9"/>
  </cols>
  <sheetData>
    <row r="1" spans="1:8" x14ac:dyDescent="0.35">
      <c r="A1" s="59" t="s">
        <v>307</v>
      </c>
      <c r="B1" s="59"/>
      <c r="C1" s="59"/>
      <c r="D1" s="59"/>
      <c r="E1" s="59"/>
    </row>
    <row r="2" spans="1:8" x14ac:dyDescent="0.35">
      <c r="A2" s="41"/>
      <c r="B2" s="41"/>
      <c r="C2" s="41"/>
      <c r="D2" s="41"/>
      <c r="E2" s="41"/>
    </row>
    <row r="3" spans="1:8" x14ac:dyDescent="0.35">
      <c r="A3" s="37"/>
      <c r="B3" s="38" t="s">
        <v>36</v>
      </c>
      <c r="C3" s="39">
        <v>45204</v>
      </c>
      <c r="D3" s="37" t="s">
        <v>28</v>
      </c>
      <c r="E3" s="40">
        <v>2.6806000000000001</v>
      </c>
    </row>
    <row r="4" spans="1:8" x14ac:dyDescent="0.35">
      <c r="A4" s="37"/>
      <c r="B4" s="38"/>
      <c r="C4" s="39"/>
      <c r="D4" s="37"/>
      <c r="E4" s="40"/>
    </row>
    <row r="5" spans="1:8" ht="16" x14ac:dyDescent="0.35">
      <c r="A5" s="10" t="s">
        <v>0</v>
      </c>
      <c r="B5" s="10" t="s">
        <v>19</v>
      </c>
      <c r="C5" s="10" t="s">
        <v>20</v>
      </c>
      <c r="D5" s="10" t="s">
        <v>21</v>
      </c>
      <c r="E5" s="10" t="s">
        <v>22</v>
      </c>
    </row>
    <row r="6" spans="1:8" x14ac:dyDescent="0.35">
      <c r="A6" s="11">
        <v>1</v>
      </c>
      <c r="B6" s="11">
        <v>2</v>
      </c>
      <c r="C6" s="11">
        <v>3</v>
      </c>
      <c r="D6" s="11">
        <v>4</v>
      </c>
      <c r="E6" s="11">
        <v>5</v>
      </c>
    </row>
    <row r="7" spans="1:8" x14ac:dyDescent="0.35">
      <c r="A7" s="12">
        <v>1</v>
      </c>
      <c r="B7" s="34" t="s">
        <v>32</v>
      </c>
      <c r="C7" s="14">
        <f>42*18</f>
        <v>756</v>
      </c>
      <c r="D7" s="14"/>
      <c r="E7" s="35">
        <f t="shared" ref="E7:E13" si="0">D7/C7</f>
        <v>0</v>
      </c>
    </row>
    <row r="8" spans="1:8" x14ac:dyDescent="0.35">
      <c r="A8" s="12">
        <v>2</v>
      </c>
      <c r="B8" s="12">
        <v>1</v>
      </c>
      <c r="C8" s="14">
        <f>42*18</f>
        <v>756</v>
      </c>
      <c r="D8" s="14">
        <v>556.79999999999995</v>
      </c>
      <c r="E8" s="35">
        <f t="shared" si="0"/>
        <v>0.73650793650793644</v>
      </c>
    </row>
    <row r="9" spans="1:8" x14ac:dyDescent="0.35">
      <c r="A9" s="12">
        <v>3</v>
      </c>
      <c r="B9" s="12">
        <v>2</v>
      </c>
      <c r="C9" s="14">
        <f>41.8*17.7+1.6*4.4*2+6.5*1.2*2</f>
        <v>769.54</v>
      </c>
      <c r="D9" s="14">
        <v>638.4</v>
      </c>
      <c r="E9" s="35">
        <f t="shared" si="0"/>
        <v>0.82958650622449781</v>
      </c>
    </row>
    <row r="10" spans="1:8" x14ac:dyDescent="0.35">
      <c r="A10" s="12">
        <v>4</v>
      </c>
      <c r="B10" s="12">
        <v>3</v>
      </c>
      <c r="C10" s="14">
        <f>41.8*17.7+1.6*4.4*6+6.5*1.2*2</f>
        <v>797.69999999999993</v>
      </c>
      <c r="D10" s="14">
        <v>638.4</v>
      </c>
      <c r="E10" s="35">
        <f t="shared" si="0"/>
        <v>0.80030086498683717</v>
      </c>
    </row>
    <row r="11" spans="1:8" x14ac:dyDescent="0.35">
      <c r="A11" s="12">
        <v>5</v>
      </c>
      <c r="B11" s="12">
        <v>4</v>
      </c>
      <c r="C11" s="14">
        <f>41.8*17.7+1.6*4.4*6+6.5*1.2*2</f>
        <v>797.69999999999993</v>
      </c>
      <c r="D11" s="14">
        <v>638.4</v>
      </c>
      <c r="E11" s="35">
        <f t="shared" si="0"/>
        <v>0.80030086498683717</v>
      </c>
    </row>
    <row r="12" spans="1:8" x14ac:dyDescent="0.35">
      <c r="A12" s="12">
        <v>6</v>
      </c>
      <c r="B12" s="36" t="s">
        <v>23</v>
      </c>
      <c r="C12" s="14"/>
      <c r="E12" s="35"/>
    </row>
    <row r="13" spans="1:8" x14ac:dyDescent="0.35">
      <c r="A13" s="12"/>
      <c r="B13" s="15" t="s">
        <v>8</v>
      </c>
      <c r="C13" s="16">
        <f>SUM(C7:C12)</f>
        <v>3876.9399999999996</v>
      </c>
      <c r="D13" s="16">
        <f>SUM(D7:D12)</f>
        <v>2472</v>
      </c>
      <c r="E13" s="13">
        <f t="shared" si="0"/>
        <v>0.6376162643734492</v>
      </c>
      <c r="G13" s="19"/>
    </row>
    <row r="14" spans="1:8" x14ac:dyDescent="0.35">
      <c r="D14" s="17"/>
      <c r="G14" s="19"/>
      <c r="H14" s="19"/>
    </row>
    <row r="17" spans="1:5" x14ac:dyDescent="0.35">
      <c r="D17" s="32" t="s">
        <v>24</v>
      </c>
      <c r="E17" s="32" t="s">
        <v>31</v>
      </c>
    </row>
    <row r="18" spans="1:5" x14ac:dyDescent="0.35">
      <c r="D18" s="32"/>
      <c r="E18" s="32"/>
    </row>
    <row r="19" spans="1:5" x14ac:dyDescent="0.35">
      <c r="A19" s="47" t="s">
        <v>260</v>
      </c>
      <c r="B19" s="18">
        <f>ბიუჯეტი!K25</f>
        <v>134603.96458742558</v>
      </c>
      <c r="C19" s="18"/>
      <c r="D19" s="18">
        <f>B19/C13</f>
        <v>34.719125028353702</v>
      </c>
      <c r="E19" s="18">
        <f>D19/E3</f>
        <v>12.951997697662351</v>
      </c>
    </row>
    <row r="20" spans="1:5" x14ac:dyDescent="0.35">
      <c r="A20" s="47" t="s">
        <v>261</v>
      </c>
      <c r="B20" s="18">
        <f>ბიუჯეტი!K57</f>
        <v>1542642.6594200179</v>
      </c>
      <c r="C20" s="18"/>
      <c r="D20" s="18">
        <f>B20/C13</f>
        <v>397.90212369033776</v>
      </c>
      <c r="E20" s="18">
        <f>D20/E3</f>
        <v>148.43770935250978</v>
      </c>
    </row>
    <row r="21" spans="1:5" x14ac:dyDescent="0.35">
      <c r="A21" s="47" t="s">
        <v>262</v>
      </c>
      <c r="B21" s="18">
        <f>ბიუჯეტი!K481</f>
        <v>2657779.8418681072</v>
      </c>
      <c r="C21" s="18"/>
      <c r="D21" s="18">
        <f>B21/C13</f>
        <v>685.5354588588184</v>
      </c>
      <c r="E21" s="18">
        <f>D21/E3</f>
        <v>255.7395578821228</v>
      </c>
    </row>
    <row r="22" spans="1:5" x14ac:dyDescent="0.35">
      <c r="B22" s="19">
        <f>SUM(B20:B21)</f>
        <v>4200422.5012881253</v>
      </c>
      <c r="D22" s="16">
        <f>SUM(D19:D21)</f>
        <v>1118.1567075775099</v>
      </c>
      <c r="E22" s="16">
        <f>SUM(E19:E21)</f>
        <v>417.12926493229497</v>
      </c>
    </row>
    <row r="23" spans="1:5" x14ac:dyDescent="0.35">
      <c r="B23" s="19">
        <f>B22-[1]ფართები!$B$22</f>
        <v>-218113.278026063</v>
      </c>
    </row>
  </sheetData>
  <mergeCells count="1">
    <mergeCell ref="A1:E1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1"/>
  <sheetViews>
    <sheetView tabSelected="1" zoomScale="70" zoomScaleNormal="70" workbookViewId="0">
      <selection activeCell="E50" sqref="E50"/>
    </sheetView>
  </sheetViews>
  <sheetFormatPr defaultRowHeight="14.5" outlineLevelRow="1" x14ac:dyDescent="0.35"/>
  <cols>
    <col min="1" max="1" width="4.453125" bestFit="1" customWidth="1"/>
    <col min="2" max="2" width="32.36328125" customWidth="1"/>
    <col min="3" max="3" width="9.6328125" customWidth="1"/>
    <col min="4" max="4" width="12.90625" customWidth="1"/>
    <col min="5" max="5" width="14.08984375" customWidth="1"/>
    <col min="6" max="6" width="10.90625" customWidth="1"/>
    <col min="7" max="7" width="9.453125" customWidth="1"/>
    <col min="8" max="8" width="17.453125" bestFit="1" customWidth="1"/>
    <col min="9" max="10" width="10" customWidth="1"/>
    <col min="11" max="11" width="14.453125" bestFit="1" customWidth="1"/>
    <col min="13" max="13" width="11.453125" customWidth="1"/>
    <col min="21" max="21" width="9.6328125" bestFit="1" customWidth="1"/>
  </cols>
  <sheetData>
    <row r="1" spans="1:11" x14ac:dyDescent="0.35">
      <c r="A1" s="59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x14ac:dyDescent="0.35">
      <c r="A2" s="59" t="s">
        <v>25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35">
      <c r="A3" s="59" t="s">
        <v>306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x14ac:dyDescent="0.35">
      <c r="A4" s="60" t="s">
        <v>26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11" ht="17.25" customHeight="1" x14ac:dyDescent="0.4">
      <c r="B5" s="27"/>
      <c r="C5" s="27"/>
      <c r="D5" s="27"/>
      <c r="E5" s="28"/>
      <c r="F5" s="27"/>
      <c r="G5" s="27"/>
      <c r="H5" s="27"/>
      <c r="I5" s="61">
        <v>45204</v>
      </c>
      <c r="J5" s="61"/>
      <c r="K5" s="61"/>
    </row>
    <row r="6" spans="1:11" ht="51" customHeight="1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33</v>
      </c>
      <c r="J6" s="1" t="s">
        <v>34</v>
      </c>
      <c r="K6" s="1" t="s">
        <v>8</v>
      </c>
    </row>
    <row r="7" spans="1:11" ht="14.4" customHeight="1" x14ac:dyDescent="0.35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</row>
    <row r="8" spans="1:11" ht="17.25" customHeight="1" x14ac:dyDescent="0.35">
      <c r="A8" s="3"/>
      <c r="B8" s="4" t="s">
        <v>254</v>
      </c>
      <c r="C8" s="3"/>
      <c r="D8" s="3"/>
      <c r="E8" s="3"/>
      <c r="F8" s="3"/>
      <c r="G8" s="3"/>
      <c r="H8" s="3"/>
      <c r="I8" s="3"/>
      <c r="J8" s="3"/>
      <c r="K8" s="3"/>
    </row>
    <row r="9" spans="1:11" ht="16.75" customHeight="1" x14ac:dyDescent="0.35">
      <c r="A9" s="31">
        <v>1</v>
      </c>
      <c r="B9" s="30" t="s">
        <v>255</v>
      </c>
      <c r="C9" s="8" t="s">
        <v>10</v>
      </c>
      <c r="D9" s="5">
        <f>SUM(D10:D13)</f>
        <v>3785.3125000000005</v>
      </c>
      <c r="E9" s="5">
        <f>SUM(F10:F13)/D9</f>
        <v>0</v>
      </c>
      <c r="F9" s="5">
        <f>D9*E9</f>
        <v>0</v>
      </c>
      <c r="G9" s="5">
        <v>0</v>
      </c>
      <c r="H9" s="5">
        <f t="shared" ref="H9:H13" si="0">D9*G9</f>
        <v>0</v>
      </c>
      <c r="I9" s="5">
        <v>18.7</v>
      </c>
      <c r="J9" s="5">
        <f>I9*D9</f>
        <v>70785.34375</v>
      </c>
      <c r="K9" s="5">
        <f t="shared" ref="K9:K14" si="1">F9+H9+J9</f>
        <v>70785.34375</v>
      </c>
    </row>
    <row r="10" spans="1:11" ht="17.25" hidden="1" customHeight="1" outlineLevel="1" x14ac:dyDescent="0.35">
      <c r="A10" s="31"/>
      <c r="B10" s="7" t="s">
        <v>256</v>
      </c>
      <c r="C10" s="8" t="s">
        <v>9</v>
      </c>
      <c r="D10" s="5">
        <f>(46*20.5*2.7)*1.25</f>
        <v>3182.6250000000005</v>
      </c>
      <c r="E10" s="5">
        <v>0</v>
      </c>
      <c r="F10" s="5">
        <v>0</v>
      </c>
      <c r="G10" s="5">
        <v>0</v>
      </c>
      <c r="H10" s="5">
        <f t="shared" si="0"/>
        <v>0</v>
      </c>
      <c r="I10" s="5">
        <v>0</v>
      </c>
      <c r="J10" s="5">
        <f t="shared" ref="J10:J13" si="2">I10*D10</f>
        <v>0</v>
      </c>
      <c r="K10" s="5">
        <f t="shared" si="1"/>
        <v>0</v>
      </c>
    </row>
    <row r="11" spans="1:11" ht="17.25" hidden="1" customHeight="1" outlineLevel="1" x14ac:dyDescent="0.35">
      <c r="A11" s="6"/>
      <c r="B11" s="7" t="s">
        <v>257</v>
      </c>
      <c r="C11" s="8" t="s">
        <v>9</v>
      </c>
      <c r="D11" s="5">
        <f>(2.5*2.3*2.1*2)*1.25</f>
        <v>30.187500000000004</v>
      </c>
      <c r="E11" s="5">
        <v>0</v>
      </c>
      <c r="F11" s="5">
        <f t="shared" ref="F11:F14" si="3">D11*E11</f>
        <v>0</v>
      </c>
      <c r="G11" s="5">
        <v>0</v>
      </c>
      <c r="H11" s="5">
        <f t="shared" si="0"/>
        <v>0</v>
      </c>
      <c r="I11" s="5">
        <v>0</v>
      </c>
      <c r="J11" s="5">
        <f t="shared" si="2"/>
        <v>0</v>
      </c>
      <c r="K11" s="5">
        <f t="shared" si="1"/>
        <v>0</v>
      </c>
    </row>
    <row r="12" spans="1:11" ht="17.25" hidden="1" customHeight="1" outlineLevel="1" x14ac:dyDescent="0.35">
      <c r="A12" s="6"/>
      <c r="B12" s="7" t="s">
        <v>258</v>
      </c>
      <c r="C12" s="8" t="s">
        <v>9</v>
      </c>
      <c r="D12" s="5">
        <f>(2.5*2.5*2*26)*1.25</f>
        <v>406.25</v>
      </c>
      <c r="E12" s="5">
        <v>0</v>
      </c>
      <c r="F12" s="5">
        <f t="shared" si="3"/>
        <v>0</v>
      </c>
      <c r="G12" s="5">
        <v>0</v>
      </c>
      <c r="H12" s="5">
        <f t="shared" si="0"/>
        <v>0</v>
      </c>
      <c r="I12" s="5">
        <v>0</v>
      </c>
      <c r="J12" s="5">
        <f t="shared" si="2"/>
        <v>0</v>
      </c>
      <c r="K12" s="5">
        <f t="shared" si="1"/>
        <v>0</v>
      </c>
    </row>
    <row r="13" spans="1:11" ht="17.25" hidden="1" customHeight="1" outlineLevel="1" x14ac:dyDescent="0.35">
      <c r="A13" s="6"/>
      <c r="B13" s="7" t="s">
        <v>305</v>
      </c>
      <c r="C13" s="8" t="s">
        <v>9</v>
      </c>
      <c r="D13" s="5">
        <f>(7*5*1.9*2)*1.25</f>
        <v>166.25</v>
      </c>
      <c r="E13" s="5">
        <v>0</v>
      </c>
      <c r="F13" s="5">
        <f t="shared" si="3"/>
        <v>0</v>
      </c>
      <c r="G13" s="5">
        <v>0</v>
      </c>
      <c r="H13" s="5">
        <f t="shared" si="0"/>
        <v>0</v>
      </c>
      <c r="I13" s="5">
        <v>0</v>
      </c>
      <c r="J13" s="5">
        <f t="shared" si="2"/>
        <v>0</v>
      </c>
      <c r="K13" s="5">
        <f t="shared" si="1"/>
        <v>0</v>
      </c>
    </row>
    <row r="14" spans="1:11" ht="17.25" customHeight="1" collapsed="1" x14ac:dyDescent="0.35">
      <c r="A14" s="29">
        <v>2</v>
      </c>
      <c r="B14" s="30" t="s">
        <v>259</v>
      </c>
      <c r="C14" s="8" t="s">
        <v>39</v>
      </c>
      <c r="D14" s="5">
        <v>14</v>
      </c>
      <c r="E14" s="5">
        <v>0</v>
      </c>
      <c r="F14" s="5">
        <f t="shared" si="3"/>
        <v>0</v>
      </c>
      <c r="G14" s="5"/>
      <c r="H14" s="5">
        <f>D14*G14</f>
        <v>0</v>
      </c>
      <c r="I14" s="26">
        <f>1400/1.18</f>
        <v>1186.4406779661017</v>
      </c>
      <c r="J14" s="5">
        <f>I14*D14</f>
        <v>16610.169491525423</v>
      </c>
      <c r="K14" s="5">
        <f t="shared" si="1"/>
        <v>16610.169491525423</v>
      </c>
    </row>
    <row r="15" spans="1:11" ht="17.25" customHeight="1" x14ac:dyDescent="0.35">
      <c r="A15" s="6"/>
      <c r="B15" s="20" t="s">
        <v>8</v>
      </c>
      <c r="C15" s="8"/>
      <c r="D15" s="33"/>
      <c r="E15" s="33"/>
      <c r="F15" s="33">
        <f>F14+F9</f>
        <v>0</v>
      </c>
      <c r="G15" s="33"/>
      <c r="H15" s="33">
        <f>H14+H9</f>
        <v>0</v>
      </c>
      <c r="I15" s="33"/>
      <c r="J15" s="33">
        <f>J14+J9</f>
        <v>87395.513241525419</v>
      </c>
      <c r="K15" s="33">
        <f>K14+K9</f>
        <v>87395.513241525419</v>
      </c>
    </row>
    <row r="16" spans="1:11" ht="17.25" customHeight="1" x14ac:dyDescent="0.35">
      <c r="A16" s="6"/>
      <c r="B16" s="20" t="s">
        <v>15</v>
      </c>
      <c r="C16" s="21">
        <v>7.3999999999999996E-2</v>
      </c>
      <c r="D16" s="22"/>
      <c r="E16" s="23"/>
      <c r="F16" s="24"/>
      <c r="G16" s="22"/>
      <c r="H16" s="24"/>
      <c r="I16" s="24"/>
      <c r="J16" s="24"/>
      <c r="K16" s="24">
        <f>K15*C16</f>
        <v>6467.2679798728805</v>
      </c>
    </row>
    <row r="17" spans="1:13" ht="17.25" customHeight="1" x14ac:dyDescent="0.35">
      <c r="A17" s="6"/>
      <c r="B17" s="20" t="s">
        <v>8</v>
      </c>
      <c r="C17" s="25"/>
      <c r="D17" s="22"/>
      <c r="E17" s="23"/>
      <c r="F17" s="24"/>
      <c r="G17" s="22"/>
      <c r="H17" s="26"/>
      <c r="I17" s="24"/>
      <c r="J17" s="24"/>
      <c r="K17" s="24">
        <f>SUM(K15:K16)</f>
        <v>93862.781221398298</v>
      </c>
    </row>
    <row r="18" spans="1:13" ht="17.25" customHeight="1" x14ac:dyDescent="0.35">
      <c r="A18" s="6"/>
      <c r="B18" s="20" t="s">
        <v>41</v>
      </c>
      <c r="C18" s="21">
        <v>0.03</v>
      </c>
      <c r="D18" s="22"/>
      <c r="E18" s="23"/>
      <c r="F18" s="26"/>
      <c r="G18" s="22"/>
      <c r="H18" s="26"/>
      <c r="I18" s="26"/>
      <c r="J18" s="26"/>
      <c r="K18" s="24">
        <f>K17*C18</f>
        <v>2815.8834366419487</v>
      </c>
    </row>
    <row r="19" spans="1:13" ht="17.25" customHeight="1" x14ac:dyDescent="0.35">
      <c r="A19" s="6"/>
      <c r="B19" s="20" t="s">
        <v>8</v>
      </c>
      <c r="C19" s="8"/>
      <c r="D19" s="22"/>
      <c r="E19" s="22"/>
      <c r="F19" s="26"/>
      <c r="G19" s="22"/>
      <c r="H19" s="26"/>
      <c r="I19" s="26"/>
      <c r="J19" s="26"/>
      <c r="K19" s="24">
        <f>SUM(K17:K18)</f>
        <v>96678.664658040245</v>
      </c>
    </row>
    <row r="20" spans="1:13" ht="17.25" customHeight="1" x14ac:dyDescent="0.35">
      <c r="A20" s="6"/>
      <c r="B20" s="20" t="s">
        <v>42</v>
      </c>
      <c r="C20" s="21">
        <v>3.5000000000000003E-2</v>
      </c>
      <c r="D20" s="22"/>
      <c r="E20" s="23"/>
      <c r="F20" s="26"/>
      <c r="G20" s="22"/>
      <c r="H20" s="26"/>
      <c r="I20" s="26"/>
      <c r="J20" s="26"/>
      <c r="K20" s="24">
        <f>K19*C20</f>
        <v>3383.753263031409</v>
      </c>
    </row>
    <row r="21" spans="1:13" ht="17.25" customHeight="1" x14ac:dyDescent="0.35">
      <c r="A21" s="6"/>
      <c r="B21" s="20" t="s">
        <v>8</v>
      </c>
      <c r="C21" s="8"/>
      <c r="D21" s="22"/>
      <c r="E21" s="22"/>
      <c r="F21" s="26"/>
      <c r="G21" s="22"/>
      <c r="H21" s="26"/>
      <c r="I21" s="26"/>
      <c r="J21" s="26"/>
      <c r="K21" s="24">
        <f>SUM(K19:K20)</f>
        <v>100062.41792107165</v>
      </c>
    </row>
    <row r="22" spans="1:13" ht="17.25" customHeight="1" x14ac:dyDescent="0.35">
      <c r="A22" s="6"/>
      <c r="B22" s="20" t="s">
        <v>16</v>
      </c>
      <c r="C22" s="21">
        <v>0.14000000000000001</v>
      </c>
      <c r="D22" s="22"/>
      <c r="E22" s="23"/>
      <c r="F22" s="26"/>
      <c r="G22" s="22"/>
      <c r="H22" s="26"/>
      <c r="I22" s="26"/>
      <c r="J22" s="26"/>
      <c r="K22" s="24">
        <f>K21*C22</f>
        <v>14008.738508950033</v>
      </c>
    </row>
    <row r="23" spans="1:13" ht="17.25" customHeight="1" x14ac:dyDescent="0.35">
      <c r="A23" s="6"/>
      <c r="B23" s="20" t="s">
        <v>8</v>
      </c>
      <c r="C23" s="8"/>
      <c r="D23" s="22"/>
      <c r="E23" s="22"/>
      <c r="F23" s="26"/>
      <c r="G23" s="22"/>
      <c r="H23" s="26"/>
      <c r="I23" s="26"/>
      <c r="J23" s="26"/>
      <c r="K23" s="24">
        <f>SUM(K21:K22)</f>
        <v>114071.15643002169</v>
      </c>
    </row>
    <row r="24" spans="1:13" ht="17.25" customHeight="1" x14ac:dyDescent="0.35">
      <c r="A24" s="6"/>
      <c r="B24" s="20" t="s">
        <v>17</v>
      </c>
      <c r="C24" s="21">
        <v>0.18</v>
      </c>
      <c r="D24" s="22"/>
      <c r="E24" s="22"/>
      <c r="F24" s="26"/>
      <c r="G24" s="22"/>
      <c r="H24" s="26"/>
      <c r="I24" s="26"/>
      <c r="J24" s="26"/>
      <c r="K24" s="24">
        <f>K23*C24</f>
        <v>20532.808157403902</v>
      </c>
    </row>
    <row r="25" spans="1:13" ht="17.25" customHeight="1" x14ac:dyDescent="0.35">
      <c r="A25" s="6"/>
      <c r="B25" s="20" t="s">
        <v>18</v>
      </c>
      <c r="C25" s="8"/>
      <c r="D25" s="22"/>
      <c r="E25" s="22"/>
      <c r="F25" s="26"/>
      <c r="G25" s="22"/>
      <c r="H25" s="26"/>
      <c r="I25" s="26"/>
      <c r="J25" s="26"/>
      <c r="K25" s="24">
        <f>SUM(K23:K24)</f>
        <v>134603.96458742558</v>
      </c>
    </row>
    <row r="26" spans="1:13" ht="17.25" customHeight="1" x14ac:dyDescent="0.4">
      <c r="B26" s="27"/>
      <c r="C26" s="27"/>
      <c r="D26" s="27"/>
      <c r="E26" s="28"/>
      <c r="F26" s="27"/>
      <c r="G26" s="27"/>
      <c r="H26" s="27"/>
      <c r="I26" s="45"/>
      <c r="J26" s="45"/>
      <c r="K26" s="45"/>
    </row>
    <row r="27" spans="1:13" ht="36" customHeight="1" x14ac:dyDescent="0.3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33</v>
      </c>
      <c r="J27" s="1" t="s">
        <v>34</v>
      </c>
      <c r="K27" s="1" t="s">
        <v>8</v>
      </c>
    </row>
    <row r="28" spans="1:13" x14ac:dyDescent="0.35">
      <c r="A28" s="2">
        <v>1</v>
      </c>
      <c r="B28" s="2">
        <v>2</v>
      </c>
      <c r="C28" s="2">
        <v>3</v>
      </c>
      <c r="D28" s="2">
        <v>4</v>
      </c>
      <c r="E28" s="2">
        <v>5</v>
      </c>
      <c r="F28" s="2">
        <v>6</v>
      </c>
      <c r="G28" s="2">
        <v>7</v>
      </c>
      <c r="H28" s="2">
        <v>8</v>
      </c>
      <c r="I28" s="2">
        <v>9</v>
      </c>
      <c r="J28" s="2">
        <v>10</v>
      </c>
      <c r="K28" s="2">
        <v>11</v>
      </c>
    </row>
    <row r="29" spans="1:13" x14ac:dyDescent="0.35">
      <c r="A29" s="3"/>
      <c r="B29" s="4" t="s">
        <v>27</v>
      </c>
      <c r="C29" s="3"/>
      <c r="D29" s="3"/>
      <c r="E29" s="3"/>
      <c r="F29" s="3"/>
      <c r="G29" s="3"/>
      <c r="H29" s="3"/>
      <c r="I29" s="3"/>
      <c r="J29" s="3"/>
      <c r="K29" s="3"/>
    </row>
    <row r="30" spans="1:13" x14ac:dyDescent="0.35">
      <c r="A30" s="31">
        <v>1</v>
      </c>
      <c r="B30" s="30" t="s">
        <v>11</v>
      </c>
      <c r="C30" s="8" t="s">
        <v>10</v>
      </c>
      <c r="D30" s="5">
        <f>D31</f>
        <v>4750.0099999999984</v>
      </c>
      <c r="E30" s="5">
        <f>SUM(F31:F39)/D30</f>
        <v>133.44726627515757</v>
      </c>
      <c r="F30" s="5">
        <f>D30*E30</f>
        <v>633875.84927966096</v>
      </c>
      <c r="G30" s="5">
        <f>SUM(H31:H39)/D30</f>
        <v>52.507046827269839</v>
      </c>
      <c r="H30" s="5">
        <f t="shared" ref="H30:H38" si="4">D30*G30</f>
        <v>249408.99749999991</v>
      </c>
      <c r="I30" s="5">
        <f>SUM(J31:J39)/D30</f>
        <v>1.3010090808372614</v>
      </c>
      <c r="J30" s="5">
        <f>I30*D30</f>
        <v>6179.8061440677984</v>
      </c>
      <c r="K30" s="5">
        <f t="shared" ref="K30:K45" si="5">F30+H30+J30</f>
        <v>889464.65292372869</v>
      </c>
    </row>
    <row r="31" spans="1:13" outlineLevel="1" x14ac:dyDescent="0.35">
      <c r="A31" s="31"/>
      <c r="B31" s="7" t="s">
        <v>35</v>
      </c>
      <c r="C31" s="8" t="s">
        <v>10</v>
      </c>
      <c r="D31" s="5">
        <f>ფართები!C13+26.25+43.12+356+119+88.2+176.4+33.4+16.2+14.5</f>
        <v>4750.0099999999984</v>
      </c>
      <c r="E31" s="5"/>
      <c r="F31" s="5">
        <v>0</v>
      </c>
      <c r="G31" s="5">
        <f>40*1.275</f>
        <v>51</v>
      </c>
      <c r="H31" s="5">
        <f t="shared" si="4"/>
        <v>242250.50999999992</v>
      </c>
      <c r="I31" s="5"/>
      <c r="J31" s="5"/>
      <c r="K31" s="5">
        <f t="shared" si="5"/>
        <v>242250.50999999992</v>
      </c>
      <c r="L31" s="52"/>
      <c r="M31" s="53"/>
    </row>
    <row r="32" spans="1:13" outlineLevel="1" x14ac:dyDescent="0.35">
      <c r="A32" s="6"/>
      <c r="B32" s="7" t="s">
        <v>214</v>
      </c>
      <c r="C32" s="8" t="s">
        <v>9</v>
      </c>
      <c r="D32" s="5">
        <v>40</v>
      </c>
      <c r="E32" s="5">
        <f>(170+9)/1.18</f>
        <v>151.69491525423729</v>
      </c>
      <c r="F32" s="5">
        <f t="shared" ref="F32:F44" si="6">D32*E32</f>
        <v>6067.796610169491</v>
      </c>
      <c r="G32" s="5"/>
      <c r="H32" s="5">
        <f t="shared" si="4"/>
        <v>0</v>
      </c>
      <c r="I32" s="5"/>
      <c r="J32" s="5"/>
      <c r="K32" s="5">
        <f t="shared" si="5"/>
        <v>6067.796610169491</v>
      </c>
    </row>
    <row r="33" spans="1:13" outlineLevel="1" x14ac:dyDescent="0.35">
      <c r="A33" s="6"/>
      <c r="B33" s="7" t="s">
        <v>38</v>
      </c>
      <c r="C33" s="8" t="s">
        <v>9</v>
      </c>
      <c r="D33" s="5">
        <f>(1050.42)*1.02</f>
        <v>1071.4284</v>
      </c>
      <c r="E33" s="5">
        <f>(230+9)/1.18</f>
        <v>202.54237288135593</v>
      </c>
      <c r="F33" s="5">
        <f t="shared" si="6"/>
        <v>217009.65050847459</v>
      </c>
      <c r="G33" s="5"/>
      <c r="H33" s="5">
        <f t="shared" si="4"/>
        <v>0</v>
      </c>
      <c r="I33" s="5"/>
      <c r="J33" s="5"/>
      <c r="K33" s="5">
        <f t="shared" si="5"/>
        <v>217009.65050847459</v>
      </c>
    </row>
    <row r="34" spans="1:13" outlineLevel="1" x14ac:dyDescent="0.35">
      <c r="A34" s="6"/>
      <c r="B34" s="7" t="s">
        <v>45</v>
      </c>
      <c r="C34" s="8" t="s">
        <v>40</v>
      </c>
      <c r="D34" s="5">
        <v>353</v>
      </c>
      <c r="E34" s="5">
        <f>116/1.18</f>
        <v>98.305084745762713</v>
      </c>
      <c r="F34" s="5">
        <f t="shared" si="6"/>
        <v>34701.694915254237</v>
      </c>
      <c r="G34" s="5">
        <f>15*1.275</f>
        <v>19.125</v>
      </c>
      <c r="H34" s="5">
        <f t="shared" si="4"/>
        <v>6751.125</v>
      </c>
      <c r="I34" s="5"/>
      <c r="J34" s="5">
        <f>I34*D34</f>
        <v>0</v>
      </c>
      <c r="K34" s="5">
        <f t="shared" si="5"/>
        <v>41452.819915254237</v>
      </c>
    </row>
    <row r="35" spans="1:13" outlineLevel="1" x14ac:dyDescent="0.35">
      <c r="A35" s="6"/>
      <c r="B35" s="7" t="s">
        <v>301</v>
      </c>
      <c r="C35" s="8" t="s">
        <v>40</v>
      </c>
      <c r="D35" s="5">
        <f>7.1*3</f>
        <v>21.299999999999997</v>
      </c>
      <c r="E35" s="5">
        <f>225/1.18</f>
        <v>190.67796610169492</v>
      </c>
      <c r="F35" s="5">
        <f t="shared" ref="F35" si="7">D35*E35</f>
        <v>4061.4406779661012</v>
      </c>
      <c r="G35" s="5">
        <f>15*1.275</f>
        <v>19.125</v>
      </c>
      <c r="H35" s="5">
        <f t="shared" ref="H35" si="8">D35*G35</f>
        <v>407.36249999999995</v>
      </c>
      <c r="I35" s="5"/>
      <c r="J35" s="5">
        <f>I35*D35</f>
        <v>0</v>
      </c>
      <c r="K35" s="5">
        <f t="shared" ref="K35" si="9">F35+H35+J35</f>
        <v>4468.8031779661014</v>
      </c>
    </row>
    <row r="36" spans="1:13" outlineLevel="1" x14ac:dyDescent="0.35">
      <c r="A36" s="6"/>
      <c r="B36" s="7" t="s">
        <v>43</v>
      </c>
      <c r="C36" s="8" t="s">
        <v>12</v>
      </c>
      <c r="D36" s="5">
        <v>7.85</v>
      </c>
      <c r="E36" s="5">
        <f>850*ფართები!$E$3/1.18</f>
        <v>1930.9406779661019</v>
      </c>
      <c r="F36" s="5">
        <f t="shared" si="6"/>
        <v>15157.884322033899</v>
      </c>
      <c r="G36" s="5"/>
      <c r="H36" s="5">
        <f t="shared" si="4"/>
        <v>0</v>
      </c>
      <c r="I36" s="5"/>
      <c r="J36" s="5"/>
      <c r="K36" s="5">
        <f t="shared" si="5"/>
        <v>15157.884322033899</v>
      </c>
    </row>
    <row r="37" spans="1:13" outlineLevel="1" x14ac:dyDescent="0.35">
      <c r="A37" s="6"/>
      <c r="B37" s="7" t="s">
        <v>13</v>
      </c>
      <c r="C37" s="8" t="s">
        <v>12</v>
      </c>
      <c r="D37" s="5">
        <f>132.6*1.05</f>
        <v>139.22999999999999</v>
      </c>
      <c r="E37" s="5">
        <f>850*ფართები!$E$3/1.18</f>
        <v>1930.9406779661019</v>
      </c>
      <c r="F37" s="5">
        <f t="shared" si="6"/>
        <v>268844.87059322034</v>
      </c>
      <c r="G37" s="5"/>
      <c r="H37" s="5">
        <f t="shared" si="4"/>
        <v>0</v>
      </c>
      <c r="I37" s="5"/>
      <c r="J37" s="5"/>
      <c r="K37" s="5">
        <f t="shared" si="5"/>
        <v>268844.87059322034</v>
      </c>
    </row>
    <row r="38" spans="1:13" outlineLevel="1" x14ac:dyDescent="0.35">
      <c r="A38" s="6"/>
      <c r="B38" s="7" t="s">
        <v>14</v>
      </c>
      <c r="C38" s="8" t="s">
        <v>10</v>
      </c>
      <c r="D38" s="5">
        <f>$D$31</f>
        <v>4750.0099999999984</v>
      </c>
      <c r="E38" s="5">
        <f>12/1.18</f>
        <v>10.16949152542373</v>
      </c>
      <c r="F38" s="5">
        <f t="shared" si="6"/>
        <v>48305.186440677957</v>
      </c>
      <c r="G38" s="5"/>
      <c r="H38" s="5">
        <f t="shared" si="4"/>
        <v>0</v>
      </c>
      <c r="I38" s="5"/>
      <c r="J38" s="5"/>
      <c r="K38" s="5">
        <f t="shared" si="5"/>
        <v>48305.186440677957</v>
      </c>
    </row>
    <row r="39" spans="1:13" outlineLevel="1" x14ac:dyDescent="0.35">
      <c r="A39" s="31"/>
      <c r="B39" s="7" t="s">
        <v>218</v>
      </c>
      <c r="C39" s="8" t="s">
        <v>9</v>
      </c>
      <c r="D39" s="5">
        <f>((41*17.8*0.5)+(D11+D12))*1.3</f>
        <v>1041.7387500000002</v>
      </c>
      <c r="E39" s="68">
        <f>45/1.18</f>
        <v>38.135593220338983</v>
      </c>
      <c r="F39" s="5">
        <f t="shared" si="6"/>
        <v>39727.325211864416</v>
      </c>
      <c r="G39" s="5"/>
      <c r="H39" s="5">
        <f>G39*D39</f>
        <v>0</v>
      </c>
      <c r="I39" s="5">
        <f>7/1.18</f>
        <v>5.9322033898305087</v>
      </c>
      <c r="J39" s="5">
        <f>I39*D39</f>
        <v>6179.8061440677984</v>
      </c>
      <c r="K39" s="5">
        <f t="shared" si="5"/>
        <v>45907.131355932215</v>
      </c>
      <c r="M39" s="53"/>
    </row>
    <row r="40" spans="1:13" x14ac:dyDescent="0.35">
      <c r="A40" s="29">
        <v>2</v>
      </c>
      <c r="B40" s="30" t="s">
        <v>280</v>
      </c>
      <c r="C40" s="8" t="s">
        <v>10</v>
      </c>
      <c r="D40" s="5">
        <f>(41+18)*2</f>
        <v>118</v>
      </c>
      <c r="E40" s="5">
        <f>SUM(F41:F44)/D40</f>
        <v>38.221398305084747</v>
      </c>
      <c r="F40" s="5">
        <f t="shared" si="6"/>
        <v>4510.125</v>
      </c>
      <c r="G40" s="5">
        <f>SUM(H41:H44)/D40</f>
        <v>10.199999999999999</v>
      </c>
      <c r="H40" s="5">
        <f>G40*D40</f>
        <v>1203.5999999999999</v>
      </c>
      <c r="I40" s="5">
        <v>0</v>
      </c>
      <c r="J40" s="5">
        <f>D40*I40</f>
        <v>0</v>
      </c>
      <c r="K40" s="5">
        <f t="shared" si="5"/>
        <v>5713.7250000000004</v>
      </c>
      <c r="M40" s="53"/>
    </row>
    <row r="41" spans="1:13" outlineLevel="1" x14ac:dyDescent="0.35">
      <c r="A41" s="29"/>
      <c r="B41" s="30" t="s">
        <v>284</v>
      </c>
      <c r="C41" s="8" t="s">
        <v>10</v>
      </c>
      <c r="D41" s="5">
        <f>D40</f>
        <v>118</v>
      </c>
      <c r="E41" s="5"/>
      <c r="F41" s="5">
        <f t="shared" si="6"/>
        <v>0</v>
      </c>
      <c r="G41" s="5">
        <f>8*1.275</f>
        <v>10.199999999999999</v>
      </c>
      <c r="H41" s="5">
        <f>D41*G41</f>
        <v>1203.5999999999999</v>
      </c>
      <c r="I41" s="5"/>
      <c r="J41" s="5">
        <f t="shared" ref="J41" si="10">D41*I41</f>
        <v>0</v>
      </c>
      <c r="K41" s="5">
        <f t="shared" si="5"/>
        <v>1203.5999999999999</v>
      </c>
      <c r="M41" s="53"/>
    </row>
    <row r="42" spans="1:13" outlineLevel="1" x14ac:dyDescent="0.35">
      <c r="A42" s="29"/>
      <c r="B42" s="7" t="s">
        <v>281</v>
      </c>
      <c r="C42" s="8" t="s">
        <v>55</v>
      </c>
      <c r="D42" s="5">
        <f>D41*0.5/20*1.05</f>
        <v>3.0975000000000001</v>
      </c>
      <c r="E42" s="5">
        <f>93/1.18</f>
        <v>78.813559322033896</v>
      </c>
      <c r="F42" s="5">
        <f t="shared" si="6"/>
        <v>244.125</v>
      </c>
      <c r="G42" s="5"/>
      <c r="H42" s="5">
        <f>D42*G42</f>
        <v>0</v>
      </c>
      <c r="I42" s="5"/>
      <c r="J42" s="5"/>
      <c r="K42" s="5">
        <f t="shared" ref="K42:K44" si="11">F42+H42</f>
        <v>244.125</v>
      </c>
      <c r="M42" s="53"/>
    </row>
    <row r="43" spans="1:13" outlineLevel="1" x14ac:dyDescent="0.35">
      <c r="A43" s="29"/>
      <c r="B43" s="7" t="s">
        <v>282</v>
      </c>
      <c r="C43" s="8" t="s">
        <v>283</v>
      </c>
      <c r="D43" s="5">
        <f>D41*2*1.1</f>
        <v>259.60000000000002</v>
      </c>
      <c r="E43" s="5">
        <f>17.8/1.18</f>
        <v>15.084745762711865</v>
      </c>
      <c r="F43" s="5">
        <f t="shared" si="6"/>
        <v>3916.0000000000005</v>
      </c>
      <c r="G43" s="5"/>
      <c r="H43" s="5">
        <f>D43*G43</f>
        <v>0</v>
      </c>
      <c r="I43" s="5"/>
      <c r="J43" s="5"/>
      <c r="K43" s="5">
        <f t="shared" si="11"/>
        <v>3916.0000000000005</v>
      </c>
      <c r="M43" s="53"/>
    </row>
    <row r="44" spans="1:13" outlineLevel="1" x14ac:dyDescent="0.35">
      <c r="A44" s="29"/>
      <c r="B44" s="7" t="s">
        <v>14</v>
      </c>
      <c r="C44" s="8" t="s">
        <v>10</v>
      </c>
      <c r="D44" s="5">
        <f>D41</f>
        <v>118</v>
      </c>
      <c r="E44" s="5">
        <f>3.5/1.18</f>
        <v>2.9661016949152543</v>
      </c>
      <c r="F44" s="5">
        <f t="shared" si="6"/>
        <v>350</v>
      </c>
      <c r="G44" s="5"/>
      <c r="H44" s="5">
        <f>D44*G44</f>
        <v>0</v>
      </c>
      <c r="I44" s="5"/>
      <c r="J44" s="5"/>
      <c r="K44" s="5">
        <f t="shared" si="11"/>
        <v>350</v>
      </c>
      <c r="M44" s="53"/>
    </row>
    <row r="45" spans="1:13" ht="17.25" customHeight="1" x14ac:dyDescent="0.35">
      <c r="A45" s="29">
        <v>3</v>
      </c>
      <c r="B45" s="30" t="s">
        <v>37</v>
      </c>
      <c r="C45" s="8" t="s">
        <v>39</v>
      </c>
      <c r="D45" s="5">
        <v>3</v>
      </c>
      <c r="E45" s="5">
        <f>8200/1.18</f>
        <v>6949.1525423728817</v>
      </c>
      <c r="F45" s="5">
        <f t="shared" ref="F45:F46" si="12">D45*E45</f>
        <v>20847.457627118645</v>
      </c>
      <c r="G45" s="5"/>
      <c r="H45" s="5">
        <f>D45*G45</f>
        <v>0</v>
      </c>
      <c r="I45" s="5">
        <f>9500/1.18</f>
        <v>8050.8474576271192</v>
      </c>
      <c r="J45" s="5">
        <f>I45*D45</f>
        <v>24152.542372881358</v>
      </c>
      <c r="K45" s="5">
        <f t="shared" si="5"/>
        <v>45000</v>
      </c>
    </row>
    <row r="46" spans="1:13" ht="17.25" customHeight="1" x14ac:dyDescent="0.35">
      <c r="A46" s="29">
        <v>4</v>
      </c>
      <c r="B46" s="30" t="s">
        <v>29</v>
      </c>
      <c r="C46" s="8" t="s">
        <v>30</v>
      </c>
      <c r="D46" s="5">
        <v>60</v>
      </c>
      <c r="E46" s="5"/>
      <c r="F46" s="5">
        <f t="shared" si="12"/>
        <v>0</v>
      </c>
      <c r="G46" s="5">
        <f>4*80*1.275</f>
        <v>408</v>
      </c>
      <c r="H46" s="5">
        <f>G46*D46</f>
        <v>24480</v>
      </c>
      <c r="I46" s="5">
        <v>0</v>
      </c>
      <c r="J46" s="5">
        <v>0</v>
      </c>
      <c r="K46" s="5">
        <f>F46+H46</f>
        <v>24480</v>
      </c>
    </row>
    <row r="47" spans="1:13" ht="17.25" customHeight="1" x14ac:dyDescent="0.35">
      <c r="A47" s="6"/>
      <c r="B47" s="20" t="s">
        <v>8</v>
      </c>
      <c r="C47" s="8"/>
      <c r="D47" s="33"/>
      <c r="E47" s="33"/>
      <c r="F47" s="33">
        <f>F46+F45+F30+F40</f>
        <v>659233.43190677965</v>
      </c>
      <c r="G47" s="33"/>
      <c r="H47" s="33">
        <f>H46+H45+H30+H40</f>
        <v>275092.59749999992</v>
      </c>
      <c r="I47" s="33"/>
      <c r="J47" s="33">
        <f>J46+J45+J30+J40</f>
        <v>30332.348516949158</v>
      </c>
      <c r="K47" s="33">
        <f>K46+K45+K30+K40</f>
        <v>964658.37792372867</v>
      </c>
    </row>
    <row r="48" spans="1:13" ht="17.25" customHeight="1" x14ac:dyDescent="0.35">
      <c r="A48" s="6"/>
      <c r="B48" s="20" t="s">
        <v>15</v>
      </c>
      <c r="C48" s="21">
        <v>7.3999999999999996E-2</v>
      </c>
      <c r="D48" s="22"/>
      <c r="E48" s="23"/>
      <c r="F48" s="24"/>
      <c r="G48" s="22"/>
      <c r="H48" s="24"/>
      <c r="I48" s="24"/>
      <c r="J48" s="24"/>
      <c r="K48" s="24">
        <f>K47*C48</f>
        <v>71384.719966355915</v>
      </c>
    </row>
    <row r="49" spans="1:21" ht="17.25" customHeight="1" x14ac:dyDescent="0.35">
      <c r="A49" s="6"/>
      <c r="B49" s="20" t="s">
        <v>8</v>
      </c>
      <c r="C49" s="25"/>
      <c r="D49" s="22"/>
      <c r="E49" s="23"/>
      <c r="F49" s="24"/>
      <c r="G49" s="22"/>
      <c r="H49" s="26"/>
      <c r="I49" s="24"/>
      <c r="J49" s="24"/>
      <c r="K49" s="24">
        <f>SUM(K47:K48)</f>
        <v>1036043.0978900846</v>
      </c>
    </row>
    <row r="50" spans="1:21" ht="17.25" customHeight="1" x14ac:dyDescent="0.35">
      <c r="A50" s="6"/>
      <c r="B50" s="20" t="s">
        <v>41</v>
      </c>
      <c r="C50" s="21">
        <v>4.65E-2</v>
      </c>
      <c r="D50" s="22"/>
      <c r="E50" s="23"/>
      <c r="F50" s="26"/>
      <c r="G50" s="22"/>
      <c r="H50" s="26"/>
      <c r="I50" s="26"/>
      <c r="J50" s="26"/>
      <c r="K50" s="24">
        <f>K49*C50</f>
        <v>48176.004051888936</v>
      </c>
    </row>
    <row r="51" spans="1:21" ht="17.25" customHeight="1" x14ac:dyDescent="0.35">
      <c r="A51" s="6"/>
      <c r="B51" s="20" t="s">
        <v>8</v>
      </c>
      <c r="C51" s="8"/>
      <c r="D51" s="22"/>
      <c r="E51" s="22"/>
      <c r="F51" s="26"/>
      <c r="G51" s="22"/>
      <c r="H51" s="26"/>
      <c r="I51" s="26"/>
      <c r="J51" s="26"/>
      <c r="K51" s="24">
        <f>SUM(K49:K50)</f>
        <v>1084219.1019419734</v>
      </c>
    </row>
    <row r="52" spans="1:21" ht="17.25" customHeight="1" x14ac:dyDescent="0.35">
      <c r="A52" s="6"/>
      <c r="B52" s="20" t="s">
        <v>42</v>
      </c>
      <c r="C52" s="21">
        <v>3.5000000000000003E-2</v>
      </c>
      <c r="D52" s="22"/>
      <c r="E52" s="23"/>
      <c r="F52" s="26"/>
      <c r="G52" s="22"/>
      <c r="H52" s="26"/>
      <c r="I52" s="26"/>
      <c r="J52" s="26"/>
      <c r="K52" s="24">
        <f>K51*C52</f>
        <v>37947.668567969071</v>
      </c>
    </row>
    <row r="53" spans="1:21" ht="17.25" customHeight="1" x14ac:dyDescent="0.35">
      <c r="A53" s="6"/>
      <c r="B53" s="20" t="s">
        <v>8</v>
      </c>
      <c r="C53" s="8"/>
      <c r="D53" s="22"/>
      <c r="E53" s="22"/>
      <c r="F53" s="26"/>
      <c r="G53" s="22"/>
      <c r="H53" s="26"/>
      <c r="I53" s="26"/>
      <c r="J53" s="26"/>
      <c r="K53" s="24">
        <f>SUM(K51:K52)</f>
        <v>1122166.7705099424</v>
      </c>
    </row>
    <row r="54" spans="1:21" ht="17.25" customHeight="1" x14ac:dyDescent="0.35">
      <c r="A54" s="6"/>
      <c r="B54" s="20" t="s">
        <v>16</v>
      </c>
      <c r="C54" s="21">
        <v>0.16500000000000001</v>
      </c>
      <c r="D54" s="22"/>
      <c r="E54" s="23"/>
      <c r="F54" s="26"/>
      <c r="G54" s="22"/>
      <c r="H54" s="26"/>
      <c r="I54" s="26"/>
      <c r="J54" s="26"/>
      <c r="K54" s="24">
        <f>K53*C54</f>
        <v>185157.51713414051</v>
      </c>
    </row>
    <row r="55" spans="1:21" ht="17.25" customHeight="1" x14ac:dyDescent="0.35">
      <c r="A55" s="6"/>
      <c r="B55" s="20" t="s">
        <v>8</v>
      </c>
      <c r="C55" s="8"/>
      <c r="D55" s="22"/>
      <c r="E55" s="22"/>
      <c r="F55" s="26"/>
      <c r="G55" s="22"/>
      <c r="H55" s="26"/>
      <c r="I55" s="26"/>
      <c r="J55" s="26"/>
      <c r="K55" s="24">
        <f>SUM(K53:K54)</f>
        <v>1307324.2876440829</v>
      </c>
    </row>
    <row r="56" spans="1:21" ht="17.25" customHeight="1" x14ac:dyDescent="0.35">
      <c r="A56" s="6"/>
      <c r="B56" s="20" t="s">
        <v>17</v>
      </c>
      <c r="C56" s="21">
        <v>0.18</v>
      </c>
      <c r="D56" s="22"/>
      <c r="E56" s="22"/>
      <c r="F56" s="26"/>
      <c r="G56" s="22"/>
      <c r="H56" s="26"/>
      <c r="I56" s="26"/>
      <c r="J56" s="26"/>
      <c r="K56" s="24">
        <f>K55*C56</f>
        <v>235318.37177593491</v>
      </c>
    </row>
    <row r="57" spans="1:21" ht="17.25" customHeight="1" x14ac:dyDescent="0.35">
      <c r="A57" s="6"/>
      <c r="B57" s="20" t="s">
        <v>18</v>
      </c>
      <c r="C57" s="8"/>
      <c r="D57" s="22"/>
      <c r="E57" s="22"/>
      <c r="F57" s="26"/>
      <c r="G57" s="22"/>
      <c r="H57" s="26"/>
      <c r="I57" s="26"/>
      <c r="J57" s="26"/>
      <c r="K57" s="24">
        <f>SUM(K55:K56)</f>
        <v>1542642.6594200179</v>
      </c>
    </row>
    <row r="58" spans="1:21" x14ac:dyDescent="0.35">
      <c r="L58" t="s">
        <v>308</v>
      </c>
      <c r="M58" t="s">
        <v>309</v>
      </c>
      <c r="N58" t="s">
        <v>310</v>
      </c>
      <c r="O58" t="s">
        <v>309</v>
      </c>
      <c r="P58" t="s">
        <v>311</v>
      </c>
      <c r="Q58" t="s">
        <v>309</v>
      </c>
      <c r="R58" t="s">
        <v>312</v>
      </c>
      <c r="S58" t="s">
        <v>309</v>
      </c>
      <c r="T58" t="s">
        <v>313</v>
      </c>
      <c r="U58" t="s">
        <v>309</v>
      </c>
    </row>
    <row r="59" spans="1:21" x14ac:dyDescent="0.35">
      <c r="A59" s="42"/>
      <c r="B59" s="43" t="s">
        <v>46</v>
      </c>
      <c r="C59" s="42"/>
      <c r="D59" s="42"/>
      <c r="E59" s="42"/>
      <c r="F59" s="42"/>
      <c r="G59" s="42"/>
      <c r="H59" s="42"/>
      <c r="I59" s="42"/>
      <c r="J59" s="42"/>
      <c r="K59" s="42"/>
    </row>
    <row r="60" spans="1:21" x14ac:dyDescent="0.35">
      <c r="A60" s="29">
        <v>1</v>
      </c>
      <c r="B60" s="30" t="s">
        <v>47</v>
      </c>
      <c r="C60" s="8" t="s">
        <v>10</v>
      </c>
      <c r="D60" s="5">
        <f>SUM(,D61,D69,D78)</f>
        <v>2107.7123000000001</v>
      </c>
      <c r="E60" s="5">
        <f>SUM(F79:F87,F70:F77,F62:F68,)/D60</f>
        <v>26.473002116450015</v>
      </c>
      <c r="F60" s="5">
        <f t="shared" ref="F60:F135" si="13">D60*E60</f>
        <v>55797.472178767734</v>
      </c>
      <c r="G60" s="5">
        <f>SUM(H83,H78,H74,H69,H63,H61,)/D60</f>
        <v>26.11935446402007</v>
      </c>
      <c r="H60" s="5">
        <f>G60*D60</f>
        <v>55052.084671875011</v>
      </c>
      <c r="I60" s="5">
        <v>0</v>
      </c>
      <c r="J60" s="5">
        <v>0</v>
      </c>
      <c r="K60" s="5">
        <f>F60+H60+J60</f>
        <v>110849.55685064275</v>
      </c>
      <c r="L60">
        <f>VLOOKUP($B60,[1]ბიუჯეტი!$B$59:$K$464,3,FALSE)</f>
        <v>2224.1808000000001</v>
      </c>
      <c r="M60" s="53">
        <f>D60-L60</f>
        <v>-116.46849999999995</v>
      </c>
      <c r="N60">
        <f>VLOOKUP($B60,[1]ბიუჯეტი!$B$59:$K$464,4,FALSE)</f>
        <v>25.744142581442095</v>
      </c>
      <c r="O60" s="53">
        <f>E60-N60</f>
        <v>0.72885953500792056</v>
      </c>
      <c r="P60">
        <f>VLOOKUP($B60,[1]ბიუჯეტი!$B$59:$K$464,6,FALSE)</f>
        <v>25.121242279404623</v>
      </c>
      <c r="Q60" s="53">
        <f>G60-P60</f>
        <v>0.99811218461544726</v>
      </c>
      <c r="R60">
        <f>VLOOKUP($B60,[1]ბიუჯეტი!$B$59:$K$464,8,FALSE)</f>
        <v>0</v>
      </c>
      <c r="S60" s="53">
        <f>I60-R60</f>
        <v>0</v>
      </c>
      <c r="T60">
        <f>VLOOKUP($B60,[1]ბიუჯეტი!$B$59:$K$464,10,FALSE)</f>
        <v>113133.81239210595</v>
      </c>
      <c r="U60" s="53">
        <f>K60-T60</f>
        <v>-2284.2555414631934</v>
      </c>
    </row>
    <row r="61" spans="1:21" hidden="1" outlineLevel="1" x14ac:dyDescent="0.35">
      <c r="A61" s="29">
        <v>1</v>
      </c>
      <c r="B61" s="30" t="s">
        <v>172</v>
      </c>
      <c r="C61" s="8" t="s">
        <v>10</v>
      </c>
      <c r="D61" s="5">
        <f>სამუშაო!I4</f>
        <v>220.59</v>
      </c>
      <c r="E61" s="5"/>
      <c r="F61" s="5">
        <f t="shared" si="13"/>
        <v>0</v>
      </c>
      <c r="G61" s="5">
        <f>1.5*1.275*12.5</f>
        <v>23.90625</v>
      </c>
      <c r="H61" s="5">
        <f t="shared" ref="H61:H87" si="14">D61*G61</f>
        <v>5273.4796875000002</v>
      </c>
      <c r="I61" s="5"/>
      <c r="J61" s="5"/>
      <c r="K61" s="5">
        <f t="shared" ref="K61:K87" si="15">F61+H61</f>
        <v>5273.4796875000002</v>
      </c>
      <c r="L61">
        <f>VLOOKUP($B61,[1]ბიუჯეტი!$B$59:$K$464,3,FALSE)</f>
        <v>0</v>
      </c>
      <c r="M61" s="53">
        <f t="shared" ref="M61:M124" si="16">D61-L61</f>
        <v>220.59</v>
      </c>
      <c r="N61">
        <f>VLOOKUP($B61,[1]ბიუჯეტი!$B$59:$K$464,4,FALSE)</f>
        <v>0</v>
      </c>
      <c r="O61" s="53">
        <f t="shared" ref="O61:O124" si="17">E61-N61</f>
        <v>0</v>
      </c>
      <c r="P61">
        <f>VLOOKUP($B61,[1]ბიუჯეტი!$B$59:$K$464,6,FALSE)</f>
        <v>23.90625</v>
      </c>
      <c r="Q61" s="53">
        <f t="shared" ref="Q61:Q124" si="18">G61-P61</f>
        <v>0</v>
      </c>
      <c r="R61">
        <f>VLOOKUP($B61,[1]ბიუჯეტი!$B$59:$K$464,8,FALSE)</f>
        <v>0</v>
      </c>
      <c r="S61" s="53">
        <f t="shared" ref="S61:S124" si="19">I61-R61</f>
        <v>0</v>
      </c>
      <c r="T61">
        <f>VLOOKUP($B61,[1]ბიუჯეტი!$B$59:$K$464,10,FALSE)</f>
        <v>0</v>
      </c>
      <c r="U61" s="53">
        <f t="shared" ref="U61:U124" si="20">K61-T61</f>
        <v>5273.4796875000002</v>
      </c>
    </row>
    <row r="62" spans="1:21" hidden="1" outlineLevel="1" x14ac:dyDescent="0.35">
      <c r="A62" s="29"/>
      <c r="B62" s="7" t="s">
        <v>48</v>
      </c>
      <c r="C62" s="8" t="s">
        <v>49</v>
      </c>
      <c r="D62" s="5">
        <f>D61*13</f>
        <v>2867.67</v>
      </c>
      <c r="E62" s="5">
        <f>1.85/1.18</f>
        <v>1.5677966101694918</v>
      </c>
      <c r="F62" s="5">
        <f t="shared" si="13"/>
        <v>4495.923305084747</v>
      </c>
      <c r="G62" s="5"/>
      <c r="H62" s="5">
        <f t="shared" si="14"/>
        <v>0</v>
      </c>
      <c r="I62" s="5"/>
      <c r="J62" s="5"/>
      <c r="K62" s="5">
        <f t="shared" si="15"/>
        <v>4495.923305084747</v>
      </c>
      <c r="L62">
        <f>VLOOKUP($B62,[1]ბიუჯეტი!$B$59:$K$464,3,FALSE)</f>
        <v>0</v>
      </c>
      <c r="M62" s="53">
        <f t="shared" si="16"/>
        <v>2867.67</v>
      </c>
      <c r="N62">
        <f>VLOOKUP($B62,[1]ბიუჯეტი!$B$59:$K$464,4,FALSE)</f>
        <v>1.5677966101694918</v>
      </c>
      <c r="O62" s="53">
        <f t="shared" si="17"/>
        <v>0</v>
      </c>
      <c r="P62">
        <f>VLOOKUP($B62,[1]ბიუჯეტი!$B$59:$K$464,6,FALSE)</f>
        <v>0</v>
      </c>
      <c r="Q62" s="53">
        <f t="shared" si="18"/>
        <v>0</v>
      </c>
      <c r="R62">
        <f>VLOOKUP($B62,[1]ბიუჯეტი!$B$59:$K$464,8,FALSE)</f>
        <v>0</v>
      </c>
      <c r="S62" s="53">
        <f t="shared" si="19"/>
        <v>0</v>
      </c>
      <c r="T62">
        <f>VLOOKUP($B62,[1]ბიუჯეტი!$B$59:$K$464,10,FALSE)</f>
        <v>0</v>
      </c>
      <c r="U62" s="53">
        <f t="shared" si="20"/>
        <v>4495.923305084747</v>
      </c>
    </row>
    <row r="63" spans="1:21" hidden="1" outlineLevel="1" x14ac:dyDescent="0.35">
      <c r="A63" s="29"/>
      <c r="B63" s="7" t="s">
        <v>285</v>
      </c>
      <c r="C63" s="8" t="s">
        <v>40</v>
      </c>
      <c r="D63" s="5">
        <f>6.5+6.5+3.1+1+6.65+6.65+1+5.9+1.2+2.85+5.9+1.2+2.85</f>
        <v>51.300000000000004</v>
      </c>
      <c r="E63" s="5"/>
      <c r="F63" s="5">
        <f t="shared" si="13"/>
        <v>0</v>
      </c>
      <c r="G63" s="5">
        <f>30*1.275</f>
        <v>38.25</v>
      </c>
      <c r="H63" s="5">
        <f t="shared" si="14"/>
        <v>1962.2250000000001</v>
      </c>
      <c r="I63" s="5"/>
      <c r="J63" s="5"/>
      <c r="K63" s="5">
        <f t="shared" si="15"/>
        <v>1962.2250000000001</v>
      </c>
      <c r="L63" t="e">
        <f>VLOOKUP($B63,[1]ბიუჯეტი!$B$59:$K$464,3,FALSE)</f>
        <v>#N/A</v>
      </c>
      <c r="M63" s="53" t="e">
        <f t="shared" si="16"/>
        <v>#N/A</v>
      </c>
      <c r="N63" t="e">
        <f>VLOOKUP($B63,[1]ბიუჯეტი!$B$59:$K$464,4,FALSE)</f>
        <v>#N/A</v>
      </c>
      <c r="O63" s="53" t="e">
        <f t="shared" si="17"/>
        <v>#N/A</v>
      </c>
      <c r="P63" t="e">
        <f>VLOOKUP($B63,[1]ბიუჯეტი!$B$59:$K$464,6,FALSE)</f>
        <v>#N/A</v>
      </c>
      <c r="Q63" s="53" t="e">
        <f t="shared" si="18"/>
        <v>#N/A</v>
      </c>
      <c r="R63" t="e">
        <f>VLOOKUP($B63,[1]ბიუჯეტი!$B$59:$K$464,8,FALSE)</f>
        <v>#N/A</v>
      </c>
      <c r="S63" s="53" t="e">
        <f t="shared" si="19"/>
        <v>#N/A</v>
      </c>
      <c r="T63" t="e">
        <f>VLOOKUP($B63,[1]ბიუჯეტი!$B$59:$K$464,10,FALSE)</f>
        <v>#N/A</v>
      </c>
      <c r="U63" s="53" t="e">
        <f t="shared" si="20"/>
        <v>#N/A</v>
      </c>
    </row>
    <row r="64" spans="1:21" hidden="1" outlineLevel="1" x14ac:dyDescent="0.35">
      <c r="A64" s="29"/>
      <c r="B64" s="7" t="s">
        <v>286</v>
      </c>
      <c r="C64" s="8" t="s">
        <v>268</v>
      </c>
      <c r="D64" s="5">
        <f>D63*0.2*0.2</f>
        <v>2.0520000000000005</v>
      </c>
      <c r="E64" s="5">
        <f>220/1.18</f>
        <v>186.4406779661017</v>
      </c>
      <c r="F64" s="5">
        <f t="shared" ref="F64" si="21">D64*E64</f>
        <v>382.57627118644081</v>
      </c>
      <c r="G64" s="5"/>
      <c r="H64" s="5">
        <f t="shared" ref="H64" si="22">D64*G64</f>
        <v>0</v>
      </c>
      <c r="I64" s="5"/>
      <c r="J64" s="5"/>
      <c r="K64" s="5">
        <f t="shared" ref="K64" si="23">F64+H64</f>
        <v>382.57627118644081</v>
      </c>
      <c r="L64" t="e">
        <f>VLOOKUP($B64,[1]ბიუჯეტი!$B$59:$K$464,3,FALSE)</f>
        <v>#N/A</v>
      </c>
      <c r="M64" s="53" t="e">
        <f t="shared" si="16"/>
        <v>#N/A</v>
      </c>
      <c r="N64" t="e">
        <f>VLOOKUP($B64,[1]ბიუჯეტი!$B$59:$K$464,4,FALSE)</f>
        <v>#N/A</v>
      </c>
      <c r="O64" s="53" t="e">
        <f t="shared" si="17"/>
        <v>#N/A</v>
      </c>
      <c r="P64" t="e">
        <f>VLOOKUP($B64,[1]ბიუჯეტი!$B$59:$K$464,6,FALSE)</f>
        <v>#N/A</v>
      </c>
      <c r="Q64" s="53" t="e">
        <f t="shared" si="18"/>
        <v>#N/A</v>
      </c>
      <c r="R64" t="e">
        <f>VLOOKUP($B64,[1]ბიუჯეტი!$B$59:$K$464,8,FALSE)</f>
        <v>#N/A</v>
      </c>
      <c r="S64" s="53" t="e">
        <f t="shared" si="19"/>
        <v>#N/A</v>
      </c>
      <c r="T64" t="e">
        <f>VLOOKUP($B64,[1]ბიუჯეტი!$B$59:$K$464,10,FALSE)</f>
        <v>#N/A</v>
      </c>
      <c r="U64" s="53" t="e">
        <f t="shared" si="20"/>
        <v>#N/A</v>
      </c>
    </row>
    <row r="65" spans="1:21" hidden="1" outlineLevel="1" x14ac:dyDescent="0.35">
      <c r="A65" s="29"/>
      <c r="B65" s="7" t="s">
        <v>287</v>
      </c>
      <c r="C65" s="8" t="s">
        <v>288</v>
      </c>
      <c r="D65" s="5">
        <v>0.12</v>
      </c>
      <c r="E65" s="5">
        <f>2120/1.18</f>
        <v>1796.6101694915255</v>
      </c>
      <c r="F65" s="5">
        <f t="shared" ref="F65" si="24">D65*E65</f>
        <v>215.59322033898306</v>
      </c>
      <c r="G65" s="5"/>
      <c r="H65" s="5">
        <f t="shared" ref="H65" si="25">D65*G65</f>
        <v>0</v>
      </c>
      <c r="I65" s="5"/>
      <c r="J65" s="5"/>
      <c r="K65" s="5">
        <f t="shared" ref="K65" si="26">F65+H65</f>
        <v>215.59322033898306</v>
      </c>
      <c r="L65" t="e">
        <f>VLOOKUP($B65,[1]ბიუჯეტი!$B$59:$K$464,3,FALSE)</f>
        <v>#N/A</v>
      </c>
      <c r="M65" s="53" t="e">
        <f t="shared" si="16"/>
        <v>#N/A</v>
      </c>
      <c r="N65" t="e">
        <f>VLOOKUP($B65,[1]ბიუჯეტი!$B$59:$K$464,4,FALSE)</f>
        <v>#N/A</v>
      </c>
      <c r="O65" s="53" t="e">
        <f t="shared" si="17"/>
        <v>#N/A</v>
      </c>
      <c r="P65" t="e">
        <f>VLOOKUP($B65,[1]ბიუჯეტი!$B$59:$K$464,6,FALSE)</f>
        <v>#N/A</v>
      </c>
      <c r="Q65" s="53" t="e">
        <f t="shared" si="18"/>
        <v>#N/A</v>
      </c>
      <c r="R65" t="e">
        <f>VLOOKUP($B65,[1]ბიუჯეტი!$B$59:$K$464,8,FALSE)</f>
        <v>#N/A</v>
      </c>
      <c r="S65" s="53" t="e">
        <f t="shared" si="19"/>
        <v>#N/A</v>
      </c>
      <c r="T65" t="e">
        <f>VLOOKUP($B65,[1]ბიუჯეტი!$B$59:$K$464,10,FALSE)</f>
        <v>#N/A</v>
      </c>
      <c r="U65" s="53" t="e">
        <f t="shared" si="20"/>
        <v>#N/A</v>
      </c>
    </row>
    <row r="66" spans="1:21" hidden="1" outlineLevel="1" x14ac:dyDescent="0.35">
      <c r="A66" s="29"/>
      <c r="B66" s="7" t="s">
        <v>50</v>
      </c>
      <c r="C66" s="8" t="s">
        <v>9</v>
      </c>
      <c r="D66" s="5">
        <f>D61*0.03*1.05</f>
        <v>6.9485850000000005</v>
      </c>
      <c r="E66" s="5">
        <f>65/1.18</f>
        <v>55.084745762711869</v>
      </c>
      <c r="F66" s="5">
        <f t="shared" si="13"/>
        <v>382.76103813559325</v>
      </c>
      <c r="G66" s="5"/>
      <c r="H66" s="5">
        <f t="shared" si="14"/>
        <v>0</v>
      </c>
      <c r="I66" s="5"/>
      <c r="J66" s="5"/>
      <c r="K66" s="5">
        <f t="shared" si="15"/>
        <v>382.76103813559325</v>
      </c>
      <c r="L66">
        <f>VLOOKUP($B66,[1]ბიუჯეტი!$B$59:$K$464,3,FALSE)</f>
        <v>0</v>
      </c>
      <c r="M66" s="53">
        <f t="shared" si="16"/>
        <v>6.9485850000000005</v>
      </c>
      <c r="N66">
        <f>VLOOKUP($B66,[1]ბიუჯეტი!$B$59:$K$464,4,FALSE)</f>
        <v>55.084745762711869</v>
      </c>
      <c r="O66" s="53">
        <f t="shared" si="17"/>
        <v>0</v>
      </c>
      <c r="P66">
        <f>VLOOKUP($B66,[1]ბიუჯეტი!$B$59:$K$464,6,FALSE)</f>
        <v>0</v>
      </c>
      <c r="Q66" s="53">
        <f t="shared" si="18"/>
        <v>0</v>
      </c>
      <c r="R66">
        <f>VLOOKUP($B66,[1]ბიუჯეტი!$B$59:$K$464,8,FALSE)</f>
        <v>0</v>
      </c>
      <c r="S66" s="53">
        <f t="shared" si="19"/>
        <v>0</v>
      </c>
      <c r="T66">
        <f>VLOOKUP($B66,[1]ბიუჯეტი!$B$59:$K$464,10,FALSE)</f>
        <v>0</v>
      </c>
      <c r="U66" s="53">
        <f t="shared" si="20"/>
        <v>382.76103813559325</v>
      </c>
    </row>
    <row r="67" spans="1:21" hidden="1" outlineLevel="1" x14ac:dyDescent="0.35">
      <c r="A67" s="29"/>
      <c r="B67" s="7" t="s">
        <v>51</v>
      </c>
      <c r="C67" s="8" t="s">
        <v>12</v>
      </c>
      <c r="D67" s="5">
        <f>D66/4*1.05</f>
        <v>1.8240035625000002</v>
      </c>
      <c r="E67" s="5">
        <f>281.5/1.18</f>
        <v>238.55932203389833</v>
      </c>
      <c r="F67" s="5">
        <f t="shared" si="13"/>
        <v>435.13305325741533</v>
      </c>
      <c r="G67" s="5"/>
      <c r="H67" s="5">
        <f t="shared" si="14"/>
        <v>0</v>
      </c>
      <c r="I67" s="5"/>
      <c r="J67" s="5"/>
      <c r="K67" s="5">
        <f t="shared" si="15"/>
        <v>435.13305325741533</v>
      </c>
      <c r="L67">
        <f>VLOOKUP($B67,[1]ბიუჯეტი!$B$59:$K$464,3,FALSE)</f>
        <v>0</v>
      </c>
      <c r="M67" s="53">
        <f t="shared" si="16"/>
        <v>1.8240035625000002</v>
      </c>
      <c r="N67">
        <f>VLOOKUP($B67,[1]ბიუჯეტი!$B$59:$K$464,4,FALSE)</f>
        <v>238.55932203389833</v>
      </c>
      <c r="O67" s="53">
        <f t="shared" si="17"/>
        <v>0</v>
      </c>
      <c r="P67">
        <f>VLOOKUP($B67,[1]ბიუჯეტი!$B$59:$K$464,6,FALSE)</f>
        <v>0</v>
      </c>
      <c r="Q67" s="53">
        <f t="shared" si="18"/>
        <v>0</v>
      </c>
      <c r="R67">
        <f>VLOOKUP($B67,[1]ბიუჯეტი!$B$59:$K$464,8,FALSE)</f>
        <v>0</v>
      </c>
      <c r="S67" s="53">
        <f t="shared" si="19"/>
        <v>0</v>
      </c>
      <c r="T67">
        <f>VLOOKUP($B67,[1]ბიუჯეტი!$B$59:$K$464,10,FALSE)</f>
        <v>0</v>
      </c>
      <c r="U67" s="53">
        <f t="shared" si="20"/>
        <v>435.13305325741533</v>
      </c>
    </row>
    <row r="68" spans="1:21" hidden="1" outlineLevel="1" x14ac:dyDescent="0.35">
      <c r="A68" s="29"/>
      <c r="B68" s="7" t="s">
        <v>14</v>
      </c>
      <c r="C68" s="8" t="s">
        <v>10</v>
      </c>
      <c r="D68" s="5">
        <f>D61</f>
        <v>220.59</v>
      </c>
      <c r="E68" s="5">
        <f>1/1.18</f>
        <v>0.84745762711864414</v>
      </c>
      <c r="F68" s="5">
        <f t="shared" si="13"/>
        <v>186.9406779661017</v>
      </c>
      <c r="G68" s="5"/>
      <c r="H68" s="5">
        <f t="shared" si="14"/>
        <v>0</v>
      </c>
      <c r="I68" s="5"/>
      <c r="J68" s="5"/>
      <c r="K68" s="5">
        <f t="shared" si="15"/>
        <v>186.9406779661017</v>
      </c>
      <c r="L68">
        <f>VLOOKUP($B68,[1]ბიუჯეტი!$B$59:$K$464,3,FALSE)</f>
        <v>0</v>
      </c>
      <c r="M68" s="53">
        <f t="shared" si="16"/>
        <v>220.59</v>
      </c>
      <c r="N68">
        <f>VLOOKUP($B68,[1]ბიუჯეტი!$B$59:$K$464,4,FALSE)</f>
        <v>0.84745762711864414</v>
      </c>
      <c r="O68" s="53">
        <f t="shared" si="17"/>
        <v>0</v>
      </c>
      <c r="P68">
        <f>VLOOKUP($B68,[1]ბიუჯეტი!$B$59:$K$464,6,FALSE)</f>
        <v>0</v>
      </c>
      <c r="Q68" s="53">
        <f t="shared" si="18"/>
        <v>0</v>
      </c>
      <c r="R68">
        <f>VLOOKUP($B68,[1]ბიუჯეტი!$B$59:$K$464,8,FALSE)</f>
        <v>0</v>
      </c>
      <c r="S68" s="53">
        <f t="shared" si="19"/>
        <v>0</v>
      </c>
      <c r="T68">
        <f>VLOOKUP($B68,[1]ბიუჯეტი!$B$59:$K$464,10,FALSE)</f>
        <v>0</v>
      </c>
      <c r="U68" s="53">
        <f t="shared" si="20"/>
        <v>186.9406779661017</v>
      </c>
    </row>
    <row r="69" spans="1:21" hidden="1" outlineLevel="1" x14ac:dyDescent="0.35">
      <c r="A69" s="29">
        <v>2</v>
      </c>
      <c r="B69" s="30" t="s">
        <v>52</v>
      </c>
      <c r="C69" s="8" t="s">
        <v>10</v>
      </c>
      <c r="D69" s="5">
        <f>სამუშაო!I4</f>
        <v>220.59</v>
      </c>
      <c r="E69" s="5"/>
      <c r="F69" s="5">
        <f t="shared" si="13"/>
        <v>0</v>
      </c>
      <c r="G69" s="5">
        <f>1.5*1.275*12.5</f>
        <v>23.90625</v>
      </c>
      <c r="H69" s="5">
        <f t="shared" si="14"/>
        <v>5273.4796875000002</v>
      </c>
      <c r="I69" s="5"/>
      <c r="J69" s="5"/>
      <c r="K69" s="5">
        <f t="shared" si="15"/>
        <v>5273.4796875000002</v>
      </c>
      <c r="L69">
        <f>VLOOKUP($B69,[1]ბიუჯეტი!$B$59:$K$464,3,FALSE)</f>
        <v>584.43179999999995</v>
      </c>
      <c r="M69" s="53">
        <f t="shared" si="16"/>
        <v>-363.84179999999992</v>
      </c>
      <c r="N69">
        <f>VLOOKUP($B69,[1]ბიუჯეტი!$B$59:$K$464,4,FALSE)</f>
        <v>0</v>
      </c>
      <c r="O69" s="53">
        <f t="shared" si="17"/>
        <v>0</v>
      </c>
      <c r="P69">
        <f>VLOOKUP($B69,[1]ბიუჯეტი!$B$59:$K$464,6,FALSE)</f>
        <v>23.90625</v>
      </c>
      <c r="Q69" s="53">
        <f t="shared" si="18"/>
        <v>0</v>
      </c>
      <c r="R69">
        <f>VLOOKUP($B69,[1]ბიუჯეტი!$B$59:$K$464,8,FALSE)</f>
        <v>0</v>
      </c>
      <c r="S69" s="53">
        <f t="shared" si="19"/>
        <v>0</v>
      </c>
      <c r="T69">
        <f>VLOOKUP($B69,[1]ბიუჯეტი!$B$59:$K$464,10,FALSE)</f>
        <v>13971.57271875</v>
      </c>
      <c r="U69" s="53">
        <f t="shared" si="20"/>
        <v>-8698.0930312499986</v>
      </c>
    </row>
    <row r="70" spans="1:21" hidden="1" outlineLevel="1" x14ac:dyDescent="0.35">
      <c r="A70" s="29"/>
      <c r="B70" s="7" t="s">
        <v>48</v>
      </c>
      <c r="C70" s="8" t="s">
        <v>49</v>
      </c>
      <c r="D70" s="5">
        <f>D69*13</f>
        <v>2867.67</v>
      </c>
      <c r="E70" s="5">
        <f>1.85/1.18</f>
        <v>1.5677966101694918</v>
      </c>
      <c r="F70" s="5">
        <f t="shared" si="13"/>
        <v>4495.923305084747</v>
      </c>
      <c r="G70" s="5"/>
      <c r="H70" s="5">
        <f t="shared" si="14"/>
        <v>0</v>
      </c>
      <c r="I70" s="5"/>
      <c r="J70" s="5"/>
      <c r="K70" s="5">
        <f t="shared" si="15"/>
        <v>4495.923305084747</v>
      </c>
      <c r="L70">
        <f>VLOOKUP($B70,[1]ბიუჯეტი!$B$59:$K$464,3,FALSE)</f>
        <v>0</v>
      </c>
      <c r="M70" s="53">
        <f t="shared" si="16"/>
        <v>2867.67</v>
      </c>
      <c r="N70">
        <f>VLOOKUP($B70,[1]ბიუჯეტი!$B$59:$K$464,4,FALSE)</f>
        <v>1.5677966101694918</v>
      </c>
      <c r="O70" s="53">
        <f t="shared" si="17"/>
        <v>0</v>
      </c>
      <c r="P70">
        <f>VLOOKUP($B70,[1]ბიუჯეტი!$B$59:$K$464,6,FALSE)</f>
        <v>0</v>
      </c>
      <c r="Q70" s="53">
        <f t="shared" si="18"/>
        <v>0</v>
      </c>
      <c r="R70">
        <f>VLOOKUP($B70,[1]ბიუჯეტი!$B$59:$K$464,8,FALSE)</f>
        <v>0</v>
      </c>
      <c r="S70" s="53">
        <f t="shared" si="19"/>
        <v>0</v>
      </c>
      <c r="T70">
        <f>VLOOKUP($B70,[1]ბიუჯეტი!$B$59:$K$464,10,FALSE)</f>
        <v>0</v>
      </c>
      <c r="U70" s="53">
        <f t="shared" si="20"/>
        <v>4495.923305084747</v>
      </c>
    </row>
    <row r="71" spans="1:21" hidden="1" outlineLevel="1" x14ac:dyDescent="0.35">
      <c r="A71" s="29"/>
      <c r="B71" s="7" t="s">
        <v>285</v>
      </c>
      <c r="C71" s="8" t="s">
        <v>40</v>
      </c>
      <c r="D71" s="5">
        <f>3.6+1.8+3.6+1.8</f>
        <v>10.8</v>
      </c>
      <c r="E71" s="5"/>
      <c r="F71" s="5">
        <f t="shared" ref="F71:F73" si="27">D71*E71</f>
        <v>0</v>
      </c>
      <c r="G71" s="5">
        <f>30*1.275</f>
        <v>38.25</v>
      </c>
      <c r="H71" s="5">
        <f t="shared" ref="H71:H73" si="28">D71*G71</f>
        <v>413.1</v>
      </c>
      <c r="I71" s="5"/>
      <c r="J71" s="5"/>
      <c r="K71" s="5">
        <f t="shared" ref="K71:K73" si="29">F71+H71</f>
        <v>413.1</v>
      </c>
      <c r="L71" t="e">
        <f>VLOOKUP($B71,[1]ბიუჯეტი!$B$59:$K$464,3,FALSE)</f>
        <v>#N/A</v>
      </c>
      <c r="M71" s="53" t="e">
        <f t="shared" si="16"/>
        <v>#N/A</v>
      </c>
      <c r="N71" t="e">
        <f>VLOOKUP($B71,[1]ბიუჯეტი!$B$59:$K$464,4,FALSE)</f>
        <v>#N/A</v>
      </c>
      <c r="O71" s="53" t="e">
        <f t="shared" si="17"/>
        <v>#N/A</v>
      </c>
      <c r="P71" t="e">
        <f>VLOOKUP($B71,[1]ბიუჯეტი!$B$59:$K$464,6,FALSE)</f>
        <v>#N/A</v>
      </c>
      <c r="Q71" s="53" t="e">
        <f t="shared" si="18"/>
        <v>#N/A</v>
      </c>
      <c r="R71" t="e">
        <f>VLOOKUP($B71,[1]ბიუჯეტი!$B$59:$K$464,8,FALSE)</f>
        <v>#N/A</v>
      </c>
      <c r="S71" s="53" t="e">
        <f t="shared" si="19"/>
        <v>#N/A</v>
      </c>
      <c r="T71" t="e">
        <f>VLOOKUP($B71,[1]ბიუჯეტი!$B$59:$K$464,10,FALSE)</f>
        <v>#N/A</v>
      </c>
      <c r="U71" s="53" t="e">
        <f t="shared" si="20"/>
        <v>#N/A</v>
      </c>
    </row>
    <row r="72" spans="1:21" hidden="1" outlineLevel="1" x14ac:dyDescent="0.35">
      <c r="A72" s="29"/>
      <c r="B72" s="7" t="s">
        <v>286</v>
      </c>
      <c r="C72" s="8" t="s">
        <v>268</v>
      </c>
      <c r="D72" s="5">
        <f>D71*0.2*0.2</f>
        <v>0.43200000000000005</v>
      </c>
      <c r="E72" s="5">
        <f>220/1.18</f>
        <v>186.4406779661017</v>
      </c>
      <c r="F72" s="5">
        <f t="shared" si="27"/>
        <v>80.542372881355945</v>
      </c>
      <c r="G72" s="5"/>
      <c r="H72" s="5">
        <f t="shared" si="28"/>
        <v>0</v>
      </c>
      <c r="I72" s="5"/>
      <c r="J72" s="5"/>
      <c r="K72" s="5">
        <f t="shared" si="29"/>
        <v>80.542372881355945</v>
      </c>
      <c r="L72" t="e">
        <f>VLOOKUP($B72,[1]ბიუჯეტი!$B$59:$K$464,3,FALSE)</f>
        <v>#N/A</v>
      </c>
      <c r="M72" s="53" t="e">
        <f t="shared" si="16"/>
        <v>#N/A</v>
      </c>
      <c r="N72" t="e">
        <f>VLOOKUP($B72,[1]ბიუჯეტი!$B$59:$K$464,4,FALSE)</f>
        <v>#N/A</v>
      </c>
      <c r="O72" s="53" t="e">
        <f t="shared" si="17"/>
        <v>#N/A</v>
      </c>
      <c r="P72" t="e">
        <f>VLOOKUP($B72,[1]ბიუჯეტი!$B$59:$K$464,6,FALSE)</f>
        <v>#N/A</v>
      </c>
      <c r="Q72" s="53" t="e">
        <f t="shared" si="18"/>
        <v>#N/A</v>
      </c>
      <c r="R72" t="e">
        <f>VLOOKUP($B72,[1]ბიუჯეტი!$B$59:$K$464,8,FALSE)</f>
        <v>#N/A</v>
      </c>
      <c r="S72" s="53" t="e">
        <f t="shared" si="19"/>
        <v>#N/A</v>
      </c>
      <c r="T72" t="e">
        <f>VLOOKUP($B72,[1]ბიუჯეტი!$B$59:$K$464,10,FALSE)</f>
        <v>#N/A</v>
      </c>
      <c r="U72" s="53" t="e">
        <f t="shared" si="20"/>
        <v>#N/A</v>
      </c>
    </row>
    <row r="73" spans="1:21" hidden="1" outlineLevel="1" x14ac:dyDescent="0.35">
      <c r="A73" s="29"/>
      <c r="B73" s="7" t="s">
        <v>287</v>
      </c>
      <c r="C73" s="8" t="s">
        <v>288</v>
      </c>
      <c r="D73" s="5">
        <v>0.05</v>
      </c>
      <c r="E73" s="5">
        <f>2120/1.18</f>
        <v>1796.6101694915255</v>
      </c>
      <c r="F73" s="5">
        <f t="shared" si="27"/>
        <v>89.830508474576277</v>
      </c>
      <c r="G73" s="5"/>
      <c r="H73" s="5">
        <f t="shared" si="28"/>
        <v>0</v>
      </c>
      <c r="I73" s="5"/>
      <c r="J73" s="5"/>
      <c r="K73" s="5">
        <f t="shared" si="29"/>
        <v>89.830508474576277</v>
      </c>
      <c r="L73" t="e">
        <f>VLOOKUP($B73,[1]ბიუჯეტი!$B$59:$K$464,3,FALSE)</f>
        <v>#N/A</v>
      </c>
      <c r="M73" s="53" t="e">
        <f t="shared" si="16"/>
        <v>#N/A</v>
      </c>
      <c r="N73" t="e">
        <f>VLOOKUP($B73,[1]ბიუჯეტი!$B$59:$K$464,4,FALSE)</f>
        <v>#N/A</v>
      </c>
      <c r="O73" s="53" t="e">
        <f t="shared" si="17"/>
        <v>#N/A</v>
      </c>
      <c r="P73" t="e">
        <f>VLOOKUP($B73,[1]ბიუჯეტი!$B$59:$K$464,6,FALSE)</f>
        <v>#N/A</v>
      </c>
      <c r="Q73" s="53" t="e">
        <f t="shared" si="18"/>
        <v>#N/A</v>
      </c>
      <c r="R73" t="e">
        <f>VLOOKUP($B73,[1]ბიუჯეტი!$B$59:$K$464,8,FALSE)</f>
        <v>#N/A</v>
      </c>
      <c r="S73" s="53" t="e">
        <f t="shared" si="19"/>
        <v>#N/A</v>
      </c>
      <c r="T73" t="e">
        <f>VLOOKUP($B73,[1]ბიუჯეტი!$B$59:$K$464,10,FALSE)</f>
        <v>#N/A</v>
      </c>
      <c r="U73" s="53" t="e">
        <f t="shared" si="20"/>
        <v>#N/A</v>
      </c>
    </row>
    <row r="74" spans="1:21" hidden="1" outlineLevel="1" x14ac:dyDescent="0.35">
      <c r="A74" s="29"/>
      <c r="B74" s="7" t="s">
        <v>208</v>
      </c>
      <c r="C74" s="8" t="s">
        <v>207</v>
      </c>
      <c r="D74" s="5">
        <f>15.6+16.5+30</f>
        <v>62.1</v>
      </c>
      <c r="E74" s="5">
        <f>15/1.18</f>
        <v>12.711864406779661</v>
      </c>
      <c r="F74" s="5">
        <f t="shared" si="13"/>
        <v>789.40677966101691</v>
      </c>
      <c r="G74" s="5">
        <f>15*1.275</f>
        <v>19.125</v>
      </c>
      <c r="H74" s="5">
        <f t="shared" si="14"/>
        <v>1187.6625000000001</v>
      </c>
      <c r="I74" s="5"/>
      <c r="J74" s="5"/>
      <c r="K74" s="5">
        <f t="shared" si="15"/>
        <v>1977.0692796610169</v>
      </c>
      <c r="L74">
        <f>VLOOKUP($B74,[1]ბიუჯეტი!$B$59:$K$464,3,FALSE)</f>
        <v>0</v>
      </c>
      <c r="M74" s="53">
        <f t="shared" si="16"/>
        <v>62.1</v>
      </c>
      <c r="N74">
        <f>VLOOKUP($B74,[1]ბიუჯეტი!$B$59:$K$464,4,FALSE)</f>
        <v>31.0911491525424</v>
      </c>
      <c r="O74" s="53">
        <f t="shared" si="17"/>
        <v>-18.379284745762739</v>
      </c>
      <c r="P74">
        <f>VLOOKUP($B74,[1]ბიუჯეტი!$B$59:$K$464,6,FALSE)</f>
        <v>19.125</v>
      </c>
      <c r="Q74" s="53">
        <f t="shared" si="18"/>
        <v>0</v>
      </c>
      <c r="R74">
        <f>VLOOKUP($B74,[1]ბიუჯეტი!$B$59:$K$464,8,FALSE)</f>
        <v>0</v>
      </c>
      <c r="S74" s="53">
        <f t="shared" si="19"/>
        <v>0</v>
      </c>
      <c r="T74">
        <f>VLOOKUP($B74,[1]ბიუჯეტი!$B$59:$K$464,10,FALSE)</f>
        <v>0</v>
      </c>
      <c r="U74" s="53">
        <f t="shared" si="20"/>
        <v>1977.0692796610169</v>
      </c>
    </row>
    <row r="75" spans="1:21" hidden="1" outlineLevel="1" x14ac:dyDescent="0.35">
      <c r="A75" s="29"/>
      <c r="B75" s="7" t="s">
        <v>50</v>
      </c>
      <c r="C75" s="8" t="s">
        <v>9</v>
      </c>
      <c r="D75" s="5">
        <f>D69*0.03*1.05</f>
        <v>6.9485850000000005</v>
      </c>
      <c r="E75" s="5">
        <f>65/1.18</f>
        <v>55.084745762711869</v>
      </c>
      <c r="F75" s="5">
        <f t="shared" si="13"/>
        <v>382.76103813559325</v>
      </c>
      <c r="G75" s="5"/>
      <c r="H75" s="5">
        <f t="shared" si="14"/>
        <v>0</v>
      </c>
      <c r="I75" s="5"/>
      <c r="J75" s="5"/>
      <c r="K75" s="5">
        <f t="shared" si="15"/>
        <v>382.76103813559325</v>
      </c>
      <c r="L75">
        <f>VLOOKUP($B75,[1]ბიუჯეტი!$B$59:$K$464,3,FALSE)</f>
        <v>0</v>
      </c>
      <c r="M75" s="53">
        <f t="shared" si="16"/>
        <v>6.9485850000000005</v>
      </c>
      <c r="N75">
        <f>VLOOKUP($B75,[1]ბიუჯეტი!$B$59:$K$464,4,FALSE)</f>
        <v>55.084745762711869</v>
      </c>
      <c r="O75" s="53">
        <f t="shared" si="17"/>
        <v>0</v>
      </c>
      <c r="P75">
        <f>VLOOKUP($B75,[1]ბიუჯეტი!$B$59:$K$464,6,FALSE)</f>
        <v>0</v>
      </c>
      <c r="Q75" s="53">
        <f t="shared" si="18"/>
        <v>0</v>
      </c>
      <c r="R75">
        <f>VLOOKUP($B75,[1]ბიუჯეტი!$B$59:$K$464,8,FALSE)</f>
        <v>0</v>
      </c>
      <c r="S75" s="53">
        <f t="shared" si="19"/>
        <v>0</v>
      </c>
      <c r="T75">
        <f>VLOOKUP($B75,[1]ბიუჯეტი!$B$59:$K$464,10,FALSE)</f>
        <v>0</v>
      </c>
      <c r="U75" s="53">
        <f t="shared" si="20"/>
        <v>382.76103813559325</v>
      </c>
    </row>
    <row r="76" spans="1:21" hidden="1" outlineLevel="1" x14ac:dyDescent="0.35">
      <c r="A76" s="29"/>
      <c r="B76" s="7" t="s">
        <v>51</v>
      </c>
      <c r="C76" s="8" t="s">
        <v>12</v>
      </c>
      <c r="D76" s="5">
        <f>D75/4*1.05</f>
        <v>1.8240035625000002</v>
      </c>
      <c r="E76" s="5">
        <f>281.5/1.18</f>
        <v>238.55932203389833</v>
      </c>
      <c r="F76" s="5">
        <f t="shared" si="13"/>
        <v>435.13305325741533</v>
      </c>
      <c r="G76" s="5"/>
      <c r="H76" s="5">
        <f t="shared" si="14"/>
        <v>0</v>
      </c>
      <c r="I76" s="5"/>
      <c r="J76" s="5"/>
      <c r="K76" s="5">
        <f t="shared" si="15"/>
        <v>435.13305325741533</v>
      </c>
      <c r="L76">
        <f>VLOOKUP($B76,[1]ბიუჯეტი!$B$59:$K$464,3,FALSE)</f>
        <v>0</v>
      </c>
      <c r="M76" s="53">
        <f t="shared" si="16"/>
        <v>1.8240035625000002</v>
      </c>
      <c r="N76">
        <f>VLOOKUP($B76,[1]ბიუჯეტი!$B$59:$K$464,4,FALSE)</f>
        <v>238.55932203389833</v>
      </c>
      <c r="O76" s="53">
        <f t="shared" si="17"/>
        <v>0</v>
      </c>
      <c r="P76">
        <f>VLOOKUP($B76,[1]ბიუჯეტი!$B$59:$K$464,6,FALSE)</f>
        <v>0</v>
      </c>
      <c r="Q76" s="53">
        <f t="shared" si="18"/>
        <v>0</v>
      </c>
      <c r="R76">
        <f>VLOOKUP($B76,[1]ბიუჯეტი!$B$59:$K$464,8,FALSE)</f>
        <v>0</v>
      </c>
      <c r="S76" s="53">
        <f t="shared" si="19"/>
        <v>0</v>
      </c>
      <c r="T76">
        <f>VLOOKUP($B76,[1]ბიუჯეტი!$B$59:$K$464,10,FALSE)</f>
        <v>0</v>
      </c>
      <c r="U76" s="53">
        <f t="shared" si="20"/>
        <v>435.13305325741533</v>
      </c>
    </row>
    <row r="77" spans="1:21" hidden="1" outlineLevel="1" x14ac:dyDescent="0.35">
      <c r="A77" s="29"/>
      <c r="B77" s="7" t="s">
        <v>14</v>
      </c>
      <c r="C77" s="8" t="s">
        <v>10</v>
      </c>
      <c r="D77" s="5">
        <f>D69</f>
        <v>220.59</v>
      </c>
      <c r="E77" s="5">
        <f>1/1.18</f>
        <v>0.84745762711864414</v>
      </c>
      <c r="F77" s="5">
        <f t="shared" si="13"/>
        <v>186.9406779661017</v>
      </c>
      <c r="G77" s="5"/>
      <c r="H77" s="5">
        <f t="shared" si="14"/>
        <v>0</v>
      </c>
      <c r="I77" s="5"/>
      <c r="J77" s="5"/>
      <c r="K77" s="5">
        <f t="shared" si="15"/>
        <v>186.9406779661017</v>
      </c>
      <c r="L77">
        <f>VLOOKUP($B77,[1]ბიუჯეტი!$B$59:$K$464,3,FALSE)</f>
        <v>0</v>
      </c>
      <c r="M77" s="53">
        <f t="shared" si="16"/>
        <v>220.59</v>
      </c>
      <c r="N77">
        <f>VLOOKUP($B77,[1]ბიუჯეტი!$B$59:$K$464,4,FALSE)</f>
        <v>0.84745762711864414</v>
      </c>
      <c r="O77" s="53">
        <f t="shared" si="17"/>
        <v>0</v>
      </c>
      <c r="P77">
        <f>VLOOKUP($B77,[1]ბიუჯეტი!$B$59:$K$464,6,FALSE)</f>
        <v>0</v>
      </c>
      <c r="Q77" s="53">
        <f t="shared" si="18"/>
        <v>0</v>
      </c>
      <c r="R77">
        <f>VLOOKUP($B77,[1]ბიუჯეტი!$B$59:$K$464,8,FALSE)</f>
        <v>0</v>
      </c>
      <c r="S77" s="53">
        <f t="shared" si="19"/>
        <v>0</v>
      </c>
      <c r="T77">
        <f>VLOOKUP($B77,[1]ბიუჯეტი!$B$59:$K$464,10,FALSE)</f>
        <v>0</v>
      </c>
      <c r="U77" s="53">
        <f t="shared" si="20"/>
        <v>186.9406779661017</v>
      </c>
    </row>
    <row r="78" spans="1:21" hidden="1" outlineLevel="1" x14ac:dyDescent="0.35">
      <c r="A78" s="29">
        <v>3</v>
      </c>
      <c r="B78" s="30" t="s">
        <v>173</v>
      </c>
      <c r="C78" s="8" t="s">
        <v>10</v>
      </c>
      <c r="D78" s="5">
        <f>სამუშაო!I5+სამუშაო!I6+სამუშაო!I7</f>
        <v>1666.5323000000003</v>
      </c>
      <c r="E78" s="5"/>
      <c r="F78" s="5">
        <f t="shared" si="13"/>
        <v>0</v>
      </c>
      <c r="G78" s="5">
        <f>1.5*1.275*12.5</f>
        <v>23.90625</v>
      </c>
      <c r="H78" s="5">
        <f t="shared" si="14"/>
        <v>39840.537796875011</v>
      </c>
      <c r="I78" s="5"/>
      <c r="J78" s="5"/>
      <c r="K78" s="5">
        <f t="shared" si="15"/>
        <v>39840.537796875011</v>
      </c>
      <c r="L78">
        <f>VLOOKUP($B78,[1]ბიუჯეტი!$B$59:$K$464,3,FALSE)</f>
        <v>1639.7490000000003</v>
      </c>
      <c r="M78" s="53">
        <f t="shared" si="16"/>
        <v>26.783300000000054</v>
      </c>
      <c r="N78">
        <f>VLOOKUP($B78,[1]ბიუჯეტი!$B$59:$K$464,4,FALSE)</f>
        <v>0</v>
      </c>
      <c r="O78" s="53">
        <f t="shared" si="17"/>
        <v>0</v>
      </c>
      <c r="P78">
        <f>VLOOKUP($B78,[1]ბიუჯეტი!$B$59:$K$464,6,FALSE)</f>
        <v>23.90625</v>
      </c>
      <c r="Q78" s="53">
        <f t="shared" si="18"/>
        <v>0</v>
      </c>
      <c r="R78">
        <f>VLOOKUP($B78,[1]ბიუჯეტი!$B$59:$K$464,8,FALSE)</f>
        <v>0</v>
      </c>
      <c r="S78" s="53">
        <f t="shared" si="19"/>
        <v>0</v>
      </c>
      <c r="T78">
        <f>VLOOKUP($B78,[1]ბიუჯეტი!$B$59:$K$464,10,FALSE)</f>
        <v>39200.249531250003</v>
      </c>
      <c r="U78" s="53">
        <f t="shared" si="20"/>
        <v>640.28826562500763</v>
      </c>
    </row>
    <row r="79" spans="1:21" hidden="1" outlineLevel="1" x14ac:dyDescent="0.35">
      <c r="A79" s="29"/>
      <c r="B79" s="7" t="s">
        <v>48</v>
      </c>
      <c r="C79" s="8" t="s">
        <v>49</v>
      </c>
      <c r="D79" s="5">
        <f>D78*13</f>
        <v>21664.919900000004</v>
      </c>
      <c r="E79" s="5">
        <f>1.85/1.18</f>
        <v>1.5677966101694918</v>
      </c>
      <c r="F79" s="5">
        <f t="shared" si="13"/>
        <v>33966.18797881357</v>
      </c>
      <c r="G79" s="5"/>
      <c r="H79" s="5">
        <f t="shared" si="14"/>
        <v>0</v>
      </c>
      <c r="I79" s="5"/>
      <c r="J79" s="5"/>
      <c r="K79" s="5">
        <f t="shared" si="15"/>
        <v>33966.18797881357</v>
      </c>
      <c r="L79">
        <f>VLOOKUP($B79,[1]ბიუჯეტი!$B$59:$K$464,3,FALSE)</f>
        <v>0</v>
      </c>
      <c r="M79" s="53">
        <f t="shared" si="16"/>
        <v>21664.919900000004</v>
      </c>
      <c r="N79">
        <f>VLOOKUP($B79,[1]ბიუჯეტი!$B$59:$K$464,4,FALSE)</f>
        <v>1.5677966101694918</v>
      </c>
      <c r="O79" s="53">
        <f t="shared" si="17"/>
        <v>0</v>
      </c>
      <c r="P79">
        <f>VLOOKUP($B79,[1]ბიუჯეტი!$B$59:$K$464,6,FALSE)</f>
        <v>0</v>
      </c>
      <c r="Q79" s="53">
        <f t="shared" si="18"/>
        <v>0</v>
      </c>
      <c r="R79">
        <f>VLOOKUP($B79,[1]ბიუჯეტი!$B$59:$K$464,8,FALSE)</f>
        <v>0</v>
      </c>
      <c r="S79" s="53">
        <f t="shared" si="19"/>
        <v>0</v>
      </c>
      <c r="T79">
        <f>VLOOKUP($B79,[1]ბიუჯეტი!$B$59:$K$464,10,FALSE)</f>
        <v>0</v>
      </c>
      <c r="U79" s="53">
        <f t="shared" si="20"/>
        <v>33966.18797881357</v>
      </c>
    </row>
    <row r="80" spans="1:21" hidden="1" outlineLevel="1" x14ac:dyDescent="0.35">
      <c r="A80" s="29"/>
      <c r="B80" s="7" t="s">
        <v>285</v>
      </c>
      <c r="C80" s="8" t="s">
        <v>40</v>
      </c>
      <c r="D80" s="5">
        <f>(3.6+1.8+3.6+1.8)*2</f>
        <v>21.6</v>
      </c>
      <c r="E80" s="5"/>
      <c r="F80" s="5">
        <f t="shared" si="13"/>
        <v>0</v>
      </c>
      <c r="G80" s="5">
        <f>30*1.275</f>
        <v>38.25</v>
      </c>
      <c r="H80" s="5">
        <f t="shared" si="14"/>
        <v>826.2</v>
      </c>
      <c r="I80" s="5"/>
      <c r="J80" s="5"/>
      <c r="K80" s="5">
        <f t="shared" si="15"/>
        <v>826.2</v>
      </c>
      <c r="L80" t="e">
        <f>VLOOKUP($B80,[1]ბიუჯეტი!$B$59:$K$464,3,FALSE)</f>
        <v>#N/A</v>
      </c>
      <c r="M80" s="53" t="e">
        <f t="shared" si="16"/>
        <v>#N/A</v>
      </c>
      <c r="N80" t="e">
        <f>VLOOKUP($B80,[1]ბიუჯეტი!$B$59:$K$464,4,FALSE)</f>
        <v>#N/A</v>
      </c>
      <c r="O80" s="53" t="e">
        <f t="shared" si="17"/>
        <v>#N/A</v>
      </c>
      <c r="P80" t="e">
        <f>VLOOKUP($B80,[1]ბიუჯეტი!$B$59:$K$464,6,FALSE)</f>
        <v>#N/A</v>
      </c>
      <c r="Q80" s="53" t="e">
        <f t="shared" si="18"/>
        <v>#N/A</v>
      </c>
      <c r="R80" t="e">
        <f>VLOOKUP($B80,[1]ბიუჯეტი!$B$59:$K$464,8,FALSE)</f>
        <v>#N/A</v>
      </c>
      <c r="S80" s="53" t="e">
        <f t="shared" si="19"/>
        <v>#N/A</v>
      </c>
      <c r="T80" t="e">
        <f>VLOOKUP($B80,[1]ბიუჯეტი!$B$59:$K$464,10,FALSE)</f>
        <v>#N/A</v>
      </c>
      <c r="U80" s="53" t="e">
        <f t="shared" si="20"/>
        <v>#N/A</v>
      </c>
    </row>
    <row r="81" spans="1:21" hidden="1" outlineLevel="1" x14ac:dyDescent="0.35">
      <c r="A81" s="29"/>
      <c r="B81" s="7" t="s">
        <v>286</v>
      </c>
      <c r="C81" s="8" t="s">
        <v>268</v>
      </c>
      <c r="D81" s="5">
        <f>D80*0.2*0.2</f>
        <v>0.8640000000000001</v>
      </c>
      <c r="E81" s="5">
        <f>220/1.18</f>
        <v>186.4406779661017</v>
      </c>
      <c r="F81" s="5">
        <f t="shared" si="13"/>
        <v>161.08474576271189</v>
      </c>
      <c r="G81" s="5"/>
      <c r="H81" s="5">
        <f t="shared" si="14"/>
        <v>0</v>
      </c>
      <c r="I81" s="5"/>
      <c r="J81" s="5"/>
      <c r="K81" s="5">
        <f t="shared" si="15"/>
        <v>161.08474576271189</v>
      </c>
      <c r="L81" t="e">
        <f>VLOOKUP($B81,[1]ბიუჯეტი!$B$59:$K$464,3,FALSE)</f>
        <v>#N/A</v>
      </c>
      <c r="M81" s="53" t="e">
        <f t="shared" si="16"/>
        <v>#N/A</v>
      </c>
      <c r="N81" t="e">
        <f>VLOOKUP($B81,[1]ბიუჯეტი!$B$59:$K$464,4,FALSE)</f>
        <v>#N/A</v>
      </c>
      <c r="O81" s="53" t="e">
        <f t="shared" si="17"/>
        <v>#N/A</v>
      </c>
      <c r="P81" t="e">
        <f>VLOOKUP($B81,[1]ბიუჯეტი!$B$59:$K$464,6,FALSE)</f>
        <v>#N/A</v>
      </c>
      <c r="Q81" s="53" t="e">
        <f t="shared" si="18"/>
        <v>#N/A</v>
      </c>
      <c r="R81" t="e">
        <f>VLOOKUP($B81,[1]ბიუჯეტი!$B$59:$K$464,8,FALSE)</f>
        <v>#N/A</v>
      </c>
      <c r="S81" s="53" t="e">
        <f t="shared" si="19"/>
        <v>#N/A</v>
      </c>
      <c r="T81" t="e">
        <f>VLOOKUP($B81,[1]ბიუჯეტი!$B$59:$K$464,10,FALSE)</f>
        <v>#N/A</v>
      </c>
      <c r="U81" s="53" t="e">
        <f t="shared" si="20"/>
        <v>#N/A</v>
      </c>
    </row>
    <row r="82" spans="1:21" hidden="1" outlineLevel="1" x14ac:dyDescent="0.35">
      <c r="A82" s="29"/>
      <c r="B82" s="7" t="s">
        <v>287</v>
      </c>
      <c r="C82" s="8" t="s">
        <v>288</v>
      </c>
      <c r="D82" s="5">
        <v>0.09</v>
      </c>
      <c r="E82" s="5">
        <f>2120/1.18</f>
        <v>1796.6101694915255</v>
      </c>
      <c r="F82" s="5">
        <f t="shared" si="13"/>
        <v>161.69491525423729</v>
      </c>
      <c r="G82" s="5"/>
      <c r="H82" s="5">
        <f t="shared" si="14"/>
        <v>0</v>
      </c>
      <c r="I82" s="5"/>
      <c r="J82" s="5"/>
      <c r="K82" s="5">
        <f t="shared" si="15"/>
        <v>161.69491525423729</v>
      </c>
      <c r="L82" t="e">
        <f>VLOOKUP($B82,[1]ბიუჯეტი!$B$59:$K$464,3,FALSE)</f>
        <v>#N/A</v>
      </c>
      <c r="M82" s="53" t="e">
        <f t="shared" si="16"/>
        <v>#N/A</v>
      </c>
      <c r="N82" t="e">
        <f>VLOOKUP($B82,[1]ბიუჯეტი!$B$59:$K$464,4,FALSE)</f>
        <v>#N/A</v>
      </c>
      <c r="O82" s="53" t="e">
        <f t="shared" si="17"/>
        <v>#N/A</v>
      </c>
      <c r="P82" t="e">
        <f>VLOOKUP($B82,[1]ბიუჯეტი!$B$59:$K$464,6,FALSE)</f>
        <v>#N/A</v>
      </c>
      <c r="Q82" s="53" t="e">
        <f t="shared" si="18"/>
        <v>#N/A</v>
      </c>
      <c r="R82" t="e">
        <f>VLOOKUP($B82,[1]ბიუჯეტი!$B$59:$K$464,8,FALSE)</f>
        <v>#N/A</v>
      </c>
      <c r="S82" s="53" t="e">
        <f t="shared" si="19"/>
        <v>#N/A</v>
      </c>
      <c r="T82" t="e">
        <f>VLOOKUP($B82,[1]ბიუჯეტი!$B$59:$K$464,10,FALSE)</f>
        <v>#N/A</v>
      </c>
      <c r="U82" s="53" t="e">
        <f t="shared" si="20"/>
        <v>#N/A</v>
      </c>
    </row>
    <row r="83" spans="1:21" hidden="1" outlineLevel="1" x14ac:dyDescent="0.35">
      <c r="A83" s="29"/>
      <c r="B83" s="7" t="s">
        <v>208</v>
      </c>
      <c r="C83" s="8" t="s">
        <v>207</v>
      </c>
      <c r="D83" s="5">
        <f>(48+18)*1.2</f>
        <v>79.2</v>
      </c>
      <c r="E83" s="5">
        <f>15/1.18</f>
        <v>12.711864406779661</v>
      </c>
      <c r="F83" s="5">
        <f t="shared" si="13"/>
        <v>1006.7796610169491</v>
      </c>
      <c r="G83" s="5">
        <f>15*1.275</f>
        <v>19.125</v>
      </c>
      <c r="H83" s="5">
        <f t="shared" si="14"/>
        <v>1514.7</v>
      </c>
      <c r="I83" s="5"/>
      <c r="J83" s="5"/>
      <c r="K83" s="5">
        <f t="shared" si="15"/>
        <v>2521.4796610169492</v>
      </c>
      <c r="L83">
        <f>VLOOKUP($B83,[1]ბიუჯეტი!$B$59:$K$464,3,FALSE)</f>
        <v>0</v>
      </c>
      <c r="M83" s="53">
        <f t="shared" si="16"/>
        <v>79.2</v>
      </c>
      <c r="N83">
        <f>VLOOKUP($B83,[1]ბიუჯეტი!$B$59:$K$464,4,FALSE)</f>
        <v>31.0911491525424</v>
      </c>
      <c r="O83" s="53">
        <f t="shared" si="17"/>
        <v>-18.379284745762739</v>
      </c>
      <c r="P83">
        <f>VLOOKUP($B83,[1]ბიუჯეტი!$B$59:$K$464,6,FALSE)</f>
        <v>19.125</v>
      </c>
      <c r="Q83" s="53">
        <f t="shared" si="18"/>
        <v>0</v>
      </c>
      <c r="R83">
        <f>VLOOKUP($B83,[1]ბიუჯეტი!$B$59:$K$464,8,FALSE)</f>
        <v>0</v>
      </c>
      <c r="S83" s="53">
        <f t="shared" si="19"/>
        <v>0</v>
      </c>
      <c r="T83">
        <f>VLOOKUP($B83,[1]ბიუჯეტი!$B$59:$K$464,10,FALSE)</f>
        <v>0</v>
      </c>
      <c r="U83" s="53">
        <f t="shared" si="20"/>
        <v>2521.4796610169492</v>
      </c>
    </row>
    <row r="84" spans="1:21" hidden="1" outlineLevel="1" x14ac:dyDescent="0.35">
      <c r="A84" s="29"/>
      <c r="B84" s="7" t="s">
        <v>304</v>
      </c>
      <c r="C84" s="8" t="s">
        <v>207</v>
      </c>
      <c r="D84" s="5">
        <v>36</v>
      </c>
      <c r="E84" s="5">
        <f>11.5/1.18</f>
        <v>9.7457627118644066</v>
      </c>
      <c r="F84" s="5">
        <f t="shared" ref="F84" si="30">D84*E84</f>
        <v>350.84745762711862</v>
      </c>
      <c r="G84" s="5">
        <f>180*1.275</f>
        <v>229.49999999999997</v>
      </c>
      <c r="H84" s="5">
        <f t="shared" ref="H84" si="31">D84*G84</f>
        <v>8261.9999999999982</v>
      </c>
      <c r="I84" s="5"/>
      <c r="J84" s="5"/>
      <c r="K84" s="5">
        <f t="shared" ref="K84" si="32">F84+H84</f>
        <v>8612.8474576271165</v>
      </c>
      <c r="L84" t="e">
        <f>VLOOKUP($B84,[1]ბიუჯეტი!$B$59:$K$464,3,FALSE)</f>
        <v>#N/A</v>
      </c>
      <c r="M84" s="53" t="e">
        <f t="shared" si="16"/>
        <v>#N/A</v>
      </c>
      <c r="N84" t="e">
        <f>VLOOKUP($B84,[1]ბიუჯეტი!$B$59:$K$464,4,FALSE)</f>
        <v>#N/A</v>
      </c>
      <c r="O84" s="53" t="e">
        <f t="shared" si="17"/>
        <v>#N/A</v>
      </c>
      <c r="P84" t="e">
        <f>VLOOKUP($B84,[1]ბიუჯეტი!$B$59:$K$464,6,FALSE)</f>
        <v>#N/A</v>
      </c>
      <c r="Q84" s="53" t="e">
        <f t="shared" si="18"/>
        <v>#N/A</v>
      </c>
      <c r="R84" t="e">
        <f>VLOOKUP($B84,[1]ბიუჯეტი!$B$59:$K$464,8,FALSE)</f>
        <v>#N/A</v>
      </c>
      <c r="S84" s="53" t="e">
        <f t="shared" si="19"/>
        <v>#N/A</v>
      </c>
      <c r="T84" t="e">
        <f>VLOOKUP($B84,[1]ბიუჯეტი!$B$59:$K$464,10,FALSE)</f>
        <v>#N/A</v>
      </c>
      <c r="U84" s="53" t="e">
        <f t="shared" si="20"/>
        <v>#N/A</v>
      </c>
    </row>
    <row r="85" spans="1:21" hidden="1" outlineLevel="1" x14ac:dyDescent="0.35">
      <c r="A85" s="29"/>
      <c r="B85" s="7" t="s">
        <v>50</v>
      </c>
      <c r="C85" s="8" t="s">
        <v>9</v>
      </c>
      <c r="D85" s="5">
        <f>D78*0.03*1.05</f>
        <v>52.49576745000001</v>
      </c>
      <c r="E85" s="5">
        <f>65/1.18</f>
        <v>55.084745762711869</v>
      </c>
      <c r="F85" s="5">
        <f t="shared" si="13"/>
        <v>2891.7160036016958</v>
      </c>
      <c r="G85" s="5"/>
      <c r="H85" s="5">
        <f t="shared" si="14"/>
        <v>0</v>
      </c>
      <c r="I85" s="5"/>
      <c r="J85" s="5"/>
      <c r="K85" s="5">
        <f t="shared" si="15"/>
        <v>2891.7160036016958</v>
      </c>
      <c r="L85">
        <f>VLOOKUP($B85,[1]ბიუჯეტი!$B$59:$K$464,3,FALSE)</f>
        <v>0</v>
      </c>
      <c r="M85" s="53">
        <f t="shared" si="16"/>
        <v>52.49576745000001</v>
      </c>
      <c r="N85">
        <f>VLOOKUP($B85,[1]ბიუჯეტი!$B$59:$K$464,4,FALSE)</f>
        <v>55.084745762711869</v>
      </c>
      <c r="O85" s="53">
        <f t="shared" si="17"/>
        <v>0</v>
      </c>
      <c r="P85">
        <f>VLOOKUP($B85,[1]ბიუჯეტი!$B$59:$K$464,6,FALSE)</f>
        <v>0</v>
      </c>
      <c r="Q85" s="53">
        <f t="shared" si="18"/>
        <v>0</v>
      </c>
      <c r="R85">
        <f>VLOOKUP($B85,[1]ბიუჯეტი!$B$59:$K$464,8,FALSE)</f>
        <v>0</v>
      </c>
      <c r="S85" s="53">
        <f t="shared" si="19"/>
        <v>0</v>
      </c>
      <c r="T85">
        <f>VLOOKUP($B85,[1]ბიუჯეტი!$B$59:$K$464,10,FALSE)</f>
        <v>0</v>
      </c>
      <c r="U85" s="53">
        <f t="shared" si="20"/>
        <v>2891.7160036016958</v>
      </c>
    </row>
    <row r="86" spans="1:21" hidden="1" outlineLevel="1" x14ac:dyDescent="0.35">
      <c r="A86" s="29"/>
      <c r="B86" s="7" t="s">
        <v>51</v>
      </c>
      <c r="C86" s="8" t="s">
        <v>12</v>
      </c>
      <c r="D86" s="5">
        <f>D85/4*1.05</f>
        <v>13.780138955625002</v>
      </c>
      <c r="E86" s="5">
        <f>281.5/1.18</f>
        <v>238.55932203389833</v>
      </c>
      <c r="F86" s="5">
        <f t="shared" si="13"/>
        <v>3287.3806067868122</v>
      </c>
      <c r="G86" s="5"/>
      <c r="H86" s="5">
        <f t="shared" si="14"/>
        <v>0</v>
      </c>
      <c r="I86" s="5"/>
      <c r="J86" s="5"/>
      <c r="K86" s="5">
        <f t="shared" si="15"/>
        <v>3287.3806067868122</v>
      </c>
      <c r="L86">
        <f>VLOOKUP($B86,[1]ბიუჯეტი!$B$59:$K$464,3,FALSE)</f>
        <v>0</v>
      </c>
      <c r="M86" s="53">
        <f t="shared" si="16"/>
        <v>13.780138955625002</v>
      </c>
      <c r="N86">
        <f>VLOOKUP($B86,[1]ბიუჯეტი!$B$59:$K$464,4,FALSE)</f>
        <v>238.55932203389833</v>
      </c>
      <c r="O86" s="53">
        <f t="shared" si="17"/>
        <v>0</v>
      </c>
      <c r="P86">
        <f>VLOOKUP($B86,[1]ბიუჯეტი!$B$59:$K$464,6,FALSE)</f>
        <v>0</v>
      </c>
      <c r="Q86" s="53">
        <f t="shared" si="18"/>
        <v>0</v>
      </c>
      <c r="R86">
        <f>VLOOKUP($B86,[1]ბიუჯეტი!$B$59:$K$464,8,FALSE)</f>
        <v>0</v>
      </c>
      <c r="S86" s="53">
        <f t="shared" si="19"/>
        <v>0</v>
      </c>
      <c r="T86">
        <f>VLOOKUP($B86,[1]ბიუჯეტი!$B$59:$K$464,10,FALSE)</f>
        <v>0</v>
      </c>
      <c r="U86" s="53">
        <f t="shared" si="20"/>
        <v>3287.3806067868122</v>
      </c>
    </row>
    <row r="87" spans="1:21" hidden="1" outlineLevel="1" x14ac:dyDescent="0.35">
      <c r="A87" s="29"/>
      <c r="B87" s="7" t="s">
        <v>14</v>
      </c>
      <c r="C87" s="8" t="s">
        <v>10</v>
      </c>
      <c r="D87" s="5">
        <f>D78</f>
        <v>1666.5323000000003</v>
      </c>
      <c r="E87" s="5">
        <f>1/1.18</f>
        <v>0.84745762711864414</v>
      </c>
      <c r="F87" s="5">
        <f t="shared" si="13"/>
        <v>1412.3155084745767</v>
      </c>
      <c r="G87" s="5"/>
      <c r="H87" s="5">
        <f t="shared" si="14"/>
        <v>0</v>
      </c>
      <c r="I87" s="5"/>
      <c r="J87" s="5"/>
      <c r="K87" s="5">
        <f t="shared" si="15"/>
        <v>1412.3155084745767</v>
      </c>
      <c r="L87">
        <f>VLOOKUP($B87,[1]ბიუჯეტი!$B$59:$K$464,3,FALSE)</f>
        <v>0</v>
      </c>
      <c r="M87" s="53">
        <f t="shared" si="16"/>
        <v>1666.5323000000003</v>
      </c>
      <c r="N87">
        <f>VLOOKUP($B87,[1]ბიუჯეტი!$B$59:$K$464,4,FALSE)</f>
        <v>0.84745762711864414</v>
      </c>
      <c r="O87" s="53">
        <f t="shared" si="17"/>
        <v>0</v>
      </c>
      <c r="P87">
        <f>VLOOKUP($B87,[1]ბიუჯეტი!$B$59:$K$464,6,FALSE)</f>
        <v>0</v>
      </c>
      <c r="Q87" s="53">
        <f t="shared" si="18"/>
        <v>0</v>
      </c>
      <c r="R87">
        <f>VLOOKUP($B87,[1]ბიუჯეტი!$B$59:$K$464,8,FALSE)</f>
        <v>0</v>
      </c>
      <c r="S87" s="53">
        <f t="shared" si="19"/>
        <v>0</v>
      </c>
      <c r="T87">
        <f>VLOOKUP($B87,[1]ბიუჯეტი!$B$59:$K$464,10,FALSE)</f>
        <v>0</v>
      </c>
      <c r="U87" s="53">
        <f t="shared" si="20"/>
        <v>1412.3155084745767</v>
      </c>
    </row>
    <row r="88" spans="1:21" collapsed="1" x14ac:dyDescent="0.35">
      <c r="A88" s="29">
        <v>2</v>
      </c>
      <c r="B88" s="30" t="s">
        <v>291</v>
      </c>
      <c r="C88" s="8" t="s">
        <v>10</v>
      </c>
      <c r="D88" s="5">
        <f>SUM(D89,D90,D91)</f>
        <v>424.09999999999997</v>
      </c>
      <c r="E88" s="5">
        <f>SUM(F89:F91)/D88</f>
        <v>0</v>
      </c>
      <c r="F88" s="5">
        <f t="shared" si="13"/>
        <v>0</v>
      </c>
      <c r="G88" s="5">
        <f>SUM(H89:H91)/D88</f>
        <v>0</v>
      </c>
      <c r="H88" s="5">
        <f>G88*D88</f>
        <v>0</v>
      </c>
      <c r="I88" s="5">
        <f>SUM(J89:J91)/D88</f>
        <v>382.15575659722089</v>
      </c>
      <c r="J88" s="5">
        <f>I88*D88</f>
        <v>162072.25637288135</v>
      </c>
      <c r="K88" s="5">
        <f>F88+H88+J88</f>
        <v>162072.25637288135</v>
      </c>
      <c r="L88">
        <v>407.82</v>
      </c>
      <c r="M88" s="53">
        <f t="shared" si="16"/>
        <v>16.279999999999973</v>
      </c>
      <c r="N88">
        <v>0</v>
      </c>
      <c r="O88" s="53">
        <f t="shared" si="17"/>
        <v>0</v>
      </c>
      <c r="P88" t="e">
        <f>VLOOKUP($B88,[1]ბიუჯეტი!$B$59:$K$464,6,FALSE)</f>
        <v>#N/A</v>
      </c>
      <c r="Q88" s="53" t="e">
        <f t="shared" si="18"/>
        <v>#N/A</v>
      </c>
      <c r="R88">
        <v>382.16</v>
      </c>
      <c r="S88" s="53">
        <f>R88-295.32</f>
        <v>86.840000000000032</v>
      </c>
      <c r="T88">
        <v>162072.26</v>
      </c>
      <c r="U88" s="53">
        <f>T88-120438.72</f>
        <v>41633.540000000008</v>
      </c>
    </row>
    <row r="89" spans="1:21" hidden="1" outlineLevel="1" x14ac:dyDescent="0.35">
      <c r="A89" s="54">
        <v>1</v>
      </c>
      <c r="B89" s="7" t="s">
        <v>175</v>
      </c>
      <c r="C89" s="8" t="s">
        <v>10</v>
      </c>
      <c r="D89" s="5">
        <v>0</v>
      </c>
      <c r="E89" s="5"/>
      <c r="F89" s="5">
        <f t="shared" si="13"/>
        <v>0</v>
      </c>
      <c r="G89" s="5"/>
      <c r="H89" s="5">
        <f>D89*G89</f>
        <v>0</v>
      </c>
      <c r="I89" s="5">
        <f>130*ფართები!$E$3/1.18</f>
        <v>295.32033898305087</v>
      </c>
      <c r="J89" s="5">
        <f>I89*D89</f>
        <v>0</v>
      </c>
      <c r="K89" s="5">
        <f>F89+H89+J89</f>
        <v>0</v>
      </c>
      <c r="L89">
        <f>VLOOKUP($B89,[1]ბიუჯეტი!$B$59:$K$464,3,FALSE)</f>
        <v>0</v>
      </c>
      <c r="M89" s="53">
        <f t="shared" si="16"/>
        <v>0</v>
      </c>
      <c r="N89">
        <f>VLOOKUP($B89,[1]ბიუჯეტი!$B$59:$K$464,4,FALSE)</f>
        <v>0</v>
      </c>
      <c r="O89" s="53">
        <f t="shared" si="17"/>
        <v>0</v>
      </c>
      <c r="P89">
        <f>VLOOKUP($B89,[1]ბიუჯეტი!$B$59:$K$464,6,FALSE)</f>
        <v>0</v>
      </c>
      <c r="Q89" s="53">
        <f t="shared" si="18"/>
        <v>0</v>
      </c>
      <c r="R89">
        <f>VLOOKUP($B89,[1]ბიუჯეტი!$B$59:$K$464,8,FALSE)</f>
        <v>295.32033898305087</v>
      </c>
      <c r="S89" s="53">
        <f t="shared" si="19"/>
        <v>0</v>
      </c>
      <c r="T89">
        <f>VLOOKUP($B89,[1]ბიუჯეტი!$B$59:$K$464,10,FALSE)</f>
        <v>0</v>
      </c>
      <c r="U89" s="53">
        <f t="shared" si="20"/>
        <v>0</v>
      </c>
    </row>
    <row r="90" spans="1:21" hidden="1" outlineLevel="1" x14ac:dyDescent="0.35">
      <c r="A90" s="54">
        <v>2</v>
      </c>
      <c r="B90" s="7" t="s">
        <v>290</v>
      </c>
      <c r="C90" s="8" t="s">
        <v>10</v>
      </c>
      <c r="D90" s="5">
        <f>(2+4.1+2.8+2.8+3.2+3.2+2.8+2.8+6.1)*3.4</f>
        <v>101.32</v>
      </c>
      <c r="E90" s="5"/>
      <c r="F90" s="5">
        <f t="shared" si="13"/>
        <v>0</v>
      </c>
      <c r="G90" s="5"/>
      <c r="H90" s="5">
        <f>D90*G90</f>
        <v>0</v>
      </c>
      <c r="I90" s="5">
        <f>290*ფართები!$E$3/1.18</f>
        <v>658.7915254237289</v>
      </c>
      <c r="J90" s="5">
        <f>I90*D90</f>
        <v>66748.757355932205</v>
      </c>
      <c r="K90" s="5">
        <f>F90+H90+J90</f>
        <v>66748.757355932205</v>
      </c>
      <c r="L90" t="e">
        <f>VLOOKUP($B90,[1]ბიუჯეტი!$B$59:$K$464,3,FALSE)</f>
        <v>#N/A</v>
      </c>
      <c r="M90" s="53" t="e">
        <f t="shared" si="16"/>
        <v>#N/A</v>
      </c>
      <c r="N90" t="e">
        <f>VLOOKUP($B90,[1]ბიუჯეტი!$B$59:$K$464,4,FALSE)</f>
        <v>#N/A</v>
      </c>
      <c r="O90" s="53" t="e">
        <f t="shared" si="17"/>
        <v>#N/A</v>
      </c>
      <c r="P90" t="e">
        <f>VLOOKUP($B90,[1]ბიუჯეტი!$B$59:$K$464,6,FALSE)</f>
        <v>#N/A</v>
      </c>
      <c r="Q90" s="53" t="e">
        <f t="shared" si="18"/>
        <v>#N/A</v>
      </c>
      <c r="R90" t="e">
        <f>VLOOKUP($B90,[1]ბიუჯეტი!$B$59:$K$464,8,FALSE)</f>
        <v>#N/A</v>
      </c>
      <c r="S90" s="53" t="e">
        <f t="shared" si="19"/>
        <v>#N/A</v>
      </c>
      <c r="T90" t="e">
        <f>VLOOKUP($B90,[1]ბიუჯეტი!$B$59:$K$464,10,FALSE)</f>
        <v>#N/A</v>
      </c>
      <c r="U90" s="53" t="e">
        <f t="shared" si="20"/>
        <v>#N/A</v>
      </c>
    </row>
    <row r="91" spans="1:21" hidden="1" outlineLevel="1" x14ac:dyDescent="0.35">
      <c r="A91" s="54">
        <v>3</v>
      </c>
      <c r="B91" s="7" t="s">
        <v>174</v>
      </c>
      <c r="C91" s="8" t="s">
        <v>10</v>
      </c>
      <c r="D91" s="5">
        <f>სამუშაო!I14+სამუშაო!I15+სამუშაო!I16</f>
        <v>322.77999999999997</v>
      </c>
      <c r="E91" s="5"/>
      <c r="F91" s="5">
        <f t="shared" si="13"/>
        <v>0</v>
      </c>
      <c r="G91" s="5"/>
      <c r="H91" s="5">
        <f>D91*G91</f>
        <v>0</v>
      </c>
      <c r="I91" s="5">
        <f>130*ფართები!$E$3/1.18</f>
        <v>295.32033898305087</v>
      </c>
      <c r="J91" s="5">
        <f t="shared" ref="J91" si="33">I91*D91</f>
        <v>95323.49901694915</v>
      </c>
      <c r="K91" s="5">
        <f>F91+H91+J91</f>
        <v>95323.49901694915</v>
      </c>
      <c r="L91">
        <f>VLOOKUP($B91,[1]ბიუჯეტი!$B$59:$K$464,3,FALSE)</f>
        <v>300</v>
      </c>
      <c r="M91" s="53">
        <f t="shared" si="16"/>
        <v>22.779999999999973</v>
      </c>
      <c r="N91">
        <f>VLOOKUP($B91,[1]ბიუჯეტი!$B$59:$K$464,4,FALSE)</f>
        <v>0</v>
      </c>
      <c r="O91" s="53">
        <f t="shared" si="17"/>
        <v>0</v>
      </c>
      <c r="P91">
        <f>VLOOKUP($B91,[1]ბიუჯეტი!$B$59:$K$464,6,FALSE)</f>
        <v>0</v>
      </c>
      <c r="Q91" s="53">
        <f t="shared" si="18"/>
        <v>0</v>
      </c>
      <c r="R91">
        <f>VLOOKUP($B91,[1]ბიუჯეტი!$B$59:$K$464,8,FALSE)</f>
        <v>295.32033898305087</v>
      </c>
      <c r="S91" s="53">
        <f t="shared" si="19"/>
        <v>0</v>
      </c>
      <c r="T91">
        <f>VLOOKUP($B91,[1]ბიუჯეტი!$B$59:$K$464,10,FALSE)</f>
        <v>88596.101694915269</v>
      </c>
      <c r="U91" s="53">
        <f t="shared" si="20"/>
        <v>6727.3973220338812</v>
      </c>
    </row>
    <row r="92" spans="1:21" collapsed="1" x14ac:dyDescent="0.35">
      <c r="A92" s="29">
        <v>3</v>
      </c>
      <c r="B92" s="30" t="s">
        <v>53</v>
      </c>
      <c r="C92" s="8" t="s">
        <v>10</v>
      </c>
      <c r="D92" s="5">
        <f>D99+D105+D111+D93</f>
        <v>740.72500000000036</v>
      </c>
      <c r="E92" s="5">
        <f>SUM(F93:F115)/D92</f>
        <v>49.938275754425064</v>
      </c>
      <c r="F92" s="5">
        <f t="shared" si="13"/>
        <v>36990.529308196521</v>
      </c>
      <c r="G92" s="5">
        <f>SUM(H93:H115)/D92</f>
        <v>83.922488946640101</v>
      </c>
      <c r="H92" s="5">
        <f>G92*D92</f>
        <v>62163.485625000016</v>
      </c>
      <c r="I92" s="5">
        <v>0</v>
      </c>
      <c r="J92" s="5">
        <v>0</v>
      </c>
      <c r="K92" s="5">
        <f>F92+H92+J92</f>
        <v>99154.014933196537</v>
      </c>
      <c r="L92">
        <f>VLOOKUP($B92,[1]ბიუჯეტი!$B$59:$K$464,3,FALSE)</f>
        <v>1290.5161999999998</v>
      </c>
      <c r="M92" s="53">
        <f t="shared" si="16"/>
        <v>-549.79119999999944</v>
      </c>
      <c r="N92">
        <f>VLOOKUP($B92,[1]ბიუჯეტი!$B$59:$K$464,4,FALSE)</f>
        <v>49.815454546124414</v>
      </c>
      <c r="O92" s="53">
        <f t="shared" si="17"/>
        <v>0.12282120830064969</v>
      </c>
      <c r="P92">
        <f>VLOOKUP($B92,[1]ბიუჯეტი!$B$59:$K$464,6,FALSE)</f>
        <v>84.736316184949871</v>
      </c>
      <c r="Q92" s="53">
        <f t="shared" si="18"/>
        <v>-0.81382723830977</v>
      </c>
      <c r="R92">
        <f>VLOOKUP($B92,[1]ბიუჯეტი!$B$59:$K$464,8,FALSE)</f>
        <v>0</v>
      </c>
      <c r="S92" s="53">
        <f t="shared" si="19"/>
        <v>0</v>
      </c>
      <c r="T92">
        <f>VLOOKUP($B92,[1]ბიუჯეტი!$B$59:$K$464,10,FALSE)</f>
        <v>173641.23986713719</v>
      </c>
      <c r="U92" s="53">
        <f t="shared" si="20"/>
        <v>-74487.224933940655</v>
      </c>
    </row>
    <row r="93" spans="1:21" hidden="1" outlineLevel="1" x14ac:dyDescent="0.35">
      <c r="A93" s="29">
        <v>1</v>
      </c>
      <c r="B93" s="30" t="s">
        <v>201</v>
      </c>
      <c r="C93" s="8" t="s">
        <v>10</v>
      </c>
      <c r="D93" s="5">
        <f>სამუშაო!I22</f>
        <v>0</v>
      </c>
      <c r="E93" s="5"/>
      <c r="F93" s="5">
        <f t="shared" si="13"/>
        <v>0</v>
      </c>
      <c r="G93" s="5">
        <f>63*1.275</f>
        <v>80.324999999999989</v>
      </c>
      <c r="H93" s="5">
        <f t="shared" ref="H93:H115" si="34">D93*G93</f>
        <v>0</v>
      </c>
      <c r="I93" s="5"/>
      <c r="J93" s="5"/>
      <c r="K93" s="5">
        <f t="shared" ref="K93:K175" si="35">F93+H93</f>
        <v>0</v>
      </c>
      <c r="L93">
        <f>VLOOKUP($B93,[1]ბიუჯეტი!$B$59:$K$464,3,FALSE)</f>
        <v>24.84</v>
      </c>
      <c r="M93" s="53">
        <f t="shared" si="16"/>
        <v>-24.84</v>
      </c>
      <c r="N93">
        <f>VLOOKUP($B93,[1]ბიუჯეტი!$B$59:$K$464,4,FALSE)</f>
        <v>0</v>
      </c>
      <c r="O93" s="53">
        <f t="shared" si="17"/>
        <v>0</v>
      </c>
      <c r="P93">
        <f>VLOOKUP($B93,[1]ბიუჯეტი!$B$59:$K$464,6,FALSE)</f>
        <v>80.324999999999989</v>
      </c>
      <c r="Q93" s="53">
        <f t="shared" si="18"/>
        <v>0</v>
      </c>
      <c r="R93">
        <f>VLOOKUP($B93,[1]ბიუჯეტი!$B$59:$K$464,8,FALSE)</f>
        <v>0</v>
      </c>
      <c r="S93" s="53">
        <f t="shared" si="19"/>
        <v>0</v>
      </c>
      <c r="T93">
        <f>VLOOKUP($B93,[1]ბიუჯეტი!$B$59:$K$464,10,FALSE)</f>
        <v>1995.2729999999997</v>
      </c>
      <c r="U93" s="53">
        <f t="shared" si="20"/>
        <v>-1995.2729999999997</v>
      </c>
    </row>
    <row r="94" spans="1:21" hidden="1" outlineLevel="1" x14ac:dyDescent="0.35">
      <c r="A94" s="29"/>
      <c r="B94" s="7" t="s">
        <v>54</v>
      </c>
      <c r="C94" s="8" t="s">
        <v>55</v>
      </c>
      <c r="D94" s="5">
        <f>D93*35*1.05</f>
        <v>0</v>
      </c>
      <c r="E94" s="5">
        <f>1/1.18</f>
        <v>0.84745762711864414</v>
      </c>
      <c r="F94" s="5">
        <f t="shared" si="13"/>
        <v>0</v>
      </c>
      <c r="G94" s="5"/>
      <c r="H94" s="5">
        <f t="shared" si="34"/>
        <v>0</v>
      </c>
      <c r="I94" s="5"/>
      <c r="J94" s="5"/>
      <c r="K94" s="5">
        <f t="shared" si="35"/>
        <v>0</v>
      </c>
      <c r="L94">
        <f>VLOOKUP($B94,[1]ბიუჯეტი!$B$59:$K$464,3,FALSE)</f>
        <v>912.87</v>
      </c>
      <c r="M94" s="53">
        <f t="shared" si="16"/>
        <v>-912.87</v>
      </c>
      <c r="N94">
        <f>VLOOKUP($B94,[1]ბიუჯეტი!$B$59:$K$464,4,FALSE)</f>
        <v>0.84745762711864414</v>
      </c>
      <c r="O94" s="53">
        <f t="shared" si="17"/>
        <v>0</v>
      </c>
      <c r="P94">
        <f>VLOOKUP($B94,[1]ბიუჯეტი!$B$59:$K$464,6,FALSE)</f>
        <v>0</v>
      </c>
      <c r="Q94" s="53">
        <f t="shared" si="18"/>
        <v>0</v>
      </c>
      <c r="R94">
        <f>VLOOKUP($B94,[1]ბიუჯეტი!$B$59:$K$464,8,FALSE)</f>
        <v>0</v>
      </c>
      <c r="S94" s="53">
        <f t="shared" si="19"/>
        <v>0</v>
      </c>
      <c r="T94">
        <f>VLOOKUP($B94,[1]ბიუჯეტი!$B$59:$K$464,10,FALSE)</f>
        <v>773.61864406779671</v>
      </c>
      <c r="U94" s="53">
        <f t="shared" si="20"/>
        <v>-773.61864406779671</v>
      </c>
    </row>
    <row r="95" spans="1:21" hidden="1" outlineLevel="1" x14ac:dyDescent="0.35">
      <c r="A95" s="29"/>
      <c r="B95" s="7" t="s">
        <v>50</v>
      </c>
      <c r="C95" s="8" t="s">
        <v>9</v>
      </c>
      <c r="D95" s="5">
        <f>D93*0.03*1.05</f>
        <v>0</v>
      </c>
      <c r="E95" s="5">
        <f>65/1.18</f>
        <v>55.084745762711869</v>
      </c>
      <c r="F95" s="5">
        <f t="shared" si="13"/>
        <v>0</v>
      </c>
      <c r="G95" s="5"/>
      <c r="H95" s="5">
        <f t="shared" si="34"/>
        <v>0</v>
      </c>
      <c r="I95" s="5"/>
      <c r="J95" s="5"/>
      <c r="K95" s="5">
        <f t="shared" si="35"/>
        <v>0</v>
      </c>
      <c r="L95">
        <f>VLOOKUP($B95,[1]ბიუჯეტი!$B$59:$K$464,3,FALSE)</f>
        <v>0</v>
      </c>
      <c r="M95" s="53">
        <f t="shared" si="16"/>
        <v>0</v>
      </c>
      <c r="N95">
        <f>VLOOKUP($B95,[1]ბიუჯეტი!$B$59:$K$464,4,FALSE)</f>
        <v>55.084745762711869</v>
      </c>
      <c r="O95" s="53">
        <f t="shared" si="17"/>
        <v>0</v>
      </c>
      <c r="P95">
        <f>VLOOKUP($B95,[1]ბიუჯეტი!$B$59:$K$464,6,FALSE)</f>
        <v>0</v>
      </c>
      <c r="Q95" s="53">
        <f t="shared" si="18"/>
        <v>0</v>
      </c>
      <c r="R95">
        <f>VLOOKUP($B95,[1]ბიუჯეტი!$B$59:$K$464,8,FALSE)</f>
        <v>0</v>
      </c>
      <c r="S95" s="53">
        <f t="shared" si="19"/>
        <v>0</v>
      </c>
      <c r="T95">
        <f>VLOOKUP($B95,[1]ბიუჯეტი!$B$59:$K$464,10,FALSE)</f>
        <v>0</v>
      </c>
      <c r="U95" s="53">
        <f t="shared" si="20"/>
        <v>0</v>
      </c>
    </row>
    <row r="96" spans="1:21" hidden="1" outlineLevel="1" x14ac:dyDescent="0.35">
      <c r="A96" s="29"/>
      <c r="B96" s="7" t="s">
        <v>202</v>
      </c>
      <c r="C96" s="8" t="s">
        <v>40</v>
      </c>
      <c r="D96" s="5">
        <v>0</v>
      </c>
      <c r="E96" s="5">
        <f>14.25/1.18</f>
        <v>12.076271186440678</v>
      </c>
      <c r="F96" s="5">
        <f t="shared" si="13"/>
        <v>0</v>
      </c>
      <c r="G96" s="5">
        <f>10*1.275</f>
        <v>12.75</v>
      </c>
      <c r="H96" s="5">
        <f t="shared" si="34"/>
        <v>0</v>
      </c>
      <c r="I96" s="5"/>
      <c r="J96" s="5"/>
      <c r="K96" s="5">
        <f t="shared" si="35"/>
        <v>0</v>
      </c>
      <c r="L96">
        <f>VLOOKUP($B96,[1]ბიუჯეტი!$B$59:$K$464,3,FALSE)</f>
        <v>0</v>
      </c>
      <c r="M96" s="53">
        <f t="shared" si="16"/>
        <v>0</v>
      </c>
      <c r="N96">
        <f>VLOOKUP($B96,[1]ბიუჯეტი!$B$59:$K$464,4,FALSE)</f>
        <v>12.076271186440678</v>
      </c>
      <c r="O96" s="53">
        <f t="shared" si="17"/>
        <v>0</v>
      </c>
      <c r="P96">
        <f>VLOOKUP($B96,[1]ბიუჯეტი!$B$59:$K$464,6,FALSE)</f>
        <v>12.75</v>
      </c>
      <c r="Q96" s="53">
        <f t="shared" si="18"/>
        <v>0</v>
      </c>
      <c r="R96">
        <f>VLOOKUP($B96,[1]ბიუჯეტი!$B$59:$K$464,8,FALSE)</f>
        <v>0</v>
      </c>
      <c r="S96" s="53">
        <f t="shared" si="19"/>
        <v>0</v>
      </c>
      <c r="T96">
        <f>VLOOKUP($B96,[1]ბიუჯეტი!$B$59:$K$464,10,FALSE)</f>
        <v>0</v>
      </c>
      <c r="U96" s="53">
        <f t="shared" si="20"/>
        <v>0</v>
      </c>
    </row>
    <row r="97" spans="1:21" hidden="1" outlineLevel="1" x14ac:dyDescent="0.35">
      <c r="A97" s="29"/>
      <c r="B97" s="7" t="s">
        <v>51</v>
      </c>
      <c r="C97" s="8" t="s">
        <v>12</v>
      </c>
      <c r="D97" s="5">
        <f>D95/4*1.05</f>
        <v>0</v>
      </c>
      <c r="E97" s="5">
        <f>281.5/1.18</f>
        <v>238.55932203389833</v>
      </c>
      <c r="F97" s="5">
        <f t="shared" si="13"/>
        <v>0</v>
      </c>
      <c r="G97" s="5"/>
      <c r="H97" s="5">
        <f t="shared" si="34"/>
        <v>0</v>
      </c>
      <c r="I97" s="5"/>
      <c r="J97" s="5"/>
      <c r="K97" s="5">
        <f t="shared" si="35"/>
        <v>0</v>
      </c>
      <c r="L97">
        <f>VLOOKUP($B97,[1]ბიუჯეტი!$B$59:$K$464,3,FALSE)</f>
        <v>0</v>
      </c>
      <c r="M97" s="53">
        <f t="shared" si="16"/>
        <v>0</v>
      </c>
      <c r="N97">
        <f>VLOOKUP($B97,[1]ბიუჯეტი!$B$59:$K$464,4,FALSE)</f>
        <v>238.55932203389833</v>
      </c>
      <c r="O97" s="53">
        <f t="shared" si="17"/>
        <v>0</v>
      </c>
      <c r="P97">
        <f>VLOOKUP($B97,[1]ბიუჯეტი!$B$59:$K$464,6,FALSE)</f>
        <v>0</v>
      </c>
      <c r="Q97" s="53">
        <f t="shared" si="18"/>
        <v>0</v>
      </c>
      <c r="R97">
        <f>VLOOKUP($B97,[1]ბიუჯეტი!$B$59:$K$464,8,FALSE)</f>
        <v>0</v>
      </c>
      <c r="S97" s="53">
        <f t="shared" si="19"/>
        <v>0</v>
      </c>
      <c r="T97">
        <f>VLOOKUP($B97,[1]ბიუჯეტი!$B$59:$K$464,10,FALSE)</f>
        <v>0</v>
      </c>
      <c r="U97" s="53">
        <f t="shared" si="20"/>
        <v>0</v>
      </c>
    </row>
    <row r="98" spans="1:21" hidden="1" outlineLevel="1" x14ac:dyDescent="0.35">
      <c r="A98" s="29"/>
      <c r="B98" s="7" t="s">
        <v>14</v>
      </c>
      <c r="C98" s="8" t="s">
        <v>10</v>
      </c>
      <c r="D98" s="5">
        <f>D93</f>
        <v>0</v>
      </c>
      <c r="E98" s="5">
        <f>1.2/1.18</f>
        <v>1.0169491525423728</v>
      </c>
      <c r="F98" s="5">
        <f t="shared" si="13"/>
        <v>0</v>
      </c>
      <c r="G98" s="5"/>
      <c r="H98" s="5">
        <f t="shared" si="34"/>
        <v>0</v>
      </c>
      <c r="I98" s="5"/>
      <c r="J98" s="5"/>
      <c r="K98" s="5">
        <f t="shared" si="35"/>
        <v>0</v>
      </c>
      <c r="L98">
        <f>VLOOKUP($B98,[1]ბიუჯეტი!$B$59:$K$464,3,FALSE)</f>
        <v>0</v>
      </c>
      <c r="M98" s="53">
        <f t="shared" si="16"/>
        <v>0</v>
      </c>
      <c r="N98">
        <f>VLOOKUP($B98,[1]ბიუჯეტი!$B$59:$K$464,4,FALSE)</f>
        <v>0.84745762711864414</v>
      </c>
      <c r="O98" s="53">
        <f t="shared" si="17"/>
        <v>0.1694915254237287</v>
      </c>
      <c r="P98">
        <f>VLOOKUP($B98,[1]ბიუჯეტი!$B$59:$K$464,6,FALSE)</f>
        <v>0</v>
      </c>
      <c r="Q98" s="53">
        <f t="shared" si="18"/>
        <v>0</v>
      </c>
      <c r="R98">
        <f>VLOOKUP($B98,[1]ბიუჯეტი!$B$59:$K$464,8,FALSE)</f>
        <v>0</v>
      </c>
      <c r="S98" s="53">
        <f t="shared" si="19"/>
        <v>0</v>
      </c>
      <c r="T98">
        <f>VLOOKUP($B98,[1]ბიუჯეტი!$B$59:$K$464,10,FALSE)</f>
        <v>0</v>
      </c>
      <c r="U98" s="53">
        <f t="shared" si="20"/>
        <v>0</v>
      </c>
    </row>
    <row r="99" spans="1:21" hidden="1" outlineLevel="1" x14ac:dyDescent="0.35">
      <c r="A99" s="29">
        <v>1</v>
      </c>
      <c r="B99" s="30" t="s">
        <v>56</v>
      </c>
      <c r="C99" s="8" t="s">
        <v>10</v>
      </c>
      <c r="D99" s="5">
        <f>სამუშაო!D23</f>
        <v>28.480000000000004</v>
      </c>
      <c r="E99" s="5"/>
      <c r="F99" s="5">
        <f t="shared" si="13"/>
        <v>0</v>
      </c>
      <c r="G99" s="5">
        <f>63*1.275</f>
        <v>80.324999999999989</v>
      </c>
      <c r="H99" s="5">
        <f t="shared" si="34"/>
        <v>2287.6559999999999</v>
      </c>
      <c r="I99" s="5"/>
      <c r="J99" s="5"/>
      <c r="K99" s="5">
        <f t="shared" si="35"/>
        <v>2287.6559999999999</v>
      </c>
      <c r="L99">
        <f>VLOOKUP($B99,[1]ბიუჯეტი!$B$59:$K$464,3,FALSE)</f>
        <v>225.72739999999999</v>
      </c>
      <c r="M99" s="53">
        <f t="shared" si="16"/>
        <v>-197.24739999999997</v>
      </c>
      <c r="N99">
        <f>VLOOKUP($B99,[1]ბიუჯეტი!$B$59:$K$464,4,FALSE)</f>
        <v>0</v>
      </c>
      <c r="O99" s="53">
        <f t="shared" si="17"/>
        <v>0</v>
      </c>
      <c r="P99">
        <f>VLOOKUP($B99,[1]ბიუჯეტი!$B$59:$K$464,6,FALSE)</f>
        <v>80.324999999999989</v>
      </c>
      <c r="Q99" s="53">
        <f t="shared" si="18"/>
        <v>0</v>
      </c>
      <c r="R99">
        <f>VLOOKUP($B99,[1]ბიუჯეტი!$B$59:$K$464,8,FALSE)</f>
        <v>0</v>
      </c>
      <c r="S99" s="53">
        <f t="shared" si="19"/>
        <v>0</v>
      </c>
      <c r="T99">
        <f>VLOOKUP($B99,[1]ბიუჯეტი!$B$59:$K$464,10,FALSE)</f>
        <v>18131.553404999995</v>
      </c>
      <c r="U99" s="53">
        <f t="shared" si="20"/>
        <v>-15843.897404999996</v>
      </c>
    </row>
    <row r="100" spans="1:21" hidden="1" outlineLevel="1" x14ac:dyDescent="0.35">
      <c r="A100" s="29"/>
      <c r="B100" s="7" t="s">
        <v>54</v>
      </c>
      <c r="C100" s="8" t="s">
        <v>55</v>
      </c>
      <c r="D100" s="5">
        <f>D99*35*1.05</f>
        <v>1046.6400000000003</v>
      </c>
      <c r="E100" s="5">
        <f>1/1.18</f>
        <v>0.84745762711864414</v>
      </c>
      <c r="F100" s="5">
        <f t="shared" si="13"/>
        <v>886.983050847458</v>
      </c>
      <c r="G100" s="5"/>
      <c r="H100" s="5">
        <f t="shared" si="34"/>
        <v>0</v>
      </c>
      <c r="I100" s="5"/>
      <c r="J100" s="5"/>
      <c r="K100" s="5">
        <f t="shared" si="35"/>
        <v>886.983050847458</v>
      </c>
      <c r="L100">
        <f>VLOOKUP($B100,[1]ბიუჯეტი!$B$59:$K$464,3,FALSE)</f>
        <v>912.87</v>
      </c>
      <c r="M100" s="53">
        <f t="shared" si="16"/>
        <v>133.77000000000032</v>
      </c>
      <c r="N100">
        <f>VLOOKUP($B100,[1]ბიუჯეტი!$B$59:$K$464,4,FALSE)</f>
        <v>0.84745762711864414</v>
      </c>
      <c r="O100" s="53">
        <f t="shared" si="17"/>
        <v>0</v>
      </c>
      <c r="P100">
        <f>VLOOKUP($B100,[1]ბიუჯეტი!$B$59:$K$464,6,FALSE)</f>
        <v>0</v>
      </c>
      <c r="Q100" s="53">
        <f t="shared" si="18"/>
        <v>0</v>
      </c>
      <c r="R100">
        <f>VLOOKUP($B100,[1]ბიუჯეტი!$B$59:$K$464,8,FALSE)</f>
        <v>0</v>
      </c>
      <c r="S100" s="53">
        <f t="shared" si="19"/>
        <v>0</v>
      </c>
      <c r="T100">
        <f>VLOOKUP($B100,[1]ბიუჯეტი!$B$59:$K$464,10,FALSE)</f>
        <v>773.61864406779671</v>
      </c>
      <c r="U100" s="53">
        <f t="shared" si="20"/>
        <v>113.36440677966129</v>
      </c>
    </row>
    <row r="101" spans="1:21" hidden="1" outlineLevel="1" x14ac:dyDescent="0.35">
      <c r="A101" s="29"/>
      <c r="B101" s="7" t="s">
        <v>50</v>
      </c>
      <c r="C101" s="8" t="s">
        <v>9</v>
      </c>
      <c r="D101" s="5">
        <f>D99*0.05*1.05</f>
        <v>1.4952000000000005</v>
      </c>
      <c r="E101" s="5">
        <f>65/1.18</f>
        <v>55.084745762711869</v>
      </c>
      <c r="F101" s="5">
        <f t="shared" si="13"/>
        <v>82.362711864406819</v>
      </c>
      <c r="G101" s="5"/>
      <c r="H101" s="5">
        <f t="shared" si="34"/>
        <v>0</v>
      </c>
      <c r="I101" s="5"/>
      <c r="J101" s="5"/>
      <c r="K101" s="5">
        <f t="shared" si="35"/>
        <v>82.362711864406819</v>
      </c>
      <c r="L101">
        <f>VLOOKUP($B101,[1]ბიუჯეტი!$B$59:$K$464,3,FALSE)</f>
        <v>0</v>
      </c>
      <c r="M101" s="53">
        <f t="shared" si="16"/>
        <v>1.4952000000000005</v>
      </c>
      <c r="N101">
        <f>VLOOKUP($B101,[1]ბიუჯეტი!$B$59:$K$464,4,FALSE)</f>
        <v>55.084745762711869</v>
      </c>
      <c r="O101" s="53">
        <f t="shared" si="17"/>
        <v>0</v>
      </c>
      <c r="P101">
        <f>VLOOKUP($B101,[1]ბიუჯეტი!$B$59:$K$464,6,FALSE)</f>
        <v>0</v>
      </c>
      <c r="Q101" s="53">
        <f t="shared" si="18"/>
        <v>0</v>
      </c>
      <c r="R101">
        <f>VLOOKUP($B101,[1]ბიუჯეტი!$B$59:$K$464,8,FALSE)</f>
        <v>0</v>
      </c>
      <c r="S101" s="53">
        <f t="shared" si="19"/>
        <v>0</v>
      </c>
      <c r="T101">
        <f>VLOOKUP($B101,[1]ბიუჯეტი!$B$59:$K$464,10,FALSE)</f>
        <v>0</v>
      </c>
      <c r="U101" s="53">
        <f t="shared" si="20"/>
        <v>82.362711864406819</v>
      </c>
    </row>
    <row r="102" spans="1:21" hidden="1" outlineLevel="1" x14ac:dyDescent="0.35">
      <c r="A102" s="29"/>
      <c r="B102" s="7" t="s">
        <v>202</v>
      </c>
      <c r="C102" s="8" t="s">
        <v>40</v>
      </c>
      <c r="D102" s="5">
        <f>17.8+17.8+8+2.2+1.3+1.3+8+2+2.2</f>
        <v>60.6</v>
      </c>
      <c r="E102" s="5">
        <f>14.25/1.18</f>
        <v>12.076271186440678</v>
      </c>
      <c r="F102" s="5">
        <f t="shared" si="13"/>
        <v>731.82203389830511</v>
      </c>
      <c r="G102" s="5">
        <f>10*1.275</f>
        <v>12.75</v>
      </c>
      <c r="H102" s="5">
        <f t="shared" si="34"/>
        <v>772.65</v>
      </c>
      <c r="I102" s="5"/>
      <c r="J102" s="5"/>
      <c r="K102" s="5">
        <f t="shared" si="35"/>
        <v>1504.4720338983052</v>
      </c>
      <c r="L102">
        <f>VLOOKUP($B102,[1]ბიუჯეტი!$B$59:$K$464,3,FALSE)</f>
        <v>0</v>
      </c>
      <c r="M102" s="53">
        <f t="shared" si="16"/>
        <v>60.6</v>
      </c>
      <c r="N102">
        <f>VLOOKUP($B102,[1]ბიუჯეტი!$B$59:$K$464,4,FALSE)</f>
        <v>12.076271186440678</v>
      </c>
      <c r="O102" s="53">
        <f t="shared" si="17"/>
        <v>0</v>
      </c>
      <c r="P102">
        <f>VLOOKUP($B102,[1]ბიუჯეტი!$B$59:$K$464,6,FALSE)</f>
        <v>12.75</v>
      </c>
      <c r="Q102" s="53">
        <f t="shared" si="18"/>
        <v>0</v>
      </c>
      <c r="R102">
        <f>VLOOKUP($B102,[1]ბიუჯეტი!$B$59:$K$464,8,FALSE)</f>
        <v>0</v>
      </c>
      <c r="S102" s="53">
        <f t="shared" si="19"/>
        <v>0</v>
      </c>
      <c r="T102">
        <f>VLOOKUP($B102,[1]ბიუჯეტი!$B$59:$K$464,10,FALSE)</f>
        <v>0</v>
      </c>
      <c r="U102" s="53">
        <f t="shared" si="20"/>
        <v>1504.4720338983052</v>
      </c>
    </row>
    <row r="103" spans="1:21" hidden="1" outlineLevel="1" x14ac:dyDescent="0.35">
      <c r="A103" s="29"/>
      <c r="B103" s="7" t="s">
        <v>51</v>
      </c>
      <c r="C103" s="8" t="s">
        <v>12</v>
      </c>
      <c r="D103" s="5">
        <f>D101/4*1.05</f>
        <v>0.39249000000000017</v>
      </c>
      <c r="E103" s="5">
        <f>281.5/1.18</f>
        <v>238.55932203389833</v>
      </c>
      <c r="F103" s="5">
        <f t="shared" si="13"/>
        <v>93.632148305084797</v>
      </c>
      <c r="G103" s="5"/>
      <c r="H103" s="5">
        <f t="shared" si="34"/>
        <v>0</v>
      </c>
      <c r="I103" s="5"/>
      <c r="J103" s="5"/>
      <c r="K103" s="5">
        <f t="shared" si="35"/>
        <v>93.632148305084797</v>
      </c>
      <c r="L103">
        <f>VLOOKUP($B103,[1]ბიუჯეტი!$B$59:$K$464,3,FALSE)</f>
        <v>0</v>
      </c>
      <c r="M103" s="53">
        <f t="shared" si="16"/>
        <v>0.39249000000000017</v>
      </c>
      <c r="N103">
        <f>VLOOKUP($B103,[1]ბიუჯეტი!$B$59:$K$464,4,FALSE)</f>
        <v>238.55932203389833</v>
      </c>
      <c r="O103" s="53">
        <f t="shared" si="17"/>
        <v>0</v>
      </c>
      <c r="P103">
        <f>VLOOKUP($B103,[1]ბიუჯეტი!$B$59:$K$464,6,FALSE)</f>
        <v>0</v>
      </c>
      <c r="Q103" s="53">
        <f t="shared" si="18"/>
        <v>0</v>
      </c>
      <c r="R103">
        <f>VLOOKUP($B103,[1]ბიუჯეტი!$B$59:$K$464,8,FALSE)</f>
        <v>0</v>
      </c>
      <c r="S103" s="53">
        <f t="shared" si="19"/>
        <v>0</v>
      </c>
      <c r="T103">
        <f>VLOOKUP($B103,[1]ბიუჯეტი!$B$59:$K$464,10,FALSE)</f>
        <v>0</v>
      </c>
      <c r="U103" s="53">
        <f t="shared" si="20"/>
        <v>93.632148305084797</v>
      </c>
    </row>
    <row r="104" spans="1:21" hidden="1" outlineLevel="1" x14ac:dyDescent="0.35">
      <c r="A104" s="29"/>
      <c r="B104" s="7" t="s">
        <v>14</v>
      </c>
      <c r="C104" s="8" t="s">
        <v>10</v>
      </c>
      <c r="D104" s="5">
        <f>D99</f>
        <v>28.480000000000004</v>
      </c>
      <c r="E104" s="5">
        <f>5/1.18</f>
        <v>4.2372881355932206</v>
      </c>
      <c r="F104" s="5">
        <f t="shared" si="13"/>
        <v>120.67796610169493</v>
      </c>
      <c r="G104" s="5"/>
      <c r="H104" s="5">
        <f t="shared" si="34"/>
        <v>0</v>
      </c>
      <c r="I104" s="5"/>
      <c r="J104" s="5"/>
      <c r="K104" s="5">
        <f t="shared" si="35"/>
        <v>120.67796610169493</v>
      </c>
      <c r="L104">
        <f>VLOOKUP($B104,[1]ბიუჯეტი!$B$59:$K$464,3,FALSE)</f>
        <v>0</v>
      </c>
      <c r="M104" s="53">
        <f t="shared" si="16"/>
        <v>28.480000000000004</v>
      </c>
      <c r="N104">
        <f>VLOOKUP($B104,[1]ბიუჯეტი!$B$59:$K$464,4,FALSE)</f>
        <v>0.84745762711864414</v>
      </c>
      <c r="O104" s="53">
        <f t="shared" si="17"/>
        <v>3.3898305084745766</v>
      </c>
      <c r="P104">
        <f>VLOOKUP($B104,[1]ბიუჯეტი!$B$59:$K$464,6,FALSE)</f>
        <v>0</v>
      </c>
      <c r="Q104" s="53">
        <f t="shared" si="18"/>
        <v>0</v>
      </c>
      <c r="R104">
        <f>VLOOKUP($B104,[1]ბიუჯეტი!$B$59:$K$464,8,FALSE)</f>
        <v>0</v>
      </c>
      <c r="S104" s="53">
        <f t="shared" si="19"/>
        <v>0</v>
      </c>
      <c r="T104">
        <f>VLOOKUP($B104,[1]ბიუჯეტი!$B$59:$K$464,10,FALSE)</f>
        <v>0</v>
      </c>
      <c r="U104" s="53">
        <f t="shared" si="20"/>
        <v>120.67796610169493</v>
      </c>
    </row>
    <row r="105" spans="1:21" hidden="1" outlineLevel="1" x14ac:dyDescent="0.35">
      <c r="A105" s="29">
        <v>2</v>
      </c>
      <c r="B105" s="30" t="s">
        <v>176</v>
      </c>
      <c r="C105" s="8" t="s">
        <v>10</v>
      </c>
      <c r="D105" s="5">
        <f>სამუშაო!D24</f>
        <v>658.39500000000032</v>
      </c>
      <c r="E105" s="5"/>
      <c r="F105" s="5">
        <f t="shared" si="13"/>
        <v>0</v>
      </c>
      <c r="G105" s="5">
        <f>63*1.275</f>
        <v>80.324999999999989</v>
      </c>
      <c r="H105" s="5">
        <f t="shared" si="34"/>
        <v>52885.578375000019</v>
      </c>
      <c r="I105" s="5"/>
      <c r="J105" s="5"/>
      <c r="K105" s="5">
        <f t="shared" si="35"/>
        <v>52885.578375000019</v>
      </c>
      <c r="L105">
        <f>VLOOKUP($B105,[1]ბიუჯეტი!$B$59:$K$464,3,FALSE)</f>
        <v>963.97280000000001</v>
      </c>
      <c r="M105" s="53">
        <f t="shared" si="16"/>
        <v>-305.57779999999968</v>
      </c>
      <c r="N105">
        <f>VLOOKUP($B105,[1]ბიუჯეტი!$B$59:$K$464,4,FALSE)</f>
        <v>0</v>
      </c>
      <c r="O105" s="53">
        <f t="shared" si="17"/>
        <v>0</v>
      </c>
      <c r="P105">
        <f>VLOOKUP($B105,[1]ბიუჯეტი!$B$59:$K$464,6,FALSE)</f>
        <v>80.324999999999989</v>
      </c>
      <c r="Q105" s="53">
        <f t="shared" si="18"/>
        <v>0</v>
      </c>
      <c r="R105">
        <f>VLOOKUP($B105,[1]ბიუჯეტი!$B$59:$K$464,8,FALSE)</f>
        <v>0</v>
      </c>
      <c r="S105" s="53">
        <f t="shared" si="19"/>
        <v>0</v>
      </c>
      <c r="T105">
        <f>VLOOKUP($B105,[1]ბიუჯეტი!$B$59:$K$464,10,FALSE)</f>
        <v>77431.115159999987</v>
      </c>
      <c r="U105" s="53">
        <f t="shared" si="20"/>
        <v>-24545.536784999967</v>
      </c>
    </row>
    <row r="106" spans="1:21" hidden="1" outlineLevel="1" x14ac:dyDescent="0.35">
      <c r="A106" s="29"/>
      <c r="B106" s="7" t="s">
        <v>54</v>
      </c>
      <c r="C106" s="8" t="s">
        <v>55</v>
      </c>
      <c r="D106" s="5">
        <f>D105*35*1.05</f>
        <v>24196.016250000011</v>
      </c>
      <c r="E106" s="5">
        <f>1/1.18</f>
        <v>0.84745762711864414</v>
      </c>
      <c r="F106" s="5">
        <f t="shared" si="13"/>
        <v>20505.098516949165</v>
      </c>
      <c r="G106" s="5"/>
      <c r="H106" s="5">
        <f t="shared" si="34"/>
        <v>0</v>
      </c>
      <c r="I106" s="5"/>
      <c r="J106" s="5"/>
      <c r="K106" s="5">
        <f t="shared" si="35"/>
        <v>20505.098516949165</v>
      </c>
      <c r="L106">
        <f>VLOOKUP($B106,[1]ბიუჯეტი!$B$59:$K$464,3,FALSE)</f>
        <v>912.87</v>
      </c>
      <c r="M106" s="53">
        <f t="shared" si="16"/>
        <v>23283.146250000013</v>
      </c>
      <c r="N106">
        <f>VLOOKUP($B106,[1]ბიუჯეტი!$B$59:$K$464,4,FALSE)</f>
        <v>0.84745762711864414</v>
      </c>
      <c r="O106" s="53">
        <f t="shared" si="17"/>
        <v>0</v>
      </c>
      <c r="P106">
        <f>VLOOKUP($B106,[1]ბიუჯეტი!$B$59:$K$464,6,FALSE)</f>
        <v>0</v>
      </c>
      <c r="Q106" s="53">
        <f t="shared" si="18"/>
        <v>0</v>
      </c>
      <c r="R106">
        <f>VLOOKUP($B106,[1]ბიუჯეტი!$B$59:$K$464,8,FALSE)</f>
        <v>0</v>
      </c>
      <c r="S106" s="53">
        <f t="shared" si="19"/>
        <v>0</v>
      </c>
      <c r="T106">
        <f>VLOOKUP($B106,[1]ბიუჯეტი!$B$59:$K$464,10,FALSE)</f>
        <v>773.61864406779671</v>
      </c>
      <c r="U106" s="53">
        <f t="shared" si="20"/>
        <v>19731.479872881369</v>
      </c>
    </row>
    <row r="107" spans="1:21" hidden="1" outlineLevel="1" x14ac:dyDescent="0.35">
      <c r="A107" s="29"/>
      <c r="B107" s="7" t="s">
        <v>50</v>
      </c>
      <c r="C107" s="8" t="s">
        <v>9</v>
      </c>
      <c r="D107" s="5">
        <f>D105*0.05*1.05</f>
        <v>34.565737500000019</v>
      </c>
      <c r="E107" s="5">
        <f>65/1.18</f>
        <v>55.084745762711869</v>
      </c>
      <c r="F107" s="5">
        <f t="shared" si="13"/>
        <v>1904.0448622881368</v>
      </c>
      <c r="G107" s="5"/>
      <c r="H107" s="5">
        <f t="shared" si="34"/>
        <v>0</v>
      </c>
      <c r="I107" s="5"/>
      <c r="J107" s="5"/>
      <c r="K107" s="5">
        <f t="shared" si="35"/>
        <v>1904.0448622881368</v>
      </c>
      <c r="L107">
        <f>VLOOKUP($B107,[1]ბიუჯეტი!$B$59:$K$464,3,FALSE)</f>
        <v>0</v>
      </c>
      <c r="M107" s="53">
        <f t="shared" si="16"/>
        <v>34.565737500000019</v>
      </c>
      <c r="N107">
        <f>VLOOKUP($B107,[1]ბიუჯეტი!$B$59:$K$464,4,FALSE)</f>
        <v>55.084745762711869</v>
      </c>
      <c r="O107" s="53">
        <f t="shared" si="17"/>
        <v>0</v>
      </c>
      <c r="P107">
        <f>VLOOKUP($B107,[1]ბიუჯეტი!$B$59:$K$464,6,FALSE)</f>
        <v>0</v>
      </c>
      <c r="Q107" s="53">
        <f t="shared" si="18"/>
        <v>0</v>
      </c>
      <c r="R107">
        <f>VLOOKUP($B107,[1]ბიუჯეტი!$B$59:$K$464,8,FALSE)</f>
        <v>0</v>
      </c>
      <c r="S107" s="53">
        <f t="shared" si="19"/>
        <v>0</v>
      </c>
      <c r="T107">
        <f>VLOOKUP($B107,[1]ბიუჯეტი!$B$59:$K$464,10,FALSE)</f>
        <v>0</v>
      </c>
      <c r="U107" s="53">
        <f t="shared" si="20"/>
        <v>1904.0448622881368</v>
      </c>
    </row>
    <row r="108" spans="1:21" hidden="1" outlineLevel="1" x14ac:dyDescent="0.35">
      <c r="A108" s="29"/>
      <c r="B108" s="7" t="s">
        <v>202</v>
      </c>
      <c r="C108" s="8" t="s">
        <v>40</v>
      </c>
      <c r="D108" s="5">
        <f>(17.8+17.8+6+10+3.5+3.6+3.6+1.1+3.6+3.6+3.6)*2</f>
        <v>148.39999999999998</v>
      </c>
      <c r="E108" s="5">
        <f>14.25/1.18</f>
        <v>12.076271186440678</v>
      </c>
      <c r="F108" s="5">
        <f t="shared" si="13"/>
        <v>1792.1186440677964</v>
      </c>
      <c r="G108" s="5">
        <f>10*1.275</f>
        <v>12.75</v>
      </c>
      <c r="H108" s="5">
        <f t="shared" si="34"/>
        <v>1892.0999999999997</v>
      </c>
      <c r="I108" s="5"/>
      <c r="J108" s="5"/>
      <c r="K108" s="5">
        <f t="shared" si="35"/>
        <v>3684.218644067796</v>
      </c>
      <c r="L108">
        <f>VLOOKUP($B108,[1]ბიუჯეტი!$B$59:$K$464,3,FALSE)</f>
        <v>0</v>
      </c>
      <c r="M108" s="53">
        <f t="shared" si="16"/>
        <v>148.39999999999998</v>
      </c>
      <c r="N108">
        <f>VLOOKUP($B108,[1]ბიუჯეტი!$B$59:$K$464,4,FALSE)</f>
        <v>12.076271186440678</v>
      </c>
      <c r="O108" s="53">
        <f t="shared" si="17"/>
        <v>0</v>
      </c>
      <c r="P108">
        <f>VLOOKUP($B108,[1]ბიუჯეტი!$B$59:$K$464,6,FALSE)</f>
        <v>12.75</v>
      </c>
      <c r="Q108" s="53">
        <f t="shared" si="18"/>
        <v>0</v>
      </c>
      <c r="R108">
        <f>VLOOKUP($B108,[1]ბიუჯეტი!$B$59:$K$464,8,FALSE)</f>
        <v>0</v>
      </c>
      <c r="S108" s="53">
        <f t="shared" si="19"/>
        <v>0</v>
      </c>
      <c r="T108">
        <f>VLOOKUP($B108,[1]ბიუჯეტი!$B$59:$K$464,10,FALSE)</f>
        <v>0</v>
      </c>
      <c r="U108" s="53">
        <f t="shared" si="20"/>
        <v>3684.218644067796</v>
      </c>
    </row>
    <row r="109" spans="1:21" hidden="1" outlineLevel="1" x14ac:dyDescent="0.35">
      <c r="A109" s="29"/>
      <c r="B109" s="7" t="s">
        <v>51</v>
      </c>
      <c r="C109" s="8" t="s">
        <v>12</v>
      </c>
      <c r="D109" s="5">
        <f>D107/4*1.05</f>
        <v>9.0735060937500052</v>
      </c>
      <c r="E109" s="5">
        <f>281.5/1.18</f>
        <v>238.55932203389833</v>
      </c>
      <c r="F109" s="5">
        <f t="shared" si="13"/>
        <v>2164.5694621954462</v>
      </c>
      <c r="G109" s="5"/>
      <c r="H109" s="5">
        <f t="shared" si="34"/>
        <v>0</v>
      </c>
      <c r="I109" s="5"/>
      <c r="J109" s="5"/>
      <c r="K109" s="5">
        <f t="shared" si="35"/>
        <v>2164.5694621954462</v>
      </c>
      <c r="L109">
        <f>VLOOKUP($B109,[1]ბიუჯეტი!$B$59:$K$464,3,FALSE)</f>
        <v>0</v>
      </c>
      <c r="M109" s="53">
        <f t="shared" si="16"/>
        <v>9.0735060937500052</v>
      </c>
      <c r="N109">
        <f>VLOOKUP($B109,[1]ბიუჯეტი!$B$59:$K$464,4,FALSE)</f>
        <v>238.55932203389833</v>
      </c>
      <c r="O109" s="53">
        <f t="shared" si="17"/>
        <v>0</v>
      </c>
      <c r="P109">
        <f>VLOOKUP($B109,[1]ბიუჯეტი!$B$59:$K$464,6,FALSE)</f>
        <v>0</v>
      </c>
      <c r="Q109" s="53">
        <f t="shared" si="18"/>
        <v>0</v>
      </c>
      <c r="R109">
        <f>VLOOKUP($B109,[1]ბიუჯეტი!$B$59:$K$464,8,FALSE)</f>
        <v>0</v>
      </c>
      <c r="S109" s="53">
        <f t="shared" si="19"/>
        <v>0</v>
      </c>
      <c r="T109">
        <f>VLOOKUP($B109,[1]ბიუჯეტი!$B$59:$K$464,10,FALSE)</f>
        <v>0</v>
      </c>
      <c r="U109" s="53">
        <f t="shared" si="20"/>
        <v>2164.5694621954462</v>
      </c>
    </row>
    <row r="110" spans="1:21" hidden="1" outlineLevel="1" x14ac:dyDescent="0.35">
      <c r="A110" s="29"/>
      <c r="B110" s="7" t="s">
        <v>14</v>
      </c>
      <c r="C110" s="8" t="s">
        <v>10</v>
      </c>
      <c r="D110" s="5">
        <f>D105</f>
        <v>658.39500000000032</v>
      </c>
      <c r="E110" s="5">
        <f>12/1.18</f>
        <v>10.16949152542373</v>
      </c>
      <c r="F110" s="5">
        <f t="shared" si="13"/>
        <v>6695.5423728813603</v>
      </c>
      <c r="G110" s="5"/>
      <c r="H110" s="5">
        <f t="shared" si="34"/>
        <v>0</v>
      </c>
      <c r="I110" s="5"/>
      <c r="J110" s="5"/>
      <c r="K110" s="5">
        <f t="shared" si="35"/>
        <v>6695.5423728813603</v>
      </c>
      <c r="L110">
        <f>VLOOKUP($B110,[1]ბიუჯეტი!$B$59:$K$464,3,FALSE)</f>
        <v>0</v>
      </c>
      <c r="M110" s="53">
        <f t="shared" si="16"/>
        <v>658.39500000000032</v>
      </c>
      <c r="N110">
        <f>VLOOKUP($B110,[1]ბიუჯეტი!$B$59:$K$464,4,FALSE)</f>
        <v>0.84745762711864414</v>
      </c>
      <c r="O110" s="53">
        <f t="shared" si="17"/>
        <v>9.3220338983050866</v>
      </c>
      <c r="P110">
        <f>VLOOKUP($B110,[1]ბიუჯეტი!$B$59:$K$464,6,FALSE)</f>
        <v>0</v>
      </c>
      <c r="Q110" s="53">
        <f t="shared" si="18"/>
        <v>0</v>
      </c>
      <c r="R110">
        <f>VLOOKUP($B110,[1]ბიუჯეტი!$B$59:$K$464,8,FALSE)</f>
        <v>0</v>
      </c>
      <c r="S110" s="53">
        <f t="shared" si="19"/>
        <v>0</v>
      </c>
      <c r="T110">
        <f>VLOOKUP($B110,[1]ბიუჯეტი!$B$59:$K$464,10,FALSE)</f>
        <v>0</v>
      </c>
      <c r="U110" s="53">
        <f t="shared" si="20"/>
        <v>6695.5423728813603</v>
      </c>
    </row>
    <row r="111" spans="1:21" hidden="1" outlineLevel="1" x14ac:dyDescent="0.35">
      <c r="A111" s="29">
        <v>3</v>
      </c>
      <c r="B111" s="30" t="s">
        <v>57</v>
      </c>
      <c r="C111" s="8" t="s">
        <v>10</v>
      </c>
      <c r="D111" s="5">
        <f>სამუშაო!D27</f>
        <v>53.85</v>
      </c>
      <c r="E111" s="5"/>
      <c r="F111" s="5">
        <f t="shared" si="13"/>
        <v>0</v>
      </c>
      <c r="G111" s="5">
        <f>63*1.275</f>
        <v>80.324999999999989</v>
      </c>
      <c r="H111" s="5">
        <f t="shared" si="34"/>
        <v>4325.5012499999993</v>
      </c>
      <c r="I111" s="5"/>
      <c r="J111" s="5"/>
      <c r="K111" s="5">
        <f t="shared" si="35"/>
        <v>4325.5012499999993</v>
      </c>
      <c r="L111">
        <f>VLOOKUP($B111,[1]ბიუჯეტი!$B$59:$K$464,3,FALSE)</f>
        <v>75.975999999999999</v>
      </c>
      <c r="M111" s="53">
        <f t="shared" si="16"/>
        <v>-22.125999999999998</v>
      </c>
      <c r="N111">
        <f>VLOOKUP($B111,[1]ბიუჯეტი!$B$59:$K$464,4,FALSE)</f>
        <v>0</v>
      </c>
      <c r="O111" s="53">
        <f t="shared" si="17"/>
        <v>0</v>
      </c>
      <c r="P111">
        <f>VLOOKUP($B111,[1]ბიუჯეტი!$B$59:$K$464,6,FALSE)</f>
        <v>80.324999999999989</v>
      </c>
      <c r="Q111" s="53">
        <f t="shared" si="18"/>
        <v>0</v>
      </c>
      <c r="R111">
        <f>VLOOKUP($B111,[1]ბიუჯეტი!$B$59:$K$464,8,FALSE)</f>
        <v>0</v>
      </c>
      <c r="S111" s="53">
        <f t="shared" si="19"/>
        <v>0</v>
      </c>
      <c r="T111">
        <f>VLOOKUP($B111,[1]ბიუჯეტი!$B$59:$K$464,10,FALSE)</f>
        <v>6102.7721999999994</v>
      </c>
      <c r="U111" s="53">
        <f t="shared" si="20"/>
        <v>-1777.2709500000001</v>
      </c>
    </row>
    <row r="112" spans="1:21" hidden="1" outlineLevel="1" x14ac:dyDescent="0.35">
      <c r="A112" s="29"/>
      <c r="B112" s="7" t="s">
        <v>54</v>
      </c>
      <c r="C112" s="8" t="s">
        <v>55</v>
      </c>
      <c r="D112" s="5">
        <f>D111*35*1.05</f>
        <v>1978.9875000000002</v>
      </c>
      <c r="E112" s="5">
        <f>1/1.18</f>
        <v>0.84745762711864414</v>
      </c>
      <c r="F112" s="5">
        <f t="shared" si="13"/>
        <v>1677.1080508474579</v>
      </c>
      <c r="G112" s="5"/>
      <c r="H112" s="5">
        <f t="shared" si="34"/>
        <v>0</v>
      </c>
      <c r="I112" s="5"/>
      <c r="J112" s="5"/>
      <c r="K112" s="5">
        <f t="shared" si="35"/>
        <v>1677.1080508474579</v>
      </c>
      <c r="L112">
        <f>VLOOKUP($B112,[1]ბიუჯეტი!$B$59:$K$464,3,FALSE)</f>
        <v>912.87</v>
      </c>
      <c r="M112" s="53">
        <f t="shared" si="16"/>
        <v>1066.1175000000003</v>
      </c>
      <c r="N112">
        <f>VLOOKUP($B112,[1]ბიუჯეტი!$B$59:$K$464,4,FALSE)</f>
        <v>0.84745762711864414</v>
      </c>
      <c r="O112" s="53">
        <f t="shared" si="17"/>
        <v>0</v>
      </c>
      <c r="P112">
        <f>VLOOKUP($B112,[1]ბიუჯეტი!$B$59:$K$464,6,FALSE)</f>
        <v>0</v>
      </c>
      <c r="Q112" s="53">
        <f t="shared" si="18"/>
        <v>0</v>
      </c>
      <c r="R112">
        <f>VLOOKUP($B112,[1]ბიუჯეტი!$B$59:$K$464,8,FALSE)</f>
        <v>0</v>
      </c>
      <c r="S112" s="53">
        <f t="shared" si="19"/>
        <v>0</v>
      </c>
      <c r="T112">
        <f>VLOOKUP($B112,[1]ბიუჯეტი!$B$59:$K$464,10,FALSE)</f>
        <v>773.61864406779671</v>
      </c>
      <c r="U112" s="53">
        <f t="shared" si="20"/>
        <v>903.48940677966118</v>
      </c>
    </row>
    <row r="113" spans="1:21" hidden="1" outlineLevel="1" x14ac:dyDescent="0.35">
      <c r="A113" s="29"/>
      <c r="B113" s="7" t="s">
        <v>50</v>
      </c>
      <c r="C113" s="8" t="s">
        <v>9</v>
      </c>
      <c r="D113" s="5">
        <f>D111*0.03*1.05</f>
        <v>1.696275</v>
      </c>
      <c r="E113" s="5">
        <f>65/1.18</f>
        <v>55.084745762711869</v>
      </c>
      <c r="F113" s="5">
        <f t="shared" si="13"/>
        <v>93.438877118644072</v>
      </c>
      <c r="G113" s="5"/>
      <c r="H113" s="5">
        <f t="shared" si="34"/>
        <v>0</v>
      </c>
      <c r="I113" s="5"/>
      <c r="J113" s="5"/>
      <c r="K113" s="5">
        <f t="shared" si="35"/>
        <v>93.438877118644072</v>
      </c>
      <c r="L113">
        <f>VLOOKUP($B113,[1]ბიუჯეტი!$B$59:$K$464,3,FALSE)</f>
        <v>0</v>
      </c>
      <c r="M113" s="53">
        <f t="shared" si="16"/>
        <v>1.696275</v>
      </c>
      <c r="N113">
        <f>VLOOKUP($B113,[1]ბიუჯეტი!$B$59:$K$464,4,FALSE)</f>
        <v>55.084745762711869</v>
      </c>
      <c r="O113" s="53">
        <f t="shared" si="17"/>
        <v>0</v>
      </c>
      <c r="P113">
        <f>VLOOKUP($B113,[1]ბიუჯეტი!$B$59:$K$464,6,FALSE)</f>
        <v>0</v>
      </c>
      <c r="Q113" s="53">
        <f t="shared" si="18"/>
        <v>0</v>
      </c>
      <c r="R113">
        <f>VLOOKUP($B113,[1]ბიუჯეტი!$B$59:$K$464,8,FALSE)</f>
        <v>0</v>
      </c>
      <c r="S113" s="53">
        <f t="shared" si="19"/>
        <v>0</v>
      </c>
      <c r="T113">
        <f>VLOOKUP($B113,[1]ბიუჯეტი!$B$59:$K$464,10,FALSE)</f>
        <v>0</v>
      </c>
      <c r="U113" s="53">
        <f t="shared" si="20"/>
        <v>93.438877118644072</v>
      </c>
    </row>
    <row r="114" spans="1:21" hidden="1" outlineLevel="1" x14ac:dyDescent="0.35">
      <c r="A114" s="29"/>
      <c r="B114" s="7" t="s">
        <v>51</v>
      </c>
      <c r="C114" s="8" t="s">
        <v>12</v>
      </c>
      <c r="D114" s="5">
        <f>D113/4*1.05</f>
        <v>0.44527218750000003</v>
      </c>
      <c r="E114" s="5">
        <f>281.5/1.18</f>
        <v>238.55932203389833</v>
      </c>
      <c r="F114" s="5">
        <f t="shared" si="13"/>
        <v>106.22383117055087</v>
      </c>
      <c r="G114" s="5"/>
      <c r="H114" s="5">
        <f t="shared" si="34"/>
        <v>0</v>
      </c>
      <c r="I114" s="5"/>
      <c r="J114" s="5"/>
      <c r="K114" s="5">
        <f t="shared" si="35"/>
        <v>106.22383117055087</v>
      </c>
      <c r="L114">
        <f>VLOOKUP($B114,[1]ბიუჯეტი!$B$59:$K$464,3,FALSE)</f>
        <v>0</v>
      </c>
      <c r="M114" s="53">
        <f t="shared" si="16"/>
        <v>0.44527218750000003</v>
      </c>
      <c r="N114">
        <f>VLOOKUP($B114,[1]ბიუჯეტი!$B$59:$K$464,4,FALSE)</f>
        <v>238.55932203389833</v>
      </c>
      <c r="O114" s="53">
        <f t="shared" si="17"/>
        <v>0</v>
      </c>
      <c r="P114">
        <f>VLOOKUP($B114,[1]ბიუჯეტი!$B$59:$K$464,6,FALSE)</f>
        <v>0</v>
      </c>
      <c r="Q114" s="53">
        <f t="shared" si="18"/>
        <v>0</v>
      </c>
      <c r="R114">
        <f>VLOOKUP($B114,[1]ბიუჯეტი!$B$59:$K$464,8,FALSE)</f>
        <v>0</v>
      </c>
      <c r="S114" s="53">
        <f t="shared" si="19"/>
        <v>0</v>
      </c>
      <c r="T114">
        <f>VLOOKUP($B114,[1]ბიუჯეტი!$B$59:$K$464,10,FALSE)</f>
        <v>0</v>
      </c>
      <c r="U114" s="53">
        <f t="shared" si="20"/>
        <v>106.22383117055087</v>
      </c>
    </row>
    <row r="115" spans="1:21" hidden="1" outlineLevel="1" x14ac:dyDescent="0.35">
      <c r="A115" s="29"/>
      <c r="B115" s="7" t="s">
        <v>14</v>
      </c>
      <c r="C115" s="8" t="s">
        <v>10</v>
      </c>
      <c r="D115" s="5">
        <f>D111</f>
        <v>53.85</v>
      </c>
      <c r="E115" s="5">
        <f>3/1.18</f>
        <v>2.5423728813559325</v>
      </c>
      <c r="F115" s="5">
        <f t="shared" si="13"/>
        <v>136.90677966101697</v>
      </c>
      <c r="G115" s="5"/>
      <c r="H115" s="5">
        <f t="shared" si="34"/>
        <v>0</v>
      </c>
      <c r="I115" s="5"/>
      <c r="J115" s="5"/>
      <c r="K115" s="5">
        <f t="shared" si="35"/>
        <v>136.90677966101697</v>
      </c>
      <c r="L115">
        <f>VLOOKUP($B115,[1]ბიუჯეტი!$B$59:$K$464,3,FALSE)</f>
        <v>0</v>
      </c>
      <c r="M115" s="53">
        <f t="shared" si="16"/>
        <v>53.85</v>
      </c>
      <c r="N115">
        <f>VLOOKUP($B115,[1]ბიუჯეტი!$B$59:$K$464,4,FALSE)</f>
        <v>0.84745762711864414</v>
      </c>
      <c r="O115" s="53">
        <f t="shared" si="17"/>
        <v>1.6949152542372885</v>
      </c>
      <c r="P115">
        <f>VLOOKUP($B115,[1]ბიუჯეტი!$B$59:$K$464,6,FALSE)</f>
        <v>0</v>
      </c>
      <c r="Q115" s="53">
        <f t="shared" si="18"/>
        <v>0</v>
      </c>
      <c r="R115">
        <f>VLOOKUP($B115,[1]ბიუჯეტი!$B$59:$K$464,8,FALSE)</f>
        <v>0</v>
      </c>
      <c r="S115" s="53">
        <f t="shared" si="19"/>
        <v>0</v>
      </c>
      <c r="T115">
        <f>VLOOKUP($B115,[1]ბიუჯეტი!$B$59:$K$464,10,FALSE)</f>
        <v>0</v>
      </c>
      <c r="U115" s="53">
        <f t="shared" si="20"/>
        <v>136.90677966101697</v>
      </c>
    </row>
    <row r="116" spans="1:21" collapsed="1" x14ac:dyDescent="0.35">
      <c r="A116" s="29">
        <v>4</v>
      </c>
      <c r="B116" s="30" t="s">
        <v>58</v>
      </c>
      <c r="C116" s="8" t="s">
        <v>40</v>
      </c>
      <c r="D116" s="5">
        <f>SUM(D117,D121,D125)</f>
        <v>418.55000000000007</v>
      </c>
      <c r="E116" s="5">
        <f>SUM(K126:K128,K122:K124,K118:K120)/D116</f>
        <v>6.0646381091101693</v>
      </c>
      <c r="F116" s="5">
        <f t="shared" si="13"/>
        <v>2538.3542805680618</v>
      </c>
      <c r="G116" s="5">
        <f>G117</f>
        <v>44.625</v>
      </c>
      <c r="H116" s="5">
        <f>G116*D116</f>
        <v>18677.793750000004</v>
      </c>
      <c r="I116" s="5">
        <v>0</v>
      </c>
      <c r="J116" s="5">
        <v>0</v>
      </c>
      <c r="K116" s="5">
        <f>F116+H116+J116</f>
        <v>21216.148030568067</v>
      </c>
      <c r="L116">
        <f>VLOOKUP($B116,[1]ბიუჯეტი!$B$59:$K$464,3,FALSE)</f>
        <v>826.66000000000008</v>
      </c>
      <c r="M116" s="53">
        <f t="shared" si="16"/>
        <v>-408.11</v>
      </c>
      <c r="N116">
        <f>VLOOKUP($B116,[1]ბიუჯეტი!$B$59:$K$464,4,FALSE)</f>
        <v>6.0646381091101684</v>
      </c>
      <c r="O116" s="53">
        <f t="shared" si="17"/>
        <v>0</v>
      </c>
      <c r="P116">
        <f>VLOOKUP($B116,[1]ბიუჯეტი!$B$59:$K$464,6,FALSE)</f>
        <v>44.625</v>
      </c>
      <c r="Q116" s="53">
        <f t="shared" si="18"/>
        <v>0</v>
      </c>
      <c r="R116">
        <f>VLOOKUP($B116,[1]ბიუჯეტი!$B$59:$K$464,8,FALSE)</f>
        <v>0</v>
      </c>
      <c r="S116" s="53">
        <f t="shared" si="19"/>
        <v>0</v>
      </c>
      <c r="T116">
        <f>VLOOKUP($B116,[1]ბიუჯეტი!$B$59:$K$464,10,FALSE)</f>
        <v>41903.096239277016</v>
      </c>
      <c r="U116" s="53">
        <f t="shared" si="20"/>
        <v>-20686.948208708949</v>
      </c>
    </row>
    <row r="117" spans="1:21" hidden="1" outlineLevel="1" x14ac:dyDescent="0.35">
      <c r="A117" s="29">
        <v>1</v>
      </c>
      <c r="B117" s="30" t="s">
        <v>59</v>
      </c>
      <c r="C117" s="8" t="s">
        <v>40</v>
      </c>
      <c r="D117" s="5">
        <f>სამუშაო!F23</f>
        <v>0</v>
      </c>
      <c r="E117" s="5"/>
      <c r="F117" s="5">
        <f t="shared" si="13"/>
        <v>0</v>
      </c>
      <c r="G117" s="5">
        <f>35*1.275</f>
        <v>44.625</v>
      </c>
      <c r="H117" s="5">
        <f t="shared" ref="H117:H139" si="36">D117*G117</f>
        <v>0</v>
      </c>
      <c r="I117" s="5"/>
      <c r="J117" s="5"/>
      <c r="K117" s="5">
        <f t="shared" si="35"/>
        <v>0</v>
      </c>
      <c r="L117">
        <f>VLOOKUP($B117,[1]ბიუჯეტი!$B$59:$K$464,3,FALSE)</f>
        <v>167.2</v>
      </c>
      <c r="M117" s="53">
        <f t="shared" si="16"/>
        <v>-167.2</v>
      </c>
      <c r="N117">
        <f>VLOOKUP($B117,[1]ბიუჯეტი!$B$59:$K$464,4,FALSE)</f>
        <v>0</v>
      </c>
      <c r="O117" s="53">
        <f t="shared" si="17"/>
        <v>0</v>
      </c>
      <c r="P117">
        <f>VLOOKUP($B117,[1]ბიუჯეტი!$B$59:$K$464,6,FALSE)</f>
        <v>44.625</v>
      </c>
      <c r="Q117" s="53">
        <f t="shared" si="18"/>
        <v>0</v>
      </c>
      <c r="R117">
        <f>VLOOKUP($B117,[1]ბიუჯეტი!$B$59:$K$464,8,FALSE)</f>
        <v>0</v>
      </c>
      <c r="S117" s="53">
        <f t="shared" si="19"/>
        <v>0</v>
      </c>
      <c r="T117">
        <f>VLOOKUP($B117,[1]ბიუჯეტი!$B$59:$K$464,10,FALSE)</f>
        <v>7461.2999999999993</v>
      </c>
      <c r="U117" s="53">
        <f t="shared" si="20"/>
        <v>-7461.2999999999993</v>
      </c>
    </row>
    <row r="118" spans="1:21" hidden="1" outlineLevel="1" x14ac:dyDescent="0.35">
      <c r="A118" s="29"/>
      <c r="B118" s="7" t="s">
        <v>54</v>
      </c>
      <c r="C118" s="8" t="s">
        <v>55</v>
      </c>
      <c r="D118" s="5">
        <f>D117*6.5</f>
        <v>0</v>
      </c>
      <c r="E118" s="5">
        <f>1/1.18</f>
        <v>0.84745762711864414</v>
      </c>
      <c r="F118" s="5">
        <f t="shared" si="13"/>
        <v>0</v>
      </c>
      <c r="G118" s="5"/>
      <c r="H118" s="5">
        <f t="shared" si="36"/>
        <v>0</v>
      </c>
      <c r="I118" s="5"/>
      <c r="J118" s="5"/>
      <c r="K118" s="5">
        <f t="shared" si="35"/>
        <v>0</v>
      </c>
      <c r="L118">
        <f>VLOOKUP($B118,[1]ბიუჯეტი!$B$59:$K$464,3,FALSE)</f>
        <v>912.87</v>
      </c>
      <c r="M118" s="53">
        <f t="shared" si="16"/>
        <v>-912.87</v>
      </c>
      <c r="N118">
        <f>VLOOKUP($B118,[1]ბიუჯეტი!$B$59:$K$464,4,FALSE)</f>
        <v>0.84745762711864414</v>
      </c>
      <c r="O118" s="53">
        <f t="shared" si="17"/>
        <v>0</v>
      </c>
      <c r="P118">
        <f>VLOOKUP($B118,[1]ბიუჯეტი!$B$59:$K$464,6,FALSE)</f>
        <v>0</v>
      </c>
      <c r="Q118" s="53">
        <f t="shared" si="18"/>
        <v>0</v>
      </c>
      <c r="R118">
        <f>VLOOKUP($B118,[1]ბიუჯეტი!$B$59:$K$464,8,FALSE)</f>
        <v>0</v>
      </c>
      <c r="S118" s="53">
        <f t="shared" si="19"/>
        <v>0</v>
      </c>
      <c r="T118">
        <f>VLOOKUP($B118,[1]ბიუჯეტი!$B$59:$K$464,10,FALSE)</f>
        <v>773.61864406779671</v>
      </c>
      <c r="U118" s="53">
        <f t="shared" si="20"/>
        <v>-773.61864406779671</v>
      </c>
    </row>
    <row r="119" spans="1:21" hidden="1" outlineLevel="1" x14ac:dyDescent="0.35">
      <c r="A119" s="29"/>
      <c r="B119" s="7" t="s">
        <v>50</v>
      </c>
      <c r="C119" s="8" t="s">
        <v>9</v>
      </c>
      <c r="D119" s="5">
        <f>D117*0.15*0.03*1.05</f>
        <v>0</v>
      </c>
      <c r="E119" s="5">
        <f>65/1.18</f>
        <v>55.084745762711869</v>
      </c>
      <c r="F119" s="5">
        <f t="shared" si="13"/>
        <v>0</v>
      </c>
      <c r="G119" s="5"/>
      <c r="H119" s="5">
        <f t="shared" si="36"/>
        <v>0</v>
      </c>
      <c r="I119" s="5"/>
      <c r="J119" s="5"/>
      <c r="K119" s="5">
        <f t="shared" si="35"/>
        <v>0</v>
      </c>
      <c r="L119">
        <f>VLOOKUP($B119,[1]ბიუჯეტი!$B$59:$K$464,3,FALSE)</f>
        <v>0</v>
      </c>
      <c r="M119" s="53">
        <f t="shared" si="16"/>
        <v>0</v>
      </c>
      <c r="N119">
        <f>VLOOKUP($B119,[1]ბიუჯეტი!$B$59:$K$464,4,FALSE)</f>
        <v>55.084745762711869</v>
      </c>
      <c r="O119" s="53">
        <f t="shared" si="17"/>
        <v>0</v>
      </c>
      <c r="P119">
        <f>VLOOKUP($B119,[1]ბიუჯეტი!$B$59:$K$464,6,FALSE)</f>
        <v>0</v>
      </c>
      <c r="Q119" s="53">
        <f t="shared" si="18"/>
        <v>0</v>
      </c>
      <c r="R119">
        <f>VLOOKUP($B119,[1]ბიუჯეტი!$B$59:$K$464,8,FALSE)</f>
        <v>0</v>
      </c>
      <c r="S119" s="53">
        <f t="shared" si="19"/>
        <v>0</v>
      </c>
      <c r="T119">
        <f>VLOOKUP($B119,[1]ბიუჯეტი!$B$59:$K$464,10,FALSE)</f>
        <v>0</v>
      </c>
      <c r="U119" s="53">
        <f t="shared" si="20"/>
        <v>0</v>
      </c>
    </row>
    <row r="120" spans="1:21" hidden="1" outlineLevel="1" x14ac:dyDescent="0.35">
      <c r="A120" s="29"/>
      <c r="B120" s="7" t="s">
        <v>51</v>
      </c>
      <c r="C120" s="8" t="s">
        <v>12</v>
      </c>
      <c r="D120" s="5">
        <f>D119/4*1.05</f>
        <v>0</v>
      </c>
      <c r="E120" s="5">
        <f>281.5/1.18</f>
        <v>238.55932203389833</v>
      </c>
      <c r="F120" s="5">
        <f t="shared" si="13"/>
        <v>0</v>
      </c>
      <c r="G120" s="5"/>
      <c r="H120" s="5">
        <f t="shared" si="36"/>
        <v>0</v>
      </c>
      <c r="I120" s="5"/>
      <c r="J120" s="5"/>
      <c r="K120" s="5">
        <f t="shared" si="35"/>
        <v>0</v>
      </c>
      <c r="L120">
        <f>VLOOKUP($B120,[1]ბიუჯეტი!$B$59:$K$464,3,FALSE)</f>
        <v>0</v>
      </c>
      <c r="M120" s="53">
        <f t="shared" si="16"/>
        <v>0</v>
      </c>
      <c r="N120">
        <f>VLOOKUP($B120,[1]ბიუჯეტი!$B$59:$K$464,4,FALSE)</f>
        <v>238.55932203389833</v>
      </c>
      <c r="O120" s="53">
        <f t="shared" si="17"/>
        <v>0</v>
      </c>
      <c r="P120">
        <f>VLOOKUP($B120,[1]ბიუჯეტი!$B$59:$K$464,6,FALSE)</f>
        <v>0</v>
      </c>
      <c r="Q120" s="53">
        <f t="shared" si="18"/>
        <v>0</v>
      </c>
      <c r="R120">
        <f>VLOOKUP($B120,[1]ბიუჯეტი!$B$59:$K$464,8,FALSE)</f>
        <v>0</v>
      </c>
      <c r="S120" s="53">
        <f t="shared" si="19"/>
        <v>0</v>
      </c>
      <c r="T120">
        <f>VLOOKUP($B120,[1]ბიუჯეტი!$B$59:$K$464,10,FALSE)</f>
        <v>0</v>
      </c>
      <c r="U120" s="53">
        <f t="shared" si="20"/>
        <v>0</v>
      </c>
    </row>
    <row r="121" spans="1:21" hidden="1" outlineLevel="1" x14ac:dyDescent="0.35">
      <c r="A121" s="29">
        <v>2</v>
      </c>
      <c r="B121" s="30" t="s">
        <v>177</v>
      </c>
      <c r="C121" s="8" t="s">
        <v>40</v>
      </c>
      <c r="D121" s="5">
        <f>სამუშაო!F24+სამუშაო!F25+სამუშაო!F26</f>
        <v>413.55000000000007</v>
      </c>
      <c r="E121" s="5"/>
      <c r="F121" s="5">
        <f t="shared" si="13"/>
        <v>0</v>
      </c>
      <c r="G121" s="5">
        <f>35*1.275</f>
        <v>44.625</v>
      </c>
      <c r="H121" s="5">
        <f t="shared" si="36"/>
        <v>18454.668750000004</v>
      </c>
      <c r="I121" s="5"/>
      <c r="J121" s="5"/>
      <c r="K121" s="5">
        <f t="shared" si="35"/>
        <v>18454.668750000004</v>
      </c>
      <c r="L121">
        <f>VLOOKUP($B121,[1]ბიუჯეტი!$B$59:$K$464,3,FALSE)</f>
        <v>656.76</v>
      </c>
      <c r="M121" s="53">
        <f t="shared" si="16"/>
        <v>-243.20999999999992</v>
      </c>
      <c r="N121">
        <f>VLOOKUP($B121,[1]ბიუჯეტი!$B$59:$K$464,4,FALSE)</f>
        <v>0</v>
      </c>
      <c r="O121" s="53">
        <f t="shared" si="17"/>
        <v>0</v>
      </c>
      <c r="P121">
        <f>VLOOKUP($B121,[1]ბიუჯეტი!$B$59:$K$464,6,FALSE)</f>
        <v>44.625</v>
      </c>
      <c r="Q121" s="53">
        <f t="shared" si="18"/>
        <v>0</v>
      </c>
      <c r="R121">
        <f>VLOOKUP($B121,[1]ბიუჯეტი!$B$59:$K$464,8,FALSE)</f>
        <v>0</v>
      </c>
      <c r="S121" s="53">
        <f t="shared" si="19"/>
        <v>0</v>
      </c>
      <c r="T121">
        <f>VLOOKUP($B121,[1]ბიუჯეტი!$B$59:$K$464,10,FALSE)</f>
        <v>29307.915000000001</v>
      </c>
      <c r="U121" s="53">
        <f t="shared" si="20"/>
        <v>-10853.246249999997</v>
      </c>
    </row>
    <row r="122" spans="1:21" hidden="1" outlineLevel="1" x14ac:dyDescent="0.35">
      <c r="A122" s="29"/>
      <c r="B122" s="7" t="s">
        <v>54</v>
      </c>
      <c r="C122" s="8" t="s">
        <v>55</v>
      </c>
      <c r="D122" s="5">
        <f>D121*6.5</f>
        <v>2688.0750000000003</v>
      </c>
      <c r="E122" s="5">
        <f>1/1.18</f>
        <v>0.84745762711864414</v>
      </c>
      <c r="F122" s="5">
        <f t="shared" si="13"/>
        <v>2278.0296610169494</v>
      </c>
      <c r="G122" s="5"/>
      <c r="H122" s="5">
        <f t="shared" si="36"/>
        <v>0</v>
      </c>
      <c r="I122" s="5"/>
      <c r="J122" s="5"/>
      <c r="K122" s="5">
        <f t="shared" si="35"/>
        <v>2278.0296610169494</v>
      </c>
      <c r="L122">
        <f>VLOOKUP($B122,[1]ბიუჯეტი!$B$59:$K$464,3,FALSE)</f>
        <v>912.87</v>
      </c>
      <c r="M122" s="53">
        <f t="shared" si="16"/>
        <v>1775.2050000000004</v>
      </c>
      <c r="N122">
        <f>VLOOKUP($B122,[1]ბიუჯეტი!$B$59:$K$464,4,FALSE)</f>
        <v>0.84745762711864414</v>
      </c>
      <c r="O122" s="53">
        <f t="shared" si="17"/>
        <v>0</v>
      </c>
      <c r="P122">
        <f>VLOOKUP($B122,[1]ბიუჯეტი!$B$59:$K$464,6,FALSE)</f>
        <v>0</v>
      </c>
      <c r="Q122" s="53">
        <f t="shared" si="18"/>
        <v>0</v>
      </c>
      <c r="R122">
        <f>VLOOKUP($B122,[1]ბიუჯეტი!$B$59:$K$464,8,FALSE)</f>
        <v>0</v>
      </c>
      <c r="S122" s="53">
        <f t="shared" si="19"/>
        <v>0</v>
      </c>
      <c r="T122">
        <f>VLOOKUP($B122,[1]ბიუჯეტი!$B$59:$K$464,10,FALSE)</f>
        <v>773.61864406779671</v>
      </c>
      <c r="U122" s="53">
        <f t="shared" si="20"/>
        <v>1504.4110169491528</v>
      </c>
    </row>
    <row r="123" spans="1:21" hidden="1" outlineLevel="1" x14ac:dyDescent="0.35">
      <c r="A123" s="29"/>
      <c r="B123" s="7" t="s">
        <v>50</v>
      </c>
      <c r="C123" s="8" t="s">
        <v>9</v>
      </c>
      <c r="D123" s="5">
        <f>D121*0.15*0.03*1.05</f>
        <v>1.9540237500000002</v>
      </c>
      <c r="E123" s="5">
        <f>65/1.18</f>
        <v>55.084745762711869</v>
      </c>
      <c r="F123" s="5">
        <f t="shared" si="13"/>
        <v>107.63690148305086</v>
      </c>
      <c r="G123" s="5"/>
      <c r="H123" s="5">
        <f t="shared" si="36"/>
        <v>0</v>
      </c>
      <c r="I123" s="5"/>
      <c r="J123" s="5"/>
      <c r="K123" s="5">
        <f t="shared" si="35"/>
        <v>107.63690148305086</v>
      </c>
      <c r="L123">
        <f>VLOOKUP($B123,[1]ბიუჯეტი!$B$59:$K$464,3,FALSE)</f>
        <v>0</v>
      </c>
      <c r="M123" s="53">
        <f t="shared" si="16"/>
        <v>1.9540237500000002</v>
      </c>
      <c r="N123">
        <f>VLOOKUP($B123,[1]ბიუჯეტი!$B$59:$K$464,4,FALSE)</f>
        <v>55.084745762711869</v>
      </c>
      <c r="O123" s="53">
        <f t="shared" si="17"/>
        <v>0</v>
      </c>
      <c r="P123">
        <f>VLOOKUP($B123,[1]ბიუჯეტი!$B$59:$K$464,6,FALSE)</f>
        <v>0</v>
      </c>
      <c r="Q123" s="53">
        <f t="shared" si="18"/>
        <v>0</v>
      </c>
      <c r="R123">
        <f>VLOOKUP($B123,[1]ბიუჯეტი!$B$59:$K$464,8,FALSE)</f>
        <v>0</v>
      </c>
      <c r="S123" s="53">
        <f t="shared" si="19"/>
        <v>0</v>
      </c>
      <c r="T123">
        <f>VLOOKUP($B123,[1]ბიუჯეტი!$B$59:$K$464,10,FALSE)</f>
        <v>0</v>
      </c>
      <c r="U123" s="53">
        <f t="shared" si="20"/>
        <v>107.63690148305086</v>
      </c>
    </row>
    <row r="124" spans="1:21" hidden="1" outlineLevel="1" x14ac:dyDescent="0.35">
      <c r="A124" s="29"/>
      <c r="B124" s="7" t="s">
        <v>51</v>
      </c>
      <c r="C124" s="8" t="s">
        <v>12</v>
      </c>
      <c r="D124" s="5">
        <f>D123/4*1.05</f>
        <v>0.5129312343750001</v>
      </c>
      <c r="E124" s="5">
        <f>281.5/1.18</f>
        <v>238.55932203389833</v>
      </c>
      <c r="F124" s="5">
        <f t="shared" si="13"/>
        <v>122.36452752251063</v>
      </c>
      <c r="G124" s="5"/>
      <c r="H124" s="5">
        <f t="shared" si="36"/>
        <v>0</v>
      </c>
      <c r="I124" s="5"/>
      <c r="J124" s="5"/>
      <c r="K124" s="5">
        <f t="shared" si="35"/>
        <v>122.36452752251063</v>
      </c>
      <c r="L124">
        <f>VLOOKUP($B124,[1]ბიუჯეტი!$B$59:$K$464,3,FALSE)</f>
        <v>0</v>
      </c>
      <c r="M124" s="53">
        <f t="shared" si="16"/>
        <v>0.5129312343750001</v>
      </c>
      <c r="N124">
        <f>VLOOKUP($B124,[1]ბიუჯეტი!$B$59:$K$464,4,FALSE)</f>
        <v>238.55932203389833</v>
      </c>
      <c r="O124" s="53">
        <f t="shared" si="17"/>
        <v>0</v>
      </c>
      <c r="P124">
        <f>VLOOKUP($B124,[1]ბიუჯეტი!$B$59:$K$464,6,FALSE)</f>
        <v>0</v>
      </c>
      <c r="Q124" s="53">
        <f t="shared" si="18"/>
        <v>0</v>
      </c>
      <c r="R124">
        <f>VLOOKUP($B124,[1]ბიუჯეტი!$B$59:$K$464,8,FALSE)</f>
        <v>0</v>
      </c>
      <c r="S124" s="53">
        <f t="shared" si="19"/>
        <v>0</v>
      </c>
      <c r="T124">
        <f>VLOOKUP($B124,[1]ბიუჯეტი!$B$59:$K$464,10,FALSE)</f>
        <v>0</v>
      </c>
      <c r="U124" s="53">
        <f t="shared" si="20"/>
        <v>122.36452752251063</v>
      </c>
    </row>
    <row r="125" spans="1:21" hidden="1" outlineLevel="1" x14ac:dyDescent="0.35">
      <c r="A125" s="29">
        <v>3</v>
      </c>
      <c r="B125" s="30" t="s">
        <v>60</v>
      </c>
      <c r="C125" s="8" t="s">
        <v>40</v>
      </c>
      <c r="D125" s="5">
        <f>სამუშაო!F27</f>
        <v>5</v>
      </c>
      <c r="E125" s="5"/>
      <c r="F125" s="5">
        <f t="shared" si="13"/>
        <v>0</v>
      </c>
      <c r="G125" s="5">
        <f>35*1.275</f>
        <v>44.625</v>
      </c>
      <c r="H125" s="5">
        <f t="shared" si="36"/>
        <v>223.125</v>
      </c>
      <c r="I125" s="5"/>
      <c r="J125" s="5"/>
      <c r="K125" s="5">
        <f t="shared" si="35"/>
        <v>223.125</v>
      </c>
      <c r="L125">
        <f>VLOOKUP($B125,[1]ბიუჯეტი!$B$59:$K$464,3,FALSE)</f>
        <v>2.7</v>
      </c>
      <c r="M125" s="53">
        <f t="shared" ref="M125:M188" si="37">D125-L125</f>
        <v>2.2999999999999998</v>
      </c>
      <c r="N125">
        <f>VLOOKUP($B125,[1]ბიუჯეტი!$B$59:$K$464,4,FALSE)</f>
        <v>0</v>
      </c>
      <c r="O125" s="53">
        <f t="shared" ref="O125:O188" si="38">E125-N125</f>
        <v>0</v>
      </c>
      <c r="P125">
        <f>VLOOKUP($B125,[1]ბიუჯეტი!$B$59:$K$464,6,FALSE)</f>
        <v>44.625</v>
      </c>
      <c r="Q125" s="53">
        <f t="shared" ref="Q125:Q188" si="39">G125-P125</f>
        <v>0</v>
      </c>
      <c r="R125">
        <f>VLOOKUP($B125,[1]ბიუჯეტი!$B$59:$K$464,8,FALSE)</f>
        <v>0</v>
      </c>
      <c r="S125" s="53">
        <f t="shared" ref="S125:S188" si="40">I125-R125</f>
        <v>0</v>
      </c>
      <c r="T125">
        <f>VLOOKUP($B125,[1]ბიუჯეტი!$B$59:$K$464,10,FALSE)</f>
        <v>120.48750000000001</v>
      </c>
      <c r="U125" s="53">
        <f t="shared" ref="U125:U188" si="41">K125-T125</f>
        <v>102.63749999999999</v>
      </c>
    </row>
    <row r="126" spans="1:21" hidden="1" outlineLevel="1" x14ac:dyDescent="0.35">
      <c r="A126" s="29"/>
      <c r="B126" s="7" t="s">
        <v>54</v>
      </c>
      <c r="C126" s="8" t="s">
        <v>55</v>
      </c>
      <c r="D126" s="5">
        <f>D125*6.5</f>
        <v>32.5</v>
      </c>
      <c r="E126" s="5">
        <f>1/1.18</f>
        <v>0.84745762711864414</v>
      </c>
      <c r="F126" s="5">
        <f t="shared" si="13"/>
        <v>27.542372881355934</v>
      </c>
      <c r="G126" s="5"/>
      <c r="H126" s="5">
        <f t="shared" si="36"/>
        <v>0</v>
      </c>
      <c r="I126" s="5"/>
      <c r="J126" s="5"/>
      <c r="K126" s="5">
        <f t="shared" si="35"/>
        <v>27.542372881355934</v>
      </c>
      <c r="L126">
        <f>VLOOKUP($B126,[1]ბიუჯეტი!$B$59:$K$464,3,FALSE)</f>
        <v>912.87</v>
      </c>
      <c r="M126" s="53">
        <f t="shared" si="37"/>
        <v>-880.37</v>
      </c>
      <c r="N126">
        <f>VLOOKUP($B126,[1]ბიუჯეტი!$B$59:$K$464,4,FALSE)</f>
        <v>0.84745762711864414</v>
      </c>
      <c r="O126" s="53">
        <f t="shared" si="38"/>
        <v>0</v>
      </c>
      <c r="P126">
        <f>VLOOKUP($B126,[1]ბიუჯეტი!$B$59:$K$464,6,FALSE)</f>
        <v>0</v>
      </c>
      <c r="Q126" s="53">
        <f t="shared" si="39"/>
        <v>0</v>
      </c>
      <c r="R126">
        <f>VLOOKUP($B126,[1]ბიუჯეტი!$B$59:$K$464,8,FALSE)</f>
        <v>0</v>
      </c>
      <c r="S126" s="53">
        <f t="shared" si="40"/>
        <v>0</v>
      </c>
      <c r="T126">
        <f>VLOOKUP($B126,[1]ბიუჯეტი!$B$59:$K$464,10,FALSE)</f>
        <v>773.61864406779671</v>
      </c>
      <c r="U126" s="53">
        <f t="shared" si="41"/>
        <v>-746.07627118644075</v>
      </c>
    </row>
    <row r="127" spans="1:21" hidden="1" outlineLevel="1" x14ac:dyDescent="0.35">
      <c r="A127" s="29"/>
      <c r="B127" s="7" t="s">
        <v>50</v>
      </c>
      <c r="C127" s="8" t="s">
        <v>9</v>
      </c>
      <c r="D127" s="5">
        <f>D125*0.15*0.03*1.05</f>
        <v>2.3625E-2</v>
      </c>
      <c r="E127" s="5">
        <f>65/1.18</f>
        <v>55.084745762711869</v>
      </c>
      <c r="F127" s="5">
        <f t="shared" si="13"/>
        <v>1.3013771186440679</v>
      </c>
      <c r="G127" s="5"/>
      <c r="H127" s="5">
        <f t="shared" si="36"/>
        <v>0</v>
      </c>
      <c r="I127" s="5"/>
      <c r="J127" s="5"/>
      <c r="K127" s="5">
        <f t="shared" si="35"/>
        <v>1.3013771186440679</v>
      </c>
      <c r="L127">
        <f>VLOOKUP($B127,[1]ბიუჯეტი!$B$59:$K$464,3,FALSE)</f>
        <v>0</v>
      </c>
      <c r="M127" s="53">
        <f t="shared" si="37"/>
        <v>2.3625E-2</v>
      </c>
      <c r="N127">
        <f>VLOOKUP($B127,[1]ბიუჯეტი!$B$59:$K$464,4,FALSE)</f>
        <v>55.084745762711869</v>
      </c>
      <c r="O127" s="53">
        <f t="shared" si="38"/>
        <v>0</v>
      </c>
      <c r="P127">
        <f>VLOOKUP($B127,[1]ბიუჯეტი!$B$59:$K$464,6,FALSE)</f>
        <v>0</v>
      </c>
      <c r="Q127" s="53">
        <f t="shared" si="39"/>
        <v>0</v>
      </c>
      <c r="R127">
        <f>VLOOKUP($B127,[1]ბიუჯეტი!$B$59:$K$464,8,FALSE)</f>
        <v>0</v>
      </c>
      <c r="S127" s="53">
        <f t="shared" si="40"/>
        <v>0</v>
      </c>
      <c r="T127">
        <f>VLOOKUP($B127,[1]ბიუჯეტი!$B$59:$K$464,10,FALSE)</f>
        <v>0</v>
      </c>
      <c r="U127" s="53">
        <f t="shared" si="41"/>
        <v>1.3013771186440679</v>
      </c>
    </row>
    <row r="128" spans="1:21" hidden="1" outlineLevel="1" x14ac:dyDescent="0.35">
      <c r="A128" s="29"/>
      <c r="B128" s="7" t="s">
        <v>51</v>
      </c>
      <c r="C128" s="8" t="s">
        <v>12</v>
      </c>
      <c r="D128" s="5">
        <f>D127/4*1.05</f>
        <v>6.2015625000000005E-3</v>
      </c>
      <c r="E128" s="5">
        <f>281.5/1.18</f>
        <v>238.55932203389833</v>
      </c>
      <c r="F128" s="5">
        <f t="shared" si="13"/>
        <v>1.4794405455508477</v>
      </c>
      <c r="G128" s="5"/>
      <c r="H128" s="5">
        <f t="shared" si="36"/>
        <v>0</v>
      </c>
      <c r="I128" s="5"/>
      <c r="J128" s="5"/>
      <c r="K128" s="5">
        <f t="shared" si="35"/>
        <v>1.4794405455508477</v>
      </c>
      <c r="L128">
        <f>VLOOKUP($B128,[1]ბიუჯეტი!$B$59:$K$464,3,FALSE)</f>
        <v>0</v>
      </c>
      <c r="M128" s="53">
        <f t="shared" si="37"/>
        <v>6.2015625000000005E-3</v>
      </c>
      <c r="N128">
        <f>VLOOKUP($B128,[1]ბიუჯეტი!$B$59:$K$464,4,FALSE)</f>
        <v>238.55932203389833</v>
      </c>
      <c r="O128" s="53">
        <f t="shared" si="38"/>
        <v>0</v>
      </c>
      <c r="P128">
        <f>VLOOKUP($B128,[1]ბიუჯეტი!$B$59:$K$464,6,FALSE)</f>
        <v>0</v>
      </c>
      <c r="Q128" s="53">
        <f t="shared" si="39"/>
        <v>0</v>
      </c>
      <c r="R128">
        <f>VLOOKUP($B128,[1]ბიუჯეტი!$B$59:$K$464,8,FALSE)</f>
        <v>0</v>
      </c>
      <c r="S128" s="53">
        <f t="shared" si="40"/>
        <v>0</v>
      </c>
      <c r="T128">
        <f>VLOOKUP($B128,[1]ბიუჯეტი!$B$59:$K$464,10,FALSE)</f>
        <v>0</v>
      </c>
      <c r="U128" s="53">
        <f t="shared" si="41"/>
        <v>1.4794405455508477</v>
      </c>
    </row>
    <row r="129" spans="1:21" collapsed="1" x14ac:dyDescent="0.35">
      <c r="A129" s="29">
        <v>5</v>
      </c>
      <c r="B129" s="30" t="s">
        <v>203</v>
      </c>
      <c r="C129" s="8" t="s">
        <v>10</v>
      </c>
      <c r="D129" s="5">
        <f>D130+D135</f>
        <v>26.73</v>
      </c>
      <c r="E129" s="5">
        <f>SUM(K136:K139,K131:K134)/D129</f>
        <v>20.211994173728815</v>
      </c>
      <c r="F129" s="5">
        <f t="shared" si="13"/>
        <v>540.26660426377123</v>
      </c>
      <c r="G129" s="5">
        <f>SUM(K130,K135)/D129</f>
        <v>80.324999999999989</v>
      </c>
      <c r="H129" s="5">
        <f t="shared" si="36"/>
        <v>2147.0872499999996</v>
      </c>
      <c r="I129" s="5">
        <v>0</v>
      </c>
      <c r="J129" s="5">
        <v>0</v>
      </c>
      <c r="K129" s="5">
        <f>F129+H129+J129</f>
        <v>2687.3538542637707</v>
      </c>
      <c r="L129">
        <f>VLOOKUP($B129,[1]ბიუჯეტი!$B$59:$K$464,3,FALSE)</f>
        <v>35.64</v>
      </c>
      <c r="M129" s="53">
        <f t="shared" si="37"/>
        <v>-8.91</v>
      </c>
      <c r="N129">
        <f>VLOOKUP($B129,[1]ბიუჯეტი!$B$59:$K$464,4,FALSE)</f>
        <v>20.211994173728815</v>
      </c>
      <c r="O129" s="53">
        <f t="shared" si="38"/>
        <v>0</v>
      </c>
      <c r="P129">
        <f>VLOOKUP($B129,[1]ბიუჯეტი!$B$59:$K$464,6,FALSE)</f>
        <v>80.324999999999989</v>
      </c>
      <c r="Q129" s="53">
        <f t="shared" si="39"/>
        <v>0</v>
      </c>
      <c r="R129">
        <f>VLOOKUP($B129,[1]ბიუჯეტი!$B$59:$K$464,8,FALSE)</f>
        <v>0</v>
      </c>
      <c r="S129" s="53">
        <f t="shared" si="40"/>
        <v>0</v>
      </c>
      <c r="T129">
        <f>VLOOKUP($B129,[1]ბიუჯეტი!$B$59:$K$464,10,FALSE)</f>
        <v>3583.1384723516944</v>
      </c>
      <c r="U129" s="53">
        <f t="shared" si="41"/>
        <v>-895.78461808792372</v>
      </c>
    </row>
    <row r="130" spans="1:21" hidden="1" outlineLevel="1" x14ac:dyDescent="0.35">
      <c r="A130" s="29">
        <v>1</v>
      </c>
      <c r="B130" s="30" t="s">
        <v>56</v>
      </c>
      <c r="C130" s="8" t="s">
        <v>10</v>
      </c>
      <c r="D130" s="5">
        <f>სამუშაო!G42</f>
        <v>0</v>
      </c>
      <c r="E130" s="5"/>
      <c r="F130" s="5">
        <f t="shared" si="13"/>
        <v>0</v>
      </c>
      <c r="G130" s="5">
        <f>63*1.275</f>
        <v>80.324999999999989</v>
      </c>
      <c r="H130" s="5">
        <f t="shared" si="36"/>
        <v>0</v>
      </c>
      <c r="I130" s="5"/>
      <c r="J130" s="5"/>
      <c r="K130" s="5">
        <f t="shared" ref="K130:K139" si="42">F130+H130</f>
        <v>0</v>
      </c>
      <c r="L130">
        <f>VLOOKUP($B130,[1]ბიუჯეტი!$B$59:$K$464,3,FALSE)</f>
        <v>225.72739999999999</v>
      </c>
      <c r="M130" s="53">
        <f t="shared" si="37"/>
        <v>-225.72739999999999</v>
      </c>
      <c r="N130">
        <f>VLOOKUP($B130,[1]ბიუჯეტი!$B$59:$K$464,4,FALSE)</f>
        <v>0</v>
      </c>
      <c r="O130" s="53">
        <f t="shared" si="38"/>
        <v>0</v>
      </c>
      <c r="P130">
        <f>VLOOKUP($B130,[1]ბიუჯეტი!$B$59:$K$464,6,FALSE)</f>
        <v>80.324999999999989</v>
      </c>
      <c r="Q130" s="53">
        <f t="shared" si="39"/>
        <v>0</v>
      </c>
      <c r="R130">
        <f>VLOOKUP($B130,[1]ბიუჯეტი!$B$59:$K$464,8,FALSE)</f>
        <v>0</v>
      </c>
      <c r="S130" s="53">
        <f t="shared" si="40"/>
        <v>0</v>
      </c>
      <c r="T130">
        <f>VLOOKUP($B130,[1]ბიუჯეტი!$B$59:$K$464,10,FALSE)</f>
        <v>18131.553404999995</v>
      </c>
      <c r="U130" s="53">
        <f t="shared" si="41"/>
        <v>-18131.553404999995</v>
      </c>
    </row>
    <row r="131" spans="1:21" hidden="1" outlineLevel="1" x14ac:dyDescent="0.35">
      <c r="A131" s="29"/>
      <c r="B131" s="7" t="s">
        <v>54</v>
      </c>
      <c r="C131" s="8" t="s">
        <v>55</v>
      </c>
      <c r="D131" s="5">
        <f>D130*35*1.05/2</f>
        <v>0</v>
      </c>
      <c r="E131" s="5">
        <f>1/1.18</f>
        <v>0.84745762711864414</v>
      </c>
      <c r="F131" s="5">
        <f t="shared" si="13"/>
        <v>0</v>
      </c>
      <c r="G131" s="5"/>
      <c r="H131" s="5">
        <f t="shared" si="36"/>
        <v>0</v>
      </c>
      <c r="I131" s="5"/>
      <c r="J131" s="5"/>
      <c r="K131" s="5">
        <f t="shared" si="42"/>
        <v>0</v>
      </c>
      <c r="L131">
        <f>VLOOKUP($B131,[1]ბიუჯეტი!$B$59:$K$464,3,FALSE)</f>
        <v>912.87</v>
      </c>
      <c r="M131" s="53">
        <f t="shared" si="37"/>
        <v>-912.87</v>
      </c>
      <c r="N131">
        <f>VLOOKUP($B131,[1]ბიუჯეტი!$B$59:$K$464,4,FALSE)</f>
        <v>0.84745762711864414</v>
      </c>
      <c r="O131" s="53">
        <f t="shared" si="38"/>
        <v>0</v>
      </c>
      <c r="P131">
        <f>VLOOKUP($B131,[1]ბიუჯეტი!$B$59:$K$464,6,FALSE)</f>
        <v>0</v>
      </c>
      <c r="Q131" s="53">
        <f t="shared" si="39"/>
        <v>0</v>
      </c>
      <c r="R131">
        <f>VLOOKUP($B131,[1]ბიუჯეტი!$B$59:$K$464,8,FALSE)</f>
        <v>0</v>
      </c>
      <c r="S131" s="53">
        <f t="shared" si="40"/>
        <v>0</v>
      </c>
      <c r="T131">
        <f>VLOOKUP($B131,[1]ბიუჯეტი!$B$59:$K$464,10,FALSE)</f>
        <v>773.61864406779671</v>
      </c>
      <c r="U131" s="53">
        <f t="shared" si="41"/>
        <v>-773.61864406779671</v>
      </c>
    </row>
    <row r="132" spans="1:21" hidden="1" outlineLevel="1" x14ac:dyDescent="0.35">
      <c r="A132" s="29"/>
      <c r="B132" s="7" t="s">
        <v>50</v>
      </c>
      <c r="C132" s="8" t="s">
        <v>9</v>
      </c>
      <c r="D132" s="5">
        <f>D130*0.03*1.05</f>
        <v>0</v>
      </c>
      <c r="E132" s="5">
        <f>65/1.18</f>
        <v>55.084745762711869</v>
      </c>
      <c r="F132" s="5">
        <f t="shared" si="13"/>
        <v>0</v>
      </c>
      <c r="G132" s="5"/>
      <c r="H132" s="5">
        <f t="shared" si="36"/>
        <v>0</v>
      </c>
      <c r="I132" s="5"/>
      <c r="J132" s="5"/>
      <c r="K132" s="5">
        <f t="shared" si="42"/>
        <v>0</v>
      </c>
      <c r="L132">
        <f>VLOOKUP($B132,[1]ბიუჯეტი!$B$59:$K$464,3,FALSE)</f>
        <v>0</v>
      </c>
      <c r="M132" s="53">
        <f t="shared" si="37"/>
        <v>0</v>
      </c>
      <c r="N132">
        <f>VLOOKUP($B132,[1]ბიუჯეტი!$B$59:$K$464,4,FALSE)</f>
        <v>55.084745762711869</v>
      </c>
      <c r="O132" s="53">
        <f t="shared" si="38"/>
        <v>0</v>
      </c>
      <c r="P132">
        <f>VLOOKUP($B132,[1]ბიუჯეტი!$B$59:$K$464,6,FALSE)</f>
        <v>0</v>
      </c>
      <c r="Q132" s="53">
        <f t="shared" si="39"/>
        <v>0</v>
      </c>
      <c r="R132">
        <f>VLOOKUP($B132,[1]ბიუჯეტი!$B$59:$K$464,8,FALSE)</f>
        <v>0</v>
      </c>
      <c r="S132" s="53">
        <f t="shared" si="40"/>
        <v>0</v>
      </c>
      <c r="T132">
        <f>VLOOKUP($B132,[1]ბიუჯეტი!$B$59:$K$464,10,FALSE)</f>
        <v>0</v>
      </c>
      <c r="U132" s="53">
        <f t="shared" si="41"/>
        <v>0</v>
      </c>
    </row>
    <row r="133" spans="1:21" hidden="1" outlineLevel="1" x14ac:dyDescent="0.35">
      <c r="A133" s="29"/>
      <c r="B133" s="7" t="s">
        <v>51</v>
      </c>
      <c r="C133" s="8" t="s">
        <v>12</v>
      </c>
      <c r="D133" s="5">
        <f>D132/4*1.05</f>
        <v>0</v>
      </c>
      <c r="E133" s="5">
        <f>281.5/1.18</f>
        <v>238.55932203389833</v>
      </c>
      <c r="F133" s="5">
        <f t="shared" si="13"/>
        <v>0</v>
      </c>
      <c r="G133" s="5"/>
      <c r="H133" s="5">
        <f t="shared" si="36"/>
        <v>0</v>
      </c>
      <c r="I133" s="5"/>
      <c r="J133" s="5"/>
      <c r="K133" s="5">
        <f t="shared" si="42"/>
        <v>0</v>
      </c>
      <c r="L133">
        <f>VLOOKUP($B133,[1]ბიუჯეტი!$B$59:$K$464,3,FALSE)</f>
        <v>0</v>
      </c>
      <c r="M133" s="53">
        <f t="shared" si="37"/>
        <v>0</v>
      </c>
      <c r="N133">
        <f>VLOOKUP($B133,[1]ბიუჯეტი!$B$59:$K$464,4,FALSE)</f>
        <v>238.55932203389833</v>
      </c>
      <c r="O133" s="53">
        <f t="shared" si="38"/>
        <v>0</v>
      </c>
      <c r="P133">
        <f>VLOOKUP($B133,[1]ბიუჯეტი!$B$59:$K$464,6,FALSE)</f>
        <v>0</v>
      </c>
      <c r="Q133" s="53">
        <f t="shared" si="39"/>
        <v>0</v>
      </c>
      <c r="R133">
        <f>VLOOKUP($B133,[1]ბიუჯეტი!$B$59:$K$464,8,FALSE)</f>
        <v>0</v>
      </c>
      <c r="S133" s="53">
        <f t="shared" si="40"/>
        <v>0</v>
      </c>
      <c r="T133">
        <f>VLOOKUP($B133,[1]ბიუჯეტი!$B$59:$K$464,10,FALSE)</f>
        <v>0</v>
      </c>
      <c r="U133" s="53">
        <f t="shared" si="41"/>
        <v>0</v>
      </c>
    </row>
    <row r="134" spans="1:21" hidden="1" outlineLevel="1" x14ac:dyDescent="0.35">
      <c r="A134" s="29"/>
      <c r="B134" s="7" t="s">
        <v>14</v>
      </c>
      <c r="C134" s="8" t="s">
        <v>10</v>
      </c>
      <c r="D134" s="5">
        <f>D130</f>
        <v>0</v>
      </c>
      <c r="E134" s="5">
        <f>1.1/1.18</f>
        <v>0.93220338983050854</v>
      </c>
      <c r="F134" s="5">
        <f t="shared" si="13"/>
        <v>0</v>
      </c>
      <c r="G134" s="5"/>
      <c r="H134" s="5">
        <f t="shared" si="36"/>
        <v>0</v>
      </c>
      <c r="I134" s="5"/>
      <c r="J134" s="5"/>
      <c r="K134" s="5">
        <f t="shared" si="42"/>
        <v>0</v>
      </c>
      <c r="L134">
        <f>VLOOKUP($B134,[1]ბიუჯეტი!$B$59:$K$464,3,FALSE)</f>
        <v>0</v>
      </c>
      <c r="M134" s="53">
        <f t="shared" si="37"/>
        <v>0</v>
      </c>
      <c r="N134">
        <f>VLOOKUP($B134,[1]ბიუჯეტი!$B$59:$K$464,4,FALSE)</f>
        <v>0.84745762711864414</v>
      </c>
      <c r="O134" s="53">
        <f t="shared" si="38"/>
        <v>8.4745762711864403E-2</v>
      </c>
      <c r="P134">
        <f>VLOOKUP($B134,[1]ბიუჯეტი!$B$59:$K$464,6,FALSE)</f>
        <v>0</v>
      </c>
      <c r="Q134" s="53">
        <f t="shared" si="39"/>
        <v>0</v>
      </c>
      <c r="R134">
        <f>VLOOKUP($B134,[1]ბიუჯეტი!$B$59:$K$464,8,FALSE)</f>
        <v>0</v>
      </c>
      <c r="S134" s="53">
        <f t="shared" si="40"/>
        <v>0</v>
      </c>
      <c r="T134">
        <f>VLOOKUP($B134,[1]ბიუჯეტი!$B$59:$K$464,10,FALSE)</f>
        <v>0</v>
      </c>
      <c r="U134" s="53">
        <f t="shared" si="41"/>
        <v>0</v>
      </c>
    </row>
    <row r="135" spans="1:21" hidden="1" outlineLevel="1" x14ac:dyDescent="0.35">
      <c r="A135" s="29">
        <v>2</v>
      </c>
      <c r="B135" s="30" t="s">
        <v>176</v>
      </c>
      <c r="C135" s="8" t="s">
        <v>10</v>
      </c>
      <c r="D135" s="5">
        <f>სამუშაო!G43+სამუშაო!G44+სამუშაო!G45</f>
        <v>26.73</v>
      </c>
      <c r="E135" s="5"/>
      <c r="F135" s="5">
        <f t="shared" si="13"/>
        <v>0</v>
      </c>
      <c r="G135" s="5">
        <f>63*1.275</f>
        <v>80.324999999999989</v>
      </c>
      <c r="H135" s="5">
        <f t="shared" si="36"/>
        <v>2147.0872499999996</v>
      </c>
      <c r="I135" s="5"/>
      <c r="J135" s="5"/>
      <c r="K135" s="5">
        <f t="shared" si="42"/>
        <v>2147.0872499999996</v>
      </c>
      <c r="L135">
        <f>VLOOKUP($B135,[1]ბიუჯეტი!$B$59:$K$464,3,FALSE)</f>
        <v>963.97280000000001</v>
      </c>
      <c r="M135" s="53">
        <f t="shared" si="37"/>
        <v>-937.24279999999999</v>
      </c>
      <c r="N135">
        <f>VLOOKUP($B135,[1]ბიუჯეტი!$B$59:$K$464,4,FALSE)</f>
        <v>0</v>
      </c>
      <c r="O135" s="53">
        <f t="shared" si="38"/>
        <v>0</v>
      </c>
      <c r="P135">
        <f>VLOOKUP($B135,[1]ბიუჯეტი!$B$59:$K$464,6,FALSE)</f>
        <v>80.324999999999989</v>
      </c>
      <c r="Q135" s="53">
        <f t="shared" si="39"/>
        <v>0</v>
      </c>
      <c r="R135">
        <f>VLOOKUP($B135,[1]ბიუჯეტი!$B$59:$K$464,8,FALSE)</f>
        <v>0</v>
      </c>
      <c r="S135" s="53">
        <f t="shared" si="40"/>
        <v>0</v>
      </c>
      <c r="T135">
        <f>VLOOKUP($B135,[1]ბიუჯეტი!$B$59:$K$464,10,FALSE)</f>
        <v>77431.115159999987</v>
      </c>
      <c r="U135" s="53">
        <f t="shared" si="41"/>
        <v>-75284.02790999999</v>
      </c>
    </row>
    <row r="136" spans="1:21" hidden="1" outlineLevel="1" x14ac:dyDescent="0.35">
      <c r="A136" s="29"/>
      <c r="B136" s="7" t="s">
        <v>54</v>
      </c>
      <c r="C136" s="8" t="s">
        <v>55</v>
      </c>
      <c r="D136" s="5">
        <f>D135*35*1.05/2</f>
        <v>491.16375000000005</v>
      </c>
      <c r="E136" s="5">
        <f>1/1.18</f>
        <v>0.84745762711864414</v>
      </c>
      <c r="F136" s="5">
        <f t="shared" ref="F136:F139" si="43">D136*E136</f>
        <v>416.24046610169501</v>
      </c>
      <c r="G136" s="5"/>
      <c r="H136" s="5">
        <f t="shared" si="36"/>
        <v>0</v>
      </c>
      <c r="I136" s="5"/>
      <c r="J136" s="5"/>
      <c r="K136" s="5">
        <f t="shared" si="42"/>
        <v>416.24046610169501</v>
      </c>
      <c r="L136">
        <f>VLOOKUP($B136,[1]ბიუჯეტი!$B$59:$K$464,3,FALSE)</f>
        <v>912.87</v>
      </c>
      <c r="M136" s="53">
        <f t="shared" si="37"/>
        <v>-421.70624999999995</v>
      </c>
      <c r="N136">
        <f>VLOOKUP($B136,[1]ბიუჯეტი!$B$59:$K$464,4,FALSE)</f>
        <v>0.84745762711864414</v>
      </c>
      <c r="O136" s="53">
        <f t="shared" si="38"/>
        <v>0</v>
      </c>
      <c r="P136">
        <f>VLOOKUP($B136,[1]ბიუჯეტი!$B$59:$K$464,6,FALSE)</f>
        <v>0</v>
      </c>
      <c r="Q136" s="53">
        <f t="shared" si="39"/>
        <v>0</v>
      </c>
      <c r="R136">
        <f>VLOOKUP($B136,[1]ბიუჯეტი!$B$59:$K$464,8,FALSE)</f>
        <v>0</v>
      </c>
      <c r="S136" s="53">
        <f t="shared" si="40"/>
        <v>0</v>
      </c>
      <c r="T136">
        <f>VLOOKUP($B136,[1]ბიუჯეტი!$B$59:$K$464,10,FALSE)</f>
        <v>773.61864406779671</v>
      </c>
      <c r="U136" s="53">
        <f t="shared" si="41"/>
        <v>-357.3781779661017</v>
      </c>
    </row>
    <row r="137" spans="1:21" hidden="1" outlineLevel="1" x14ac:dyDescent="0.35">
      <c r="A137" s="29"/>
      <c r="B137" s="7" t="s">
        <v>50</v>
      </c>
      <c r="C137" s="8" t="s">
        <v>9</v>
      </c>
      <c r="D137" s="5">
        <f>D135*0.03*1.05</f>
        <v>0.84199499999999994</v>
      </c>
      <c r="E137" s="5">
        <f>65/1.18</f>
        <v>55.084745762711869</v>
      </c>
      <c r="F137" s="5">
        <f t="shared" si="43"/>
        <v>46.381080508474575</v>
      </c>
      <c r="G137" s="5"/>
      <c r="H137" s="5">
        <f t="shared" si="36"/>
        <v>0</v>
      </c>
      <c r="I137" s="5"/>
      <c r="J137" s="5"/>
      <c r="K137" s="5">
        <f t="shared" si="42"/>
        <v>46.381080508474575</v>
      </c>
      <c r="L137">
        <f>VLOOKUP($B137,[1]ბიუჯეტი!$B$59:$K$464,3,FALSE)</f>
        <v>0</v>
      </c>
      <c r="M137" s="53">
        <f t="shared" si="37"/>
        <v>0.84199499999999994</v>
      </c>
      <c r="N137">
        <f>VLOOKUP($B137,[1]ბიუჯეტი!$B$59:$K$464,4,FALSE)</f>
        <v>55.084745762711869</v>
      </c>
      <c r="O137" s="53">
        <f t="shared" si="38"/>
        <v>0</v>
      </c>
      <c r="P137">
        <f>VLOOKUP($B137,[1]ბიუჯეტი!$B$59:$K$464,6,FALSE)</f>
        <v>0</v>
      </c>
      <c r="Q137" s="53">
        <f t="shared" si="39"/>
        <v>0</v>
      </c>
      <c r="R137">
        <f>VLOOKUP($B137,[1]ბიუჯეტი!$B$59:$K$464,8,FALSE)</f>
        <v>0</v>
      </c>
      <c r="S137" s="53">
        <f t="shared" si="40"/>
        <v>0</v>
      </c>
      <c r="T137">
        <f>VLOOKUP($B137,[1]ბიუჯეტი!$B$59:$K$464,10,FALSE)</f>
        <v>0</v>
      </c>
      <c r="U137" s="53">
        <f t="shared" si="41"/>
        <v>46.381080508474575</v>
      </c>
    </row>
    <row r="138" spans="1:21" hidden="1" outlineLevel="1" x14ac:dyDescent="0.35">
      <c r="A138" s="29"/>
      <c r="B138" s="7" t="s">
        <v>51</v>
      </c>
      <c r="C138" s="8" t="s">
        <v>12</v>
      </c>
      <c r="D138" s="5">
        <f>D137/4*1.05</f>
        <v>0.22102368749999998</v>
      </c>
      <c r="E138" s="5">
        <f>281.5/1.18</f>
        <v>238.55932203389833</v>
      </c>
      <c r="F138" s="5">
        <f t="shared" si="43"/>
        <v>52.7272610434322</v>
      </c>
      <c r="G138" s="5"/>
      <c r="H138" s="5">
        <f t="shared" si="36"/>
        <v>0</v>
      </c>
      <c r="I138" s="5"/>
      <c r="J138" s="5"/>
      <c r="K138" s="5">
        <f t="shared" si="42"/>
        <v>52.7272610434322</v>
      </c>
      <c r="L138">
        <f>VLOOKUP($B138,[1]ბიუჯეტი!$B$59:$K$464,3,FALSE)</f>
        <v>0</v>
      </c>
      <c r="M138" s="53">
        <f t="shared" si="37"/>
        <v>0.22102368749999998</v>
      </c>
      <c r="N138">
        <f>VLOOKUP($B138,[1]ბიუჯეტი!$B$59:$K$464,4,FALSE)</f>
        <v>238.55932203389833</v>
      </c>
      <c r="O138" s="53">
        <f t="shared" si="38"/>
        <v>0</v>
      </c>
      <c r="P138">
        <f>VLOOKUP($B138,[1]ბიუჯეტი!$B$59:$K$464,6,FALSE)</f>
        <v>0</v>
      </c>
      <c r="Q138" s="53">
        <f t="shared" si="39"/>
        <v>0</v>
      </c>
      <c r="R138">
        <f>VLOOKUP($B138,[1]ბიუჯეტი!$B$59:$K$464,8,FALSE)</f>
        <v>0</v>
      </c>
      <c r="S138" s="53">
        <f t="shared" si="40"/>
        <v>0</v>
      </c>
      <c r="T138">
        <f>VLOOKUP($B138,[1]ბიუჯეტი!$B$59:$K$464,10,FALSE)</f>
        <v>0</v>
      </c>
      <c r="U138" s="53">
        <f t="shared" si="41"/>
        <v>52.7272610434322</v>
      </c>
    </row>
    <row r="139" spans="1:21" hidden="1" outlineLevel="1" x14ac:dyDescent="0.35">
      <c r="A139" s="29"/>
      <c r="B139" s="7" t="s">
        <v>14</v>
      </c>
      <c r="C139" s="8" t="s">
        <v>10</v>
      </c>
      <c r="D139" s="5">
        <f>D135</f>
        <v>26.73</v>
      </c>
      <c r="E139" s="5">
        <f>1.1/1.18</f>
        <v>0.93220338983050854</v>
      </c>
      <c r="F139" s="5">
        <f t="shared" si="43"/>
        <v>24.917796610169493</v>
      </c>
      <c r="G139" s="5"/>
      <c r="H139" s="5">
        <f t="shared" si="36"/>
        <v>0</v>
      </c>
      <c r="I139" s="5"/>
      <c r="J139" s="5"/>
      <c r="K139" s="5">
        <f t="shared" si="42"/>
        <v>24.917796610169493</v>
      </c>
      <c r="L139">
        <f>VLOOKUP($B139,[1]ბიუჯეტი!$B$59:$K$464,3,FALSE)</f>
        <v>0</v>
      </c>
      <c r="M139" s="53">
        <f t="shared" si="37"/>
        <v>26.73</v>
      </c>
      <c r="N139">
        <f>VLOOKUP($B139,[1]ბიუჯეტი!$B$59:$K$464,4,FALSE)</f>
        <v>0.84745762711864414</v>
      </c>
      <c r="O139" s="53">
        <f t="shared" si="38"/>
        <v>8.4745762711864403E-2</v>
      </c>
      <c r="P139">
        <f>VLOOKUP($B139,[1]ბიუჯეტი!$B$59:$K$464,6,FALSE)</f>
        <v>0</v>
      </c>
      <c r="Q139" s="53">
        <f t="shared" si="39"/>
        <v>0</v>
      </c>
      <c r="R139">
        <f>VLOOKUP($B139,[1]ბიუჯეტი!$B$59:$K$464,8,FALSE)</f>
        <v>0</v>
      </c>
      <c r="S139" s="53">
        <f t="shared" si="40"/>
        <v>0</v>
      </c>
      <c r="T139">
        <f>VLOOKUP($B139,[1]ბიუჯეტი!$B$59:$K$464,10,FALSE)</f>
        <v>0</v>
      </c>
      <c r="U139" s="53">
        <f t="shared" si="41"/>
        <v>24.917796610169493</v>
      </c>
    </row>
    <row r="140" spans="1:21" collapsed="1" x14ac:dyDescent="0.35">
      <c r="A140" s="29">
        <v>6</v>
      </c>
      <c r="B140" s="30" t="s">
        <v>178</v>
      </c>
      <c r="C140" s="8" t="s">
        <v>10</v>
      </c>
      <c r="D140" s="5">
        <f>D141+D151</f>
        <v>314.82000000000005</v>
      </c>
      <c r="E140" s="5">
        <f>SUM(F141:F160)/D140</f>
        <v>70.91285415717779</v>
      </c>
      <c r="F140" s="5">
        <f>D140*E140</f>
        <v>22324.784745762714</v>
      </c>
      <c r="G140" s="5">
        <f>50*1.275</f>
        <v>63.749999999999993</v>
      </c>
      <c r="H140" s="5">
        <f>G140*D140</f>
        <v>20069.775000000001</v>
      </c>
      <c r="I140" s="5">
        <f>8/1.18</f>
        <v>6.7796610169491531</v>
      </c>
      <c r="J140" s="5">
        <f>I140*D140</f>
        <v>2134.3728813559328</v>
      </c>
      <c r="K140" s="5">
        <f>F140+H140+J140</f>
        <v>44528.932627118651</v>
      </c>
      <c r="L140">
        <f>VLOOKUP($B140,[1]ბიუჯეტი!$B$59:$K$464,3,FALSE)</f>
        <v>164.53800000000001</v>
      </c>
      <c r="M140" s="53">
        <f t="shared" si="37"/>
        <v>150.28200000000004</v>
      </c>
      <c r="N140">
        <f>VLOOKUP($B140,[1]ბიუჯეტი!$B$59:$K$464,4,FALSE)</f>
        <v>74.643862599562297</v>
      </c>
      <c r="O140" s="53">
        <f t="shared" si="38"/>
        <v>-3.7310084423845069</v>
      </c>
      <c r="P140">
        <f>VLOOKUP($B140,[1]ბიუჯეტი!$B$59:$K$464,6,FALSE)</f>
        <v>63.749999999999993</v>
      </c>
      <c r="Q140" s="53">
        <f t="shared" si="39"/>
        <v>0</v>
      </c>
      <c r="R140">
        <f>VLOOKUP($B140,[1]ბიუჯეტი!$B$59:$K$464,8,FALSE)</f>
        <v>6.7796610169491531</v>
      </c>
      <c r="S140" s="53">
        <f t="shared" si="40"/>
        <v>0</v>
      </c>
      <c r="T140">
        <f>VLOOKUP($B140,[1]ბიუჯეტი!$B$59:$K$464,10,FALSE)</f>
        <v>23886.561228813564</v>
      </c>
      <c r="U140" s="53">
        <f t="shared" si="41"/>
        <v>20642.371398305087</v>
      </c>
    </row>
    <row r="141" spans="1:21" hidden="1" outlineLevel="1" x14ac:dyDescent="0.35">
      <c r="A141" s="29">
        <v>1</v>
      </c>
      <c r="B141" s="7" t="s">
        <v>61</v>
      </c>
      <c r="C141" s="8" t="s">
        <v>10</v>
      </c>
      <c r="D141" s="5">
        <f>სამუშაო!E23</f>
        <v>0</v>
      </c>
      <c r="E141" s="5"/>
      <c r="F141" s="5">
        <f t="shared" ref="F141:F160" si="44">D141*E141</f>
        <v>0</v>
      </c>
      <c r="G141" s="5"/>
      <c r="H141" s="5">
        <f t="shared" ref="H141:H160" si="45">D141*G141</f>
        <v>0</v>
      </c>
      <c r="I141" s="5"/>
      <c r="J141" s="5"/>
      <c r="K141" s="5">
        <f t="shared" ref="K141:K160" si="46">F141+H141</f>
        <v>0</v>
      </c>
      <c r="L141">
        <f>VLOOKUP($B141,[1]ბიუჯეტი!$B$59:$K$464,3,FALSE)</f>
        <v>73.656000000000006</v>
      </c>
      <c r="M141" s="53">
        <f t="shared" si="37"/>
        <v>-73.656000000000006</v>
      </c>
      <c r="N141">
        <f>VLOOKUP($B141,[1]ბიუჯეტი!$B$59:$K$464,4,FALSE)</f>
        <v>0</v>
      </c>
      <c r="O141" s="53">
        <f t="shared" si="38"/>
        <v>0</v>
      </c>
      <c r="P141">
        <f>VLOOKUP($B141,[1]ბიუჯეტი!$B$59:$K$464,6,FALSE)</f>
        <v>0</v>
      </c>
      <c r="Q141" s="53">
        <f t="shared" si="39"/>
        <v>0</v>
      </c>
      <c r="R141">
        <f>VLOOKUP($B141,[1]ბიუჯეტი!$B$59:$K$464,8,FALSE)</f>
        <v>0</v>
      </c>
      <c r="S141" s="53">
        <f t="shared" si="40"/>
        <v>0</v>
      </c>
      <c r="T141">
        <f>VLOOKUP($B141,[1]ბიუჯეტი!$B$59:$K$464,10,FALSE)</f>
        <v>0</v>
      </c>
      <c r="U141" s="53">
        <f t="shared" si="41"/>
        <v>0</v>
      </c>
    </row>
    <row r="142" spans="1:21" hidden="1" outlineLevel="1" x14ac:dyDescent="0.35">
      <c r="A142" s="29"/>
      <c r="B142" s="7" t="s">
        <v>271</v>
      </c>
      <c r="C142" s="8" t="s">
        <v>209</v>
      </c>
      <c r="D142" s="5">
        <f>D141/2.5</f>
        <v>0</v>
      </c>
      <c r="E142" s="5">
        <f>21/1.18</f>
        <v>17.796610169491526</v>
      </c>
      <c r="F142" s="5">
        <f t="shared" si="44"/>
        <v>0</v>
      </c>
      <c r="G142" s="5"/>
      <c r="H142" s="5">
        <f t="shared" si="45"/>
        <v>0</v>
      </c>
      <c r="I142" s="5"/>
      <c r="J142" s="5"/>
      <c r="K142" s="5">
        <f t="shared" si="46"/>
        <v>0</v>
      </c>
      <c r="L142">
        <f>VLOOKUP($B142,[1]ბიუჯეტი!$B$59:$K$464,3,FALSE)</f>
        <v>29.462400000000002</v>
      </c>
      <c r="M142" s="53">
        <f t="shared" si="37"/>
        <v>-29.462400000000002</v>
      </c>
      <c r="N142">
        <f>VLOOKUP($B142,[1]ბიუჯეტი!$B$59:$K$464,4,FALSE)</f>
        <v>17.796610169491526</v>
      </c>
      <c r="O142" s="53">
        <f t="shared" si="38"/>
        <v>0</v>
      </c>
      <c r="P142">
        <f>VLOOKUP($B142,[1]ბიუჯეტი!$B$59:$K$464,6,FALSE)</f>
        <v>0</v>
      </c>
      <c r="Q142" s="53">
        <f t="shared" si="39"/>
        <v>0</v>
      </c>
      <c r="R142">
        <f>VLOOKUP($B142,[1]ბიუჯეტი!$B$59:$K$464,8,FALSE)</f>
        <v>0</v>
      </c>
      <c r="S142" s="53">
        <f t="shared" si="40"/>
        <v>0</v>
      </c>
      <c r="T142">
        <f>VLOOKUP($B142,[1]ბიუჯეტი!$B$59:$K$464,10,FALSE)</f>
        <v>524.33084745762721</v>
      </c>
      <c r="U142" s="53">
        <f t="shared" si="41"/>
        <v>-524.33084745762721</v>
      </c>
    </row>
    <row r="143" spans="1:21" hidden="1" outlineLevel="1" x14ac:dyDescent="0.35">
      <c r="A143" s="29"/>
      <c r="B143" s="7" t="s">
        <v>272</v>
      </c>
      <c r="C143" s="8" t="s">
        <v>209</v>
      </c>
      <c r="D143" s="5">
        <f>D141/2</f>
        <v>0</v>
      </c>
      <c r="E143" s="5">
        <f>28/1.18</f>
        <v>23.728813559322035</v>
      </c>
      <c r="F143" s="5">
        <f t="shared" si="44"/>
        <v>0</v>
      </c>
      <c r="G143" s="5"/>
      <c r="H143" s="5">
        <f t="shared" si="45"/>
        <v>0</v>
      </c>
      <c r="I143" s="5"/>
      <c r="J143" s="5"/>
      <c r="K143" s="5">
        <f t="shared" si="46"/>
        <v>0</v>
      </c>
      <c r="L143">
        <f>VLOOKUP($B143,[1]ბიუჯეტი!$B$59:$K$464,3,FALSE)</f>
        <v>36.828000000000003</v>
      </c>
      <c r="M143" s="53">
        <f t="shared" si="37"/>
        <v>-36.828000000000003</v>
      </c>
      <c r="N143">
        <f>VLOOKUP($B143,[1]ბიუჯეტი!$B$59:$K$464,4,FALSE)</f>
        <v>23.728813559322035</v>
      </c>
      <c r="O143" s="53">
        <f t="shared" si="38"/>
        <v>0</v>
      </c>
      <c r="P143">
        <f>VLOOKUP($B143,[1]ბიუჯეტი!$B$59:$K$464,6,FALSE)</f>
        <v>0</v>
      </c>
      <c r="Q143" s="53">
        <f t="shared" si="39"/>
        <v>0</v>
      </c>
      <c r="R143">
        <f>VLOOKUP($B143,[1]ბიუჯეტი!$B$59:$K$464,8,FALSE)</f>
        <v>0</v>
      </c>
      <c r="S143" s="53">
        <f t="shared" si="40"/>
        <v>0</v>
      </c>
      <c r="T143">
        <f>VLOOKUP($B143,[1]ბიუჯეტი!$B$59:$K$464,10,FALSE)</f>
        <v>873.88474576271199</v>
      </c>
      <c r="U143" s="53">
        <f t="shared" si="41"/>
        <v>-873.88474576271199</v>
      </c>
    </row>
    <row r="144" spans="1:21" hidden="1" outlineLevel="1" x14ac:dyDescent="0.35">
      <c r="A144" s="29"/>
      <c r="B144" s="7" t="s">
        <v>273</v>
      </c>
      <c r="C144" s="8" t="s">
        <v>10</v>
      </c>
      <c r="D144" s="5">
        <f>D141+7</f>
        <v>7</v>
      </c>
      <c r="E144" s="5">
        <f>4/1.18</f>
        <v>3.3898305084745766</v>
      </c>
      <c r="F144" s="5">
        <f t="shared" si="44"/>
        <v>23.728813559322035</v>
      </c>
      <c r="G144" s="5"/>
      <c r="H144" s="5">
        <f t="shared" si="45"/>
        <v>0</v>
      </c>
      <c r="I144" s="5"/>
      <c r="J144" s="5"/>
      <c r="K144" s="5">
        <f t="shared" si="46"/>
        <v>23.728813559322035</v>
      </c>
      <c r="L144">
        <f>VLOOKUP($B144,[1]ბიუჯეტი!$B$59:$K$464,3,FALSE)</f>
        <v>80.656000000000006</v>
      </c>
      <c r="M144" s="53">
        <f t="shared" si="37"/>
        <v>-73.656000000000006</v>
      </c>
      <c r="N144">
        <f>VLOOKUP($B144,[1]ბიუჯეტი!$B$59:$K$464,4,FALSE)</f>
        <v>3.3898305084745766</v>
      </c>
      <c r="O144" s="53">
        <f t="shared" si="38"/>
        <v>0</v>
      </c>
      <c r="P144">
        <f>VLOOKUP($B144,[1]ბიუჯეტი!$B$59:$K$464,6,FALSE)</f>
        <v>0</v>
      </c>
      <c r="Q144" s="53">
        <f t="shared" si="39"/>
        <v>0</v>
      </c>
      <c r="R144">
        <f>VLOOKUP($B144,[1]ბიუჯეტი!$B$59:$K$464,8,FALSE)</f>
        <v>0</v>
      </c>
      <c r="S144" s="53">
        <f t="shared" si="40"/>
        <v>0</v>
      </c>
      <c r="T144">
        <f>VLOOKUP($B144,[1]ბიუჯეტი!$B$59:$K$464,10,FALSE)</f>
        <v>273.41016949152549</v>
      </c>
      <c r="U144" s="53">
        <f t="shared" si="41"/>
        <v>-249.68135593220347</v>
      </c>
    </row>
    <row r="145" spans="1:21" hidden="1" outlineLevel="1" x14ac:dyDescent="0.35">
      <c r="A145" s="29"/>
      <c r="B145" s="7" t="s">
        <v>274</v>
      </c>
      <c r="C145" s="8" t="s">
        <v>209</v>
      </c>
      <c r="D145" s="5">
        <f>D141/5</f>
        <v>0</v>
      </c>
      <c r="E145" s="5">
        <f>100/1.18</f>
        <v>84.745762711864415</v>
      </c>
      <c r="F145" s="5">
        <f t="shared" si="44"/>
        <v>0</v>
      </c>
      <c r="G145" s="5"/>
      <c r="H145" s="5">
        <f t="shared" si="45"/>
        <v>0</v>
      </c>
      <c r="I145" s="5"/>
      <c r="J145" s="5"/>
      <c r="K145" s="5">
        <f t="shared" si="46"/>
        <v>0</v>
      </c>
      <c r="L145">
        <f>VLOOKUP($B145,[1]ბიუჯეტი!$B$59:$K$464,3,FALSE)</f>
        <v>14.731200000000001</v>
      </c>
      <c r="M145" s="53">
        <f t="shared" si="37"/>
        <v>-14.731200000000001</v>
      </c>
      <c r="N145">
        <f>VLOOKUP($B145,[1]ბიუჯეტი!$B$59:$K$464,4,FALSE)</f>
        <v>84.745762711864415</v>
      </c>
      <c r="O145" s="53">
        <f t="shared" si="38"/>
        <v>0</v>
      </c>
      <c r="P145">
        <f>VLOOKUP($B145,[1]ბიუჯეტი!$B$59:$K$464,6,FALSE)</f>
        <v>0</v>
      </c>
      <c r="Q145" s="53">
        <f t="shared" si="39"/>
        <v>0</v>
      </c>
      <c r="R145">
        <f>VLOOKUP($B145,[1]ბიუჯეტი!$B$59:$K$464,8,FALSE)</f>
        <v>0</v>
      </c>
      <c r="S145" s="53">
        <f t="shared" si="40"/>
        <v>0</v>
      </c>
      <c r="T145">
        <f>VLOOKUP($B145,[1]ბიუჯეტი!$B$59:$K$464,10,FALSE)</f>
        <v>1248.4067796610173</v>
      </c>
      <c r="U145" s="53">
        <f t="shared" si="41"/>
        <v>-1248.4067796610173</v>
      </c>
    </row>
    <row r="146" spans="1:21" hidden="1" outlineLevel="1" x14ac:dyDescent="0.35">
      <c r="A146" s="29"/>
      <c r="B146" s="7" t="s">
        <v>275</v>
      </c>
      <c r="C146" s="8" t="s">
        <v>276</v>
      </c>
      <c r="D146" s="5">
        <v>10</v>
      </c>
      <c r="E146" s="5">
        <f>10/1.18</f>
        <v>8.4745762711864412</v>
      </c>
      <c r="F146" s="5">
        <f t="shared" si="44"/>
        <v>84.745762711864415</v>
      </c>
      <c r="G146" s="5"/>
      <c r="H146" s="5">
        <f t="shared" si="45"/>
        <v>0</v>
      </c>
      <c r="I146" s="5"/>
      <c r="J146" s="5"/>
      <c r="K146" s="5">
        <f t="shared" si="46"/>
        <v>84.745762711864415</v>
      </c>
      <c r="L146">
        <f>VLOOKUP($B146,[1]ბიუჯეტი!$B$59:$K$464,3,FALSE)</f>
        <v>10</v>
      </c>
      <c r="M146" s="53">
        <f t="shared" si="37"/>
        <v>0</v>
      </c>
      <c r="N146">
        <f>VLOOKUP($B146,[1]ბიუჯეტი!$B$59:$K$464,4,FALSE)</f>
        <v>8.4745762711864412</v>
      </c>
      <c r="O146" s="53">
        <f t="shared" si="38"/>
        <v>0</v>
      </c>
      <c r="P146">
        <f>VLOOKUP($B146,[1]ბიუჯეტი!$B$59:$K$464,6,FALSE)</f>
        <v>0</v>
      </c>
      <c r="Q146" s="53">
        <f t="shared" si="39"/>
        <v>0</v>
      </c>
      <c r="R146">
        <f>VLOOKUP($B146,[1]ბიუჯეტი!$B$59:$K$464,8,FALSE)</f>
        <v>0</v>
      </c>
      <c r="S146" s="53">
        <f t="shared" si="40"/>
        <v>0</v>
      </c>
      <c r="T146">
        <f>VLOOKUP($B146,[1]ბიუჯეტი!$B$59:$K$464,10,FALSE)</f>
        <v>84.745762711864415</v>
      </c>
      <c r="U146" s="53">
        <f t="shared" si="41"/>
        <v>0</v>
      </c>
    </row>
    <row r="147" spans="1:21" hidden="1" outlineLevel="1" x14ac:dyDescent="0.35">
      <c r="A147" s="29"/>
      <c r="B147" s="7" t="s">
        <v>277</v>
      </c>
      <c r="C147" s="8" t="s">
        <v>276</v>
      </c>
      <c r="D147" s="5">
        <v>30</v>
      </c>
      <c r="E147" s="5">
        <f>27/1.18</f>
        <v>22.881355932203391</v>
      </c>
      <c r="F147" s="5">
        <f t="shared" si="44"/>
        <v>686.4406779661017</v>
      </c>
      <c r="G147" s="5"/>
      <c r="H147" s="5">
        <f t="shared" si="45"/>
        <v>0</v>
      </c>
      <c r="I147" s="5"/>
      <c r="J147" s="5"/>
      <c r="K147" s="5">
        <f t="shared" si="46"/>
        <v>686.4406779661017</v>
      </c>
      <c r="L147">
        <f>VLOOKUP($B147,[1]ბიუჯეტი!$B$59:$K$464,3,FALSE)</f>
        <v>30</v>
      </c>
      <c r="M147" s="53">
        <f t="shared" si="37"/>
        <v>0</v>
      </c>
      <c r="N147">
        <f>VLOOKUP($B147,[1]ბიუჯეტი!$B$59:$K$464,4,FALSE)</f>
        <v>22.881355932203391</v>
      </c>
      <c r="O147" s="53">
        <f t="shared" si="38"/>
        <v>0</v>
      </c>
      <c r="P147">
        <f>VLOOKUP($B147,[1]ბიუჯეტი!$B$59:$K$464,6,FALSE)</f>
        <v>0</v>
      </c>
      <c r="Q147" s="53">
        <f t="shared" si="39"/>
        <v>0</v>
      </c>
      <c r="R147">
        <f>VLOOKUP($B147,[1]ბიუჯეტი!$B$59:$K$464,8,FALSE)</f>
        <v>0</v>
      </c>
      <c r="S147" s="53">
        <f t="shared" si="40"/>
        <v>0</v>
      </c>
      <c r="T147">
        <f>VLOOKUP($B147,[1]ბიუჯეტი!$B$59:$K$464,10,FALSE)</f>
        <v>686.4406779661017</v>
      </c>
      <c r="U147" s="53">
        <f t="shared" si="41"/>
        <v>0</v>
      </c>
    </row>
    <row r="148" spans="1:21" hidden="1" outlineLevel="1" x14ac:dyDescent="0.35">
      <c r="A148" s="29"/>
      <c r="B148" s="7" t="s">
        <v>278</v>
      </c>
      <c r="C148" s="8" t="s">
        <v>10</v>
      </c>
      <c r="D148" s="5">
        <v>88</v>
      </c>
      <c r="E148" s="5">
        <f>19.9/1.18</f>
        <v>16.864406779661017</v>
      </c>
      <c r="F148" s="5">
        <f t="shared" si="44"/>
        <v>1484.0677966101696</v>
      </c>
      <c r="G148" s="5"/>
      <c r="H148" s="5">
        <f t="shared" si="45"/>
        <v>0</v>
      </c>
      <c r="I148" s="5"/>
      <c r="J148" s="5"/>
      <c r="K148" s="5">
        <f t="shared" si="46"/>
        <v>1484.0677966101696</v>
      </c>
      <c r="L148">
        <f>VLOOKUP($B148,[1]ბიუჯეტი!$B$59:$K$464,3,FALSE)</f>
        <v>88</v>
      </c>
      <c r="M148" s="53">
        <f t="shared" si="37"/>
        <v>0</v>
      </c>
      <c r="N148">
        <f>VLOOKUP($B148,[1]ბიუჯეტი!$B$59:$K$464,4,FALSE)</f>
        <v>16.864406779661017</v>
      </c>
      <c r="O148" s="53">
        <f t="shared" si="38"/>
        <v>0</v>
      </c>
      <c r="P148">
        <f>VLOOKUP($B148,[1]ბიუჯეტი!$B$59:$K$464,6,FALSE)</f>
        <v>0</v>
      </c>
      <c r="Q148" s="53">
        <f t="shared" si="39"/>
        <v>0</v>
      </c>
      <c r="R148">
        <f>VLOOKUP($B148,[1]ბიუჯეტი!$B$59:$K$464,8,FALSE)</f>
        <v>0</v>
      </c>
      <c r="S148" s="53">
        <f t="shared" si="40"/>
        <v>0</v>
      </c>
      <c r="T148">
        <f>VLOOKUP($B148,[1]ბიუჯეტი!$B$59:$K$464,10,FALSE)</f>
        <v>1484.0677966101696</v>
      </c>
      <c r="U148" s="53">
        <f t="shared" si="41"/>
        <v>0</v>
      </c>
    </row>
    <row r="149" spans="1:21" hidden="1" outlineLevel="1" x14ac:dyDescent="0.35">
      <c r="A149" s="29"/>
      <c r="B149" s="7" t="s">
        <v>279</v>
      </c>
      <c r="C149" s="8" t="s">
        <v>10</v>
      </c>
      <c r="D149" s="5">
        <v>8</v>
      </c>
      <c r="E149" s="5">
        <f>10.2/1.18</f>
        <v>8.6440677966101696</v>
      </c>
      <c r="F149" s="5">
        <f t="shared" si="44"/>
        <v>69.152542372881356</v>
      </c>
      <c r="G149" s="5"/>
      <c r="H149" s="5">
        <f t="shared" si="45"/>
        <v>0</v>
      </c>
      <c r="I149" s="5"/>
      <c r="J149" s="5"/>
      <c r="K149" s="5">
        <f t="shared" si="46"/>
        <v>69.152542372881356</v>
      </c>
      <c r="L149">
        <f>VLOOKUP($B149,[1]ბიუჯეტი!$B$59:$K$464,3,FALSE)</f>
        <v>8</v>
      </c>
      <c r="M149" s="53">
        <f t="shared" si="37"/>
        <v>0</v>
      </c>
      <c r="N149">
        <f>VLOOKUP($B149,[1]ბიუჯეტი!$B$59:$K$464,4,FALSE)</f>
        <v>8.6440677966101696</v>
      </c>
      <c r="O149" s="53">
        <f t="shared" si="38"/>
        <v>0</v>
      </c>
      <c r="P149">
        <f>VLOOKUP($B149,[1]ბიუჯეტი!$B$59:$K$464,6,FALSE)</f>
        <v>0</v>
      </c>
      <c r="Q149" s="53">
        <f t="shared" si="39"/>
        <v>0</v>
      </c>
      <c r="R149">
        <f>VLOOKUP($B149,[1]ბიუჯეტი!$B$59:$K$464,8,FALSE)</f>
        <v>0</v>
      </c>
      <c r="S149" s="53">
        <f t="shared" si="40"/>
        <v>0</v>
      </c>
      <c r="T149">
        <f>VLOOKUP($B149,[1]ბიუჯეტი!$B$59:$K$464,10,FALSE)</f>
        <v>69.152542372881356</v>
      </c>
      <c r="U149" s="53">
        <f t="shared" si="41"/>
        <v>0</v>
      </c>
    </row>
    <row r="150" spans="1:21" hidden="1" outlineLevel="1" x14ac:dyDescent="0.35">
      <c r="A150" s="29"/>
      <c r="B150" s="7" t="s">
        <v>14</v>
      </c>
      <c r="C150" s="8" t="s">
        <v>10</v>
      </c>
      <c r="D150" s="5">
        <f>D141</f>
        <v>0</v>
      </c>
      <c r="E150" s="5">
        <f>8/1.18</f>
        <v>6.7796610169491531</v>
      </c>
      <c r="F150" s="5">
        <f t="shared" si="44"/>
        <v>0</v>
      </c>
      <c r="G150" s="5"/>
      <c r="H150" s="5">
        <f t="shared" si="45"/>
        <v>0</v>
      </c>
      <c r="I150" s="5"/>
      <c r="J150" s="5"/>
      <c r="K150" s="5">
        <f t="shared" si="46"/>
        <v>0</v>
      </c>
      <c r="L150">
        <f>VLOOKUP($B150,[1]ბიუჯეტი!$B$59:$K$464,3,FALSE)</f>
        <v>0</v>
      </c>
      <c r="M150" s="53">
        <f t="shared" si="37"/>
        <v>0</v>
      </c>
      <c r="N150">
        <f>VLOOKUP($B150,[1]ბიუჯეტი!$B$59:$K$464,4,FALSE)</f>
        <v>0.84745762711864414</v>
      </c>
      <c r="O150" s="53">
        <f t="shared" si="38"/>
        <v>5.9322033898305087</v>
      </c>
      <c r="P150">
        <f>VLOOKUP($B150,[1]ბიუჯეტი!$B$59:$K$464,6,FALSE)</f>
        <v>0</v>
      </c>
      <c r="Q150" s="53">
        <f t="shared" si="39"/>
        <v>0</v>
      </c>
      <c r="R150">
        <f>VLOOKUP($B150,[1]ბიუჯეტი!$B$59:$K$464,8,FALSE)</f>
        <v>0</v>
      </c>
      <c r="S150" s="53">
        <f t="shared" si="40"/>
        <v>0</v>
      </c>
      <c r="T150">
        <f>VLOOKUP($B150,[1]ბიუჯეტი!$B$59:$K$464,10,FALSE)</f>
        <v>0</v>
      </c>
      <c r="U150" s="53">
        <f t="shared" si="41"/>
        <v>0</v>
      </c>
    </row>
    <row r="151" spans="1:21" hidden="1" outlineLevel="1" x14ac:dyDescent="0.35">
      <c r="A151" s="29">
        <v>2</v>
      </c>
      <c r="B151" s="7" t="s">
        <v>179</v>
      </c>
      <c r="C151" s="8" t="s">
        <v>10</v>
      </c>
      <c r="D151" s="5">
        <f>სამუშაო!E24+სამუშაო!E25+სამუშაო!E26</f>
        <v>314.82000000000005</v>
      </c>
      <c r="E151" s="5"/>
      <c r="F151" s="5">
        <f t="shared" si="44"/>
        <v>0</v>
      </c>
      <c r="G151" s="5"/>
      <c r="H151" s="5">
        <f t="shared" si="45"/>
        <v>0</v>
      </c>
      <c r="I151" s="5"/>
      <c r="J151" s="5"/>
      <c r="K151" s="5">
        <f t="shared" si="46"/>
        <v>0</v>
      </c>
      <c r="L151">
        <f>VLOOKUP($B151,[1]ბიუჯეტი!$B$59:$K$464,3,FALSE)</f>
        <v>90.882000000000005</v>
      </c>
      <c r="M151" s="53">
        <f t="shared" si="37"/>
        <v>223.93800000000005</v>
      </c>
      <c r="N151">
        <f>VLOOKUP($B151,[1]ბიუჯეტი!$B$59:$K$464,4,FALSE)</f>
        <v>0</v>
      </c>
      <c r="O151" s="53">
        <f t="shared" si="38"/>
        <v>0</v>
      </c>
      <c r="P151">
        <f>VLOOKUP($B151,[1]ბიუჯეტი!$B$59:$K$464,6,FALSE)</f>
        <v>0</v>
      </c>
      <c r="Q151" s="53">
        <f t="shared" si="39"/>
        <v>0</v>
      </c>
      <c r="R151">
        <f>VLOOKUP($B151,[1]ბიუჯეტი!$B$59:$K$464,8,FALSE)</f>
        <v>0</v>
      </c>
      <c r="S151" s="53">
        <f t="shared" si="40"/>
        <v>0</v>
      </c>
      <c r="T151">
        <f>VLOOKUP($B151,[1]ბიუჯეტი!$B$59:$K$464,10,FALSE)</f>
        <v>0</v>
      </c>
      <c r="U151" s="53">
        <f t="shared" si="41"/>
        <v>0</v>
      </c>
    </row>
    <row r="152" spans="1:21" hidden="1" outlineLevel="1" x14ac:dyDescent="0.35">
      <c r="A152" s="29"/>
      <c r="B152" s="7" t="s">
        <v>271</v>
      </c>
      <c r="C152" s="8" t="s">
        <v>209</v>
      </c>
      <c r="D152" s="5">
        <f>D151/2.5</f>
        <v>125.92800000000003</v>
      </c>
      <c r="E152" s="5">
        <f>21/1.18</f>
        <v>17.796610169491526</v>
      </c>
      <c r="F152" s="5">
        <f t="shared" si="44"/>
        <v>2241.0915254237293</v>
      </c>
      <c r="G152" s="5"/>
      <c r="H152" s="5">
        <f t="shared" si="45"/>
        <v>0</v>
      </c>
      <c r="I152" s="5"/>
      <c r="J152" s="5"/>
      <c r="K152" s="5">
        <f t="shared" si="46"/>
        <v>2241.0915254237293</v>
      </c>
      <c r="L152">
        <f>VLOOKUP($B152,[1]ბიუჯეტი!$B$59:$K$464,3,FALSE)</f>
        <v>29.462400000000002</v>
      </c>
      <c r="M152" s="53">
        <f t="shared" si="37"/>
        <v>96.465600000000023</v>
      </c>
      <c r="N152">
        <f>VLOOKUP($B152,[1]ბიუჯეტი!$B$59:$K$464,4,FALSE)</f>
        <v>17.796610169491526</v>
      </c>
      <c r="O152" s="53">
        <f t="shared" si="38"/>
        <v>0</v>
      </c>
      <c r="P152">
        <f>VLOOKUP($B152,[1]ბიუჯეტი!$B$59:$K$464,6,FALSE)</f>
        <v>0</v>
      </c>
      <c r="Q152" s="53">
        <f t="shared" si="39"/>
        <v>0</v>
      </c>
      <c r="R152">
        <f>VLOOKUP($B152,[1]ბიუჯეტი!$B$59:$K$464,8,FALSE)</f>
        <v>0</v>
      </c>
      <c r="S152" s="53">
        <f t="shared" si="40"/>
        <v>0</v>
      </c>
      <c r="T152">
        <f>VLOOKUP($B152,[1]ბიუჯეტი!$B$59:$K$464,10,FALSE)</f>
        <v>524.33084745762721</v>
      </c>
      <c r="U152" s="53">
        <f t="shared" si="41"/>
        <v>1716.7606779661021</v>
      </c>
    </row>
    <row r="153" spans="1:21" hidden="1" outlineLevel="1" x14ac:dyDescent="0.35">
      <c r="A153" s="29"/>
      <c r="B153" s="7" t="s">
        <v>272</v>
      </c>
      <c r="C153" s="8" t="s">
        <v>209</v>
      </c>
      <c r="D153" s="5">
        <f>D151/2</f>
        <v>157.41000000000003</v>
      </c>
      <c r="E153" s="5">
        <f>28/1.18</f>
        <v>23.728813559322035</v>
      </c>
      <c r="F153" s="5">
        <f t="shared" si="44"/>
        <v>3735.1525423728822</v>
      </c>
      <c r="G153" s="5"/>
      <c r="H153" s="5">
        <f t="shared" si="45"/>
        <v>0</v>
      </c>
      <c r="I153" s="5"/>
      <c r="J153" s="5"/>
      <c r="K153" s="5">
        <f t="shared" si="46"/>
        <v>3735.1525423728822</v>
      </c>
      <c r="L153">
        <f>VLOOKUP($B153,[1]ბიუჯეტი!$B$59:$K$464,3,FALSE)</f>
        <v>36.828000000000003</v>
      </c>
      <c r="M153" s="53">
        <f t="shared" si="37"/>
        <v>120.58200000000002</v>
      </c>
      <c r="N153">
        <f>VLOOKUP($B153,[1]ბიუჯეტი!$B$59:$K$464,4,FALSE)</f>
        <v>23.728813559322035</v>
      </c>
      <c r="O153" s="53">
        <f t="shared" si="38"/>
        <v>0</v>
      </c>
      <c r="P153">
        <f>VLOOKUP($B153,[1]ბიუჯეტი!$B$59:$K$464,6,FALSE)</f>
        <v>0</v>
      </c>
      <c r="Q153" s="53">
        <f t="shared" si="39"/>
        <v>0</v>
      </c>
      <c r="R153">
        <f>VLOOKUP($B153,[1]ბიუჯეტი!$B$59:$K$464,8,FALSE)</f>
        <v>0</v>
      </c>
      <c r="S153" s="53">
        <f t="shared" si="40"/>
        <v>0</v>
      </c>
      <c r="T153">
        <f>VLOOKUP($B153,[1]ბიუჯეტი!$B$59:$K$464,10,FALSE)</f>
        <v>873.88474576271199</v>
      </c>
      <c r="U153" s="53">
        <f t="shared" si="41"/>
        <v>2861.2677966101701</v>
      </c>
    </row>
    <row r="154" spans="1:21" hidden="1" outlineLevel="1" x14ac:dyDescent="0.35">
      <c r="A154" s="29"/>
      <c r="B154" s="7" t="s">
        <v>273</v>
      </c>
      <c r="C154" s="8" t="s">
        <v>10</v>
      </c>
      <c r="D154" s="5">
        <f>D151+7</f>
        <v>321.82000000000005</v>
      </c>
      <c r="E154" s="5">
        <f>4/1.18</f>
        <v>3.3898305084745766</v>
      </c>
      <c r="F154" s="5">
        <f t="shared" si="44"/>
        <v>1090.9152542372883</v>
      </c>
      <c r="G154" s="5"/>
      <c r="H154" s="5">
        <f t="shared" si="45"/>
        <v>0</v>
      </c>
      <c r="I154" s="5"/>
      <c r="J154" s="5"/>
      <c r="K154" s="5">
        <f t="shared" si="46"/>
        <v>1090.9152542372883</v>
      </c>
      <c r="L154">
        <f>VLOOKUP($B154,[1]ბიუჯეტი!$B$59:$K$464,3,FALSE)</f>
        <v>80.656000000000006</v>
      </c>
      <c r="M154" s="53">
        <f t="shared" si="37"/>
        <v>241.16400000000004</v>
      </c>
      <c r="N154">
        <f>VLOOKUP($B154,[1]ბიუჯეტი!$B$59:$K$464,4,FALSE)</f>
        <v>3.3898305084745766</v>
      </c>
      <c r="O154" s="53">
        <f t="shared" si="38"/>
        <v>0</v>
      </c>
      <c r="P154">
        <f>VLOOKUP($B154,[1]ბიუჯეტი!$B$59:$K$464,6,FALSE)</f>
        <v>0</v>
      </c>
      <c r="Q154" s="53">
        <f t="shared" si="39"/>
        <v>0</v>
      </c>
      <c r="R154">
        <f>VLOOKUP($B154,[1]ბიუჯეტი!$B$59:$K$464,8,FALSE)</f>
        <v>0</v>
      </c>
      <c r="S154" s="53">
        <f t="shared" si="40"/>
        <v>0</v>
      </c>
      <c r="T154">
        <f>VLOOKUP($B154,[1]ბიუჯეტი!$B$59:$K$464,10,FALSE)</f>
        <v>273.41016949152549</v>
      </c>
      <c r="U154" s="53">
        <f t="shared" si="41"/>
        <v>817.50508474576282</v>
      </c>
    </row>
    <row r="155" spans="1:21" hidden="1" outlineLevel="1" x14ac:dyDescent="0.35">
      <c r="A155" s="29"/>
      <c r="B155" s="7" t="s">
        <v>274</v>
      </c>
      <c r="C155" s="8" t="s">
        <v>209</v>
      </c>
      <c r="D155" s="5">
        <f>D151/5</f>
        <v>62.964000000000013</v>
      </c>
      <c r="E155" s="5">
        <f>100/1.18</f>
        <v>84.745762711864415</v>
      </c>
      <c r="F155" s="5">
        <f t="shared" si="44"/>
        <v>5335.9322033898325</v>
      </c>
      <c r="G155" s="5"/>
      <c r="H155" s="5">
        <f t="shared" si="45"/>
        <v>0</v>
      </c>
      <c r="I155" s="5"/>
      <c r="J155" s="5"/>
      <c r="K155" s="5">
        <f t="shared" si="46"/>
        <v>5335.9322033898325</v>
      </c>
      <c r="L155">
        <f>VLOOKUP($B155,[1]ბიუჯეტი!$B$59:$K$464,3,FALSE)</f>
        <v>14.731200000000001</v>
      </c>
      <c r="M155" s="53">
        <f t="shared" si="37"/>
        <v>48.232800000000012</v>
      </c>
      <c r="N155">
        <f>VLOOKUP($B155,[1]ბიუჯეტი!$B$59:$K$464,4,FALSE)</f>
        <v>84.745762711864415</v>
      </c>
      <c r="O155" s="53">
        <f t="shared" si="38"/>
        <v>0</v>
      </c>
      <c r="P155">
        <f>VLOOKUP($B155,[1]ბიუჯეტი!$B$59:$K$464,6,FALSE)</f>
        <v>0</v>
      </c>
      <c r="Q155" s="53">
        <f t="shared" si="39"/>
        <v>0</v>
      </c>
      <c r="R155">
        <f>VLOOKUP($B155,[1]ბიუჯეტი!$B$59:$K$464,8,FALSE)</f>
        <v>0</v>
      </c>
      <c r="S155" s="53">
        <f t="shared" si="40"/>
        <v>0</v>
      </c>
      <c r="T155">
        <f>VLOOKUP($B155,[1]ბიუჯეტი!$B$59:$K$464,10,FALSE)</f>
        <v>1248.4067796610173</v>
      </c>
      <c r="U155" s="53">
        <f t="shared" si="41"/>
        <v>4087.5254237288154</v>
      </c>
    </row>
    <row r="156" spans="1:21" hidden="1" outlineLevel="1" x14ac:dyDescent="0.35">
      <c r="A156" s="29"/>
      <c r="B156" s="7" t="s">
        <v>275</v>
      </c>
      <c r="C156" s="8" t="s">
        <v>276</v>
      </c>
      <c r="D156" s="5">
        <v>10</v>
      </c>
      <c r="E156" s="5">
        <f>10/1.18</f>
        <v>8.4745762711864412</v>
      </c>
      <c r="F156" s="5">
        <f t="shared" si="44"/>
        <v>84.745762711864415</v>
      </c>
      <c r="G156" s="5"/>
      <c r="H156" s="5">
        <f t="shared" si="45"/>
        <v>0</v>
      </c>
      <c r="I156" s="5"/>
      <c r="J156" s="5"/>
      <c r="K156" s="5">
        <f t="shared" si="46"/>
        <v>84.745762711864415</v>
      </c>
      <c r="L156">
        <f>VLOOKUP($B156,[1]ბიუჯეტი!$B$59:$K$464,3,FALSE)</f>
        <v>10</v>
      </c>
      <c r="M156" s="53">
        <f t="shared" si="37"/>
        <v>0</v>
      </c>
      <c r="N156">
        <f>VLOOKUP($B156,[1]ბიუჯეტი!$B$59:$K$464,4,FALSE)</f>
        <v>8.4745762711864412</v>
      </c>
      <c r="O156" s="53">
        <f t="shared" si="38"/>
        <v>0</v>
      </c>
      <c r="P156">
        <f>VLOOKUP($B156,[1]ბიუჯეტი!$B$59:$K$464,6,FALSE)</f>
        <v>0</v>
      </c>
      <c r="Q156" s="53">
        <f t="shared" si="39"/>
        <v>0</v>
      </c>
      <c r="R156">
        <f>VLOOKUP($B156,[1]ბიუჯეტი!$B$59:$K$464,8,FALSE)</f>
        <v>0</v>
      </c>
      <c r="S156" s="53">
        <f t="shared" si="40"/>
        <v>0</v>
      </c>
      <c r="T156">
        <f>VLOOKUP($B156,[1]ბიუჯეტი!$B$59:$K$464,10,FALSE)</f>
        <v>84.745762711864415</v>
      </c>
      <c r="U156" s="53">
        <f t="shared" si="41"/>
        <v>0</v>
      </c>
    </row>
    <row r="157" spans="1:21" hidden="1" outlineLevel="1" x14ac:dyDescent="0.35">
      <c r="A157" s="29"/>
      <c r="B157" s="7" t="s">
        <v>277</v>
      </c>
      <c r="C157" s="8" t="s">
        <v>276</v>
      </c>
      <c r="D157" s="5">
        <v>30</v>
      </c>
      <c r="E157" s="5">
        <f>27/1.18</f>
        <v>22.881355932203391</v>
      </c>
      <c r="F157" s="5">
        <f t="shared" si="44"/>
        <v>686.4406779661017</v>
      </c>
      <c r="G157" s="5"/>
      <c r="H157" s="5">
        <f t="shared" si="45"/>
        <v>0</v>
      </c>
      <c r="I157" s="5"/>
      <c r="J157" s="5"/>
      <c r="K157" s="5">
        <f t="shared" si="46"/>
        <v>686.4406779661017</v>
      </c>
      <c r="L157">
        <f>VLOOKUP($B157,[1]ბიუჯეტი!$B$59:$K$464,3,FALSE)</f>
        <v>30</v>
      </c>
      <c r="M157" s="53">
        <f t="shared" si="37"/>
        <v>0</v>
      </c>
      <c r="N157">
        <f>VLOOKUP($B157,[1]ბიუჯეტი!$B$59:$K$464,4,FALSE)</f>
        <v>22.881355932203391</v>
      </c>
      <c r="O157" s="53">
        <f t="shared" si="38"/>
        <v>0</v>
      </c>
      <c r="P157">
        <f>VLOOKUP($B157,[1]ბიუჯეტი!$B$59:$K$464,6,FALSE)</f>
        <v>0</v>
      </c>
      <c r="Q157" s="53">
        <f t="shared" si="39"/>
        <v>0</v>
      </c>
      <c r="R157">
        <f>VLOOKUP($B157,[1]ბიუჯეტი!$B$59:$K$464,8,FALSE)</f>
        <v>0</v>
      </c>
      <c r="S157" s="53">
        <f t="shared" si="40"/>
        <v>0</v>
      </c>
      <c r="T157">
        <f>VLOOKUP($B157,[1]ბიუჯეტი!$B$59:$K$464,10,FALSE)</f>
        <v>686.4406779661017</v>
      </c>
      <c r="U157" s="53">
        <f t="shared" si="41"/>
        <v>0</v>
      </c>
    </row>
    <row r="158" spans="1:21" hidden="1" outlineLevel="1" x14ac:dyDescent="0.35">
      <c r="A158" s="29"/>
      <c r="B158" s="7" t="s">
        <v>278</v>
      </c>
      <c r="C158" s="8" t="s">
        <v>10</v>
      </c>
      <c r="D158" s="5">
        <f>D151-45.2</f>
        <v>269.62000000000006</v>
      </c>
      <c r="E158" s="5">
        <f>19.9/1.18</f>
        <v>16.864406779661017</v>
      </c>
      <c r="F158" s="5">
        <f t="shared" si="44"/>
        <v>4546.9813559322047</v>
      </c>
      <c r="G158" s="5"/>
      <c r="H158" s="5">
        <f t="shared" si="45"/>
        <v>0</v>
      </c>
      <c r="I158" s="5"/>
      <c r="J158" s="5"/>
      <c r="K158" s="5">
        <f t="shared" si="46"/>
        <v>4546.9813559322047</v>
      </c>
      <c r="L158">
        <f>VLOOKUP($B158,[1]ბიუჯეტი!$B$59:$K$464,3,FALSE)</f>
        <v>88</v>
      </c>
      <c r="M158" s="53">
        <f t="shared" si="37"/>
        <v>181.62000000000006</v>
      </c>
      <c r="N158">
        <f>VLOOKUP($B158,[1]ბიუჯეტი!$B$59:$K$464,4,FALSE)</f>
        <v>16.864406779661017</v>
      </c>
      <c r="O158" s="53">
        <f t="shared" si="38"/>
        <v>0</v>
      </c>
      <c r="P158">
        <f>VLOOKUP($B158,[1]ბიუჯეტი!$B$59:$K$464,6,FALSE)</f>
        <v>0</v>
      </c>
      <c r="Q158" s="53">
        <f t="shared" si="39"/>
        <v>0</v>
      </c>
      <c r="R158">
        <f>VLOOKUP($B158,[1]ბიუჯეტი!$B$59:$K$464,8,FALSE)</f>
        <v>0</v>
      </c>
      <c r="S158" s="53">
        <f t="shared" si="40"/>
        <v>0</v>
      </c>
      <c r="T158">
        <f>VLOOKUP($B158,[1]ბიუჯეტი!$B$59:$K$464,10,FALSE)</f>
        <v>1484.0677966101696</v>
      </c>
      <c r="U158" s="53">
        <f t="shared" si="41"/>
        <v>3062.9135593220353</v>
      </c>
    </row>
    <row r="159" spans="1:21" hidden="1" outlineLevel="1" x14ac:dyDescent="0.35">
      <c r="A159" s="29"/>
      <c r="B159" s="7" t="s">
        <v>279</v>
      </c>
      <c r="C159" s="8" t="s">
        <v>10</v>
      </c>
      <c r="D159" s="5">
        <v>14</v>
      </c>
      <c r="E159" s="5">
        <f>10.2/1.18</f>
        <v>8.6440677966101696</v>
      </c>
      <c r="F159" s="5">
        <f t="shared" si="44"/>
        <v>121.01694915254237</v>
      </c>
      <c r="G159" s="5"/>
      <c r="H159" s="5">
        <f t="shared" si="45"/>
        <v>0</v>
      </c>
      <c r="I159" s="5"/>
      <c r="J159" s="5"/>
      <c r="K159" s="5">
        <f t="shared" si="46"/>
        <v>121.01694915254237</v>
      </c>
      <c r="L159">
        <f>VLOOKUP($B159,[1]ბიუჯეტი!$B$59:$K$464,3,FALSE)</f>
        <v>8</v>
      </c>
      <c r="M159" s="53">
        <f t="shared" si="37"/>
        <v>6</v>
      </c>
      <c r="N159">
        <f>VLOOKUP($B159,[1]ბიუჯეტი!$B$59:$K$464,4,FALSE)</f>
        <v>8.6440677966101696</v>
      </c>
      <c r="O159" s="53">
        <f t="shared" si="38"/>
        <v>0</v>
      </c>
      <c r="P159">
        <f>VLOOKUP($B159,[1]ბიუჯეტი!$B$59:$K$464,6,FALSE)</f>
        <v>0</v>
      </c>
      <c r="Q159" s="53">
        <f t="shared" si="39"/>
        <v>0</v>
      </c>
      <c r="R159">
        <f>VLOOKUP($B159,[1]ბიუჯეტი!$B$59:$K$464,8,FALSE)</f>
        <v>0</v>
      </c>
      <c r="S159" s="53">
        <f t="shared" si="40"/>
        <v>0</v>
      </c>
      <c r="T159">
        <f>VLOOKUP($B159,[1]ბიუჯეტი!$B$59:$K$464,10,FALSE)</f>
        <v>69.152542372881356</v>
      </c>
      <c r="U159" s="53">
        <f t="shared" si="41"/>
        <v>51.86440677966101</v>
      </c>
    </row>
    <row r="160" spans="1:21" hidden="1" outlineLevel="1" x14ac:dyDescent="0.35">
      <c r="A160" s="29"/>
      <c r="B160" s="7" t="s">
        <v>14</v>
      </c>
      <c r="C160" s="8" t="s">
        <v>10</v>
      </c>
      <c r="D160" s="5">
        <f>D151</f>
        <v>314.82000000000005</v>
      </c>
      <c r="E160" s="5">
        <f>8/1.18</f>
        <v>6.7796610169491531</v>
      </c>
      <c r="F160" s="5">
        <f t="shared" si="44"/>
        <v>2134.3728813559328</v>
      </c>
      <c r="G160" s="5"/>
      <c r="H160" s="5">
        <f t="shared" si="45"/>
        <v>0</v>
      </c>
      <c r="I160" s="5"/>
      <c r="J160" s="5"/>
      <c r="K160" s="5">
        <f t="shared" si="46"/>
        <v>2134.3728813559328</v>
      </c>
      <c r="L160">
        <f>VLOOKUP($B160,[1]ბიუჯეტი!$B$59:$K$464,3,FALSE)</f>
        <v>0</v>
      </c>
      <c r="M160" s="53">
        <f t="shared" si="37"/>
        <v>314.82000000000005</v>
      </c>
      <c r="N160">
        <f>VLOOKUP($B160,[1]ბიუჯეტი!$B$59:$K$464,4,FALSE)</f>
        <v>0.84745762711864414</v>
      </c>
      <c r="O160" s="53">
        <f t="shared" si="38"/>
        <v>5.9322033898305087</v>
      </c>
      <c r="P160">
        <f>VLOOKUP($B160,[1]ბიუჯეტი!$B$59:$K$464,6,FALSE)</f>
        <v>0</v>
      </c>
      <c r="Q160" s="53">
        <f t="shared" si="39"/>
        <v>0</v>
      </c>
      <c r="R160">
        <f>VLOOKUP($B160,[1]ბიუჯეტი!$B$59:$K$464,8,FALSE)</f>
        <v>0</v>
      </c>
      <c r="S160" s="53">
        <f t="shared" si="40"/>
        <v>0</v>
      </c>
      <c r="T160">
        <f>VLOOKUP($B160,[1]ბიუჯეტი!$B$59:$K$464,10,FALSE)</f>
        <v>0</v>
      </c>
      <c r="U160" s="53">
        <f t="shared" si="41"/>
        <v>2134.3728813559328</v>
      </c>
    </row>
    <row r="161" spans="1:21" collapsed="1" x14ac:dyDescent="0.35">
      <c r="A161" s="55">
        <v>7</v>
      </c>
      <c r="B161" s="56" t="s">
        <v>302</v>
      </c>
      <c r="C161" s="57" t="s">
        <v>10</v>
      </c>
      <c r="D161" s="58">
        <f>სამუშაო!G23</f>
        <v>0</v>
      </c>
      <c r="E161" s="58">
        <v>0</v>
      </c>
      <c r="F161" s="58">
        <f>D161*E161</f>
        <v>0</v>
      </c>
      <c r="G161" s="58">
        <f>50*1.275</f>
        <v>63.749999999999993</v>
      </c>
      <c r="H161" s="58">
        <f>G161*D161</f>
        <v>0</v>
      </c>
      <c r="I161" s="58">
        <f>75/1.18+10/1.18</f>
        <v>72.033898305084747</v>
      </c>
      <c r="J161" s="58">
        <f>I161*D161</f>
        <v>0</v>
      </c>
      <c r="K161" s="58">
        <f>F161+H161+J161</f>
        <v>0</v>
      </c>
      <c r="L161">
        <v>0</v>
      </c>
      <c r="M161" s="53">
        <f t="shared" si="37"/>
        <v>0</v>
      </c>
      <c r="N161">
        <v>0</v>
      </c>
      <c r="O161" s="53">
        <f t="shared" si="38"/>
        <v>0</v>
      </c>
      <c r="P161" t="e">
        <f>VLOOKUP($B161,[1]ბიუჯეტი!$B$59:$K$464,6,FALSE)</f>
        <v>#N/A</v>
      </c>
      <c r="Q161" s="53" t="e">
        <f t="shared" si="39"/>
        <v>#N/A</v>
      </c>
      <c r="R161" t="e">
        <f>VLOOKUP($B161,[1]ბიუჯეტი!$B$59:$K$464,8,FALSE)</f>
        <v>#N/A</v>
      </c>
      <c r="S161" s="53" t="e">
        <f t="shared" si="40"/>
        <v>#N/A</v>
      </c>
      <c r="T161" t="e">
        <f>VLOOKUP($B161,[1]ბიუჯეტი!$B$59:$K$464,10,FALSE)</f>
        <v>#N/A</v>
      </c>
      <c r="U161" s="53" t="e">
        <f t="shared" si="41"/>
        <v>#N/A</v>
      </c>
    </row>
    <row r="162" spans="1:21" hidden="1" outlineLevel="1" x14ac:dyDescent="0.35">
      <c r="A162" s="29">
        <v>2</v>
      </c>
      <c r="B162" s="30" t="s">
        <v>302</v>
      </c>
      <c r="C162" s="8" t="s">
        <v>10</v>
      </c>
      <c r="D162" s="5">
        <v>251.16</v>
      </c>
      <c r="E162" s="5"/>
      <c r="F162" s="5">
        <f t="shared" ref="F162:F164" si="47">D162*E162</f>
        <v>0</v>
      </c>
      <c r="G162" s="5">
        <f>17*1.275</f>
        <v>21.674999999999997</v>
      </c>
      <c r="H162" s="5">
        <f>G162*D162</f>
        <v>5443.8929999999991</v>
      </c>
      <c r="I162" s="5"/>
      <c r="J162" s="5"/>
      <c r="K162" s="5">
        <f t="shared" ref="K162:K164" si="48">F162+H162</f>
        <v>5443.8929999999991</v>
      </c>
      <c r="L162" t="e">
        <f>VLOOKUP($B162,[1]ბიუჯეტი!$B$59:$K$464,3,FALSE)</f>
        <v>#N/A</v>
      </c>
      <c r="M162" s="53" t="e">
        <f t="shared" si="37"/>
        <v>#N/A</v>
      </c>
      <c r="N162" t="e">
        <f>VLOOKUP($B162,[1]ბიუჯეტი!$B$59:$K$464,4,FALSE)</f>
        <v>#N/A</v>
      </c>
      <c r="O162" s="53" t="e">
        <f t="shared" si="38"/>
        <v>#N/A</v>
      </c>
      <c r="P162" t="e">
        <f>VLOOKUP($B162,[1]ბიუჯეტი!$B$59:$K$464,6,FALSE)</f>
        <v>#N/A</v>
      </c>
      <c r="Q162" s="53" t="e">
        <f t="shared" si="39"/>
        <v>#N/A</v>
      </c>
      <c r="R162" t="e">
        <f>VLOOKUP($B162,[1]ბიუჯეტი!$B$59:$K$464,8,FALSE)</f>
        <v>#N/A</v>
      </c>
      <c r="S162" s="53" t="e">
        <f t="shared" si="40"/>
        <v>#N/A</v>
      </c>
      <c r="T162" t="e">
        <f>VLOOKUP($B162,[1]ბიუჯეტი!$B$59:$K$464,10,FALSE)</f>
        <v>#N/A</v>
      </c>
      <c r="U162" s="53" t="e">
        <f t="shared" si="41"/>
        <v>#N/A</v>
      </c>
    </row>
    <row r="163" spans="1:21" hidden="1" outlineLevel="1" x14ac:dyDescent="0.35">
      <c r="A163" s="29"/>
      <c r="B163" s="7" t="s">
        <v>50</v>
      </c>
      <c r="C163" s="8" t="s">
        <v>9</v>
      </c>
      <c r="D163" s="5">
        <f>0.03*D162*1.05</f>
        <v>7.9115400000000005</v>
      </c>
      <c r="E163" s="5">
        <f>65/1.18</f>
        <v>55.084745762711869</v>
      </c>
      <c r="F163" s="5">
        <f t="shared" si="47"/>
        <v>435.80516949152548</v>
      </c>
      <c r="G163" s="5"/>
      <c r="H163" s="5">
        <f>D163*G163</f>
        <v>0</v>
      </c>
      <c r="I163" s="5"/>
      <c r="J163" s="5"/>
      <c r="K163" s="5">
        <f t="shared" si="48"/>
        <v>435.80516949152548</v>
      </c>
      <c r="L163">
        <f>VLOOKUP($B163,[1]ბიუჯეტი!$B$59:$K$464,3,FALSE)</f>
        <v>0</v>
      </c>
      <c r="M163" s="53">
        <f t="shared" si="37"/>
        <v>7.9115400000000005</v>
      </c>
      <c r="N163">
        <f>VLOOKUP($B163,[1]ბიუჯეტი!$B$59:$K$464,4,FALSE)</f>
        <v>55.084745762711869</v>
      </c>
      <c r="O163" s="53">
        <f t="shared" si="38"/>
        <v>0</v>
      </c>
      <c r="P163">
        <f>VLOOKUP($B163,[1]ბიუჯეტი!$B$59:$K$464,6,FALSE)</f>
        <v>0</v>
      </c>
      <c r="Q163" s="53">
        <f t="shared" si="39"/>
        <v>0</v>
      </c>
      <c r="R163">
        <f>VLOOKUP($B163,[1]ბიუჯეტი!$B$59:$K$464,8,FALSE)</f>
        <v>0</v>
      </c>
      <c r="S163" s="53">
        <f t="shared" si="40"/>
        <v>0</v>
      </c>
      <c r="T163">
        <f>VLOOKUP($B163,[1]ბიუჯეტი!$B$59:$K$464,10,FALSE)</f>
        <v>0</v>
      </c>
      <c r="U163" s="53">
        <f t="shared" si="41"/>
        <v>435.80516949152548</v>
      </c>
    </row>
    <row r="164" spans="1:21" hidden="1" outlineLevel="1" x14ac:dyDescent="0.35">
      <c r="A164" s="29"/>
      <c r="B164" s="7" t="s">
        <v>51</v>
      </c>
      <c r="C164" s="8" t="s">
        <v>12</v>
      </c>
      <c r="D164" s="5">
        <f>D163/3*1.05</f>
        <v>2.7690390000000003</v>
      </c>
      <c r="E164" s="5">
        <f>281.5/1.18</f>
        <v>238.55932203389833</v>
      </c>
      <c r="F164" s="5">
        <f t="shared" si="47"/>
        <v>660.58006652542383</v>
      </c>
      <c r="G164" s="5"/>
      <c r="H164" s="5">
        <f>D164*G164</f>
        <v>0</v>
      </c>
      <c r="I164" s="5"/>
      <c r="J164" s="5"/>
      <c r="K164" s="5">
        <f t="shared" si="48"/>
        <v>660.58006652542383</v>
      </c>
      <c r="L164">
        <f>VLOOKUP($B164,[1]ბიუჯეტი!$B$59:$K$464,3,FALSE)</f>
        <v>0</v>
      </c>
      <c r="M164" s="53">
        <f t="shared" si="37"/>
        <v>2.7690390000000003</v>
      </c>
      <c r="N164">
        <f>VLOOKUP($B164,[1]ბიუჯეტი!$B$59:$K$464,4,FALSE)</f>
        <v>238.55932203389833</v>
      </c>
      <c r="O164" s="53">
        <f t="shared" si="38"/>
        <v>0</v>
      </c>
      <c r="P164">
        <f>VLOOKUP($B164,[1]ბიუჯეტი!$B$59:$K$464,6,FALSE)</f>
        <v>0</v>
      </c>
      <c r="Q164" s="53">
        <f t="shared" si="39"/>
        <v>0</v>
      </c>
      <c r="R164">
        <f>VLOOKUP($B164,[1]ბიუჯეტი!$B$59:$K$464,8,FALSE)</f>
        <v>0</v>
      </c>
      <c r="S164" s="53">
        <f t="shared" si="40"/>
        <v>0</v>
      </c>
      <c r="T164">
        <f>VLOOKUP($B164,[1]ბიუჯეტი!$B$59:$K$464,10,FALSE)</f>
        <v>0</v>
      </c>
      <c r="U164" s="53">
        <f t="shared" si="41"/>
        <v>660.58006652542383</v>
      </c>
    </row>
    <row r="165" spans="1:21" collapsed="1" x14ac:dyDescent="0.35">
      <c r="A165" s="29">
        <v>9</v>
      </c>
      <c r="B165" s="30" t="s">
        <v>204</v>
      </c>
      <c r="C165" s="8" t="s">
        <v>10</v>
      </c>
      <c r="D165" s="5">
        <f>სამუშაო!H42+სამუშაო!H43+სამუშაო!H44+სამუშაო!H45</f>
        <v>57</v>
      </c>
      <c r="E165" s="5">
        <v>0</v>
      </c>
      <c r="F165" s="5">
        <f t="shared" ref="F165:F196" si="49">D165*E165</f>
        <v>0</v>
      </c>
      <c r="G165" s="5">
        <v>0</v>
      </c>
      <c r="H165" s="5">
        <f>G165*D165</f>
        <v>0</v>
      </c>
      <c r="I165" s="5">
        <f>250*1.275</f>
        <v>318.75</v>
      </c>
      <c r="J165" s="5">
        <f>I165*D165</f>
        <v>18168.75</v>
      </c>
      <c r="K165" s="5">
        <f>F165+H165+J165</f>
        <v>18168.75</v>
      </c>
      <c r="L165">
        <f>VLOOKUP($B165,[1]ბიუჯეტი!$B$59:$K$464,3,FALSE)</f>
        <v>76</v>
      </c>
      <c r="M165" s="53">
        <f t="shared" si="37"/>
        <v>-19</v>
      </c>
      <c r="N165">
        <f>VLOOKUP($B165,[1]ბიუჯეტი!$B$59:$K$464,4,FALSE)</f>
        <v>0</v>
      </c>
      <c r="O165" s="53">
        <f t="shared" si="38"/>
        <v>0</v>
      </c>
      <c r="P165">
        <f>VLOOKUP($B165,[1]ბიუჯეტი!$B$59:$K$464,6,FALSE)</f>
        <v>0</v>
      </c>
      <c r="Q165" s="53">
        <f t="shared" si="39"/>
        <v>0</v>
      </c>
      <c r="R165">
        <f>VLOOKUP($B165,[1]ბიუჯეტი!$B$59:$K$464,8,FALSE)</f>
        <v>293.25</v>
      </c>
      <c r="S165" s="53">
        <f t="shared" si="40"/>
        <v>25.5</v>
      </c>
      <c r="T165">
        <f>VLOOKUP($B165,[1]ბიუჯეტი!$B$59:$K$464,10,FALSE)</f>
        <v>22287</v>
      </c>
      <c r="U165" s="53">
        <f t="shared" si="41"/>
        <v>-4118.25</v>
      </c>
    </row>
    <row r="166" spans="1:21" x14ac:dyDescent="0.35">
      <c r="A166" s="29">
        <v>11</v>
      </c>
      <c r="B166" s="30" t="s">
        <v>62</v>
      </c>
      <c r="C166" s="8" t="s">
        <v>40</v>
      </c>
      <c r="D166" s="5">
        <f>SUM(D167,D171,D175,D179,)</f>
        <v>94.800000000000011</v>
      </c>
      <c r="E166" s="5">
        <f>SUM(K180:K182,K176:K178,K172:K174,K168:K170,)/D166</f>
        <v>20.760084745762715</v>
      </c>
      <c r="F166" s="5">
        <f t="shared" si="49"/>
        <v>1968.0560338983055</v>
      </c>
      <c r="G166" s="5">
        <f>SUM(H167:H182)/D166</f>
        <v>22.95</v>
      </c>
      <c r="H166" s="5">
        <f>G166*D166</f>
        <v>2175.6600000000003</v>
      </c>
      <c r="I166" s="5">
        <v>0</v>
      </c>
      <c r="J166" s="5">
        <v>0</v>
      </c>
      <c r="K166" s="5">
        <f t="shared" si="35"/>
        <v>4143.7160338983058</v>
      </c>
      <c r="L166">
        <f>VLOOKUP($B166,[1]ბიუჯეტი!$B$59:$K$464,3,FALSE)</f>
        <v>94.800000000000011</v>
      </c>
      <c r="M166" s="53">
        <f t="shared" si="37"/>
        <v>0</v>
      </c>
      <c r="N166">
        <f>VLOOKUP($B166,[1]ბიუჯეტი!$B$59:$K$464,4,FALSE)</f>
        <v>20.760084745762715</v>
      </c>
      <c r="O166" s="53">
        <f t="shared" si="38"/>
        <v>0</v>
      </c>
      <c r="P166">
        <f>VLOOKUP($B166,[1]ბიუჯეტი!$B$59:$K$464,6,FALSE)</f>
        <v>19.125</v>
      </c>
      <c r="Q166" s="53">
        <f t="shared" si="39"/>
        <v>3.8249999999999993</v>
      </c>
      <c r="R166">
        <f>VLOOKUP($B166,[1]ბიუჯეტი!$B$59:$K$464,8,FALSE)</f>
        <v>0</v>
      </c>
      <c r="S166" s="53">
        <f t="shared" si="40"/>
        <v>0</v>
      </c>
      <c r="T166">
        <f>VLOOKUP($B166,[1]ბიუჯეტი!$B$59:$K$464,10,FALSE)</f>
        <v>3781.1060338983057</v>
      </c>
      <c r="U166" s="53">
        <f t="shared" si="41"/>
        <v>362.61000000000013</v>
      </c>
    </row>
    <row r="167" spans="1:21" hidden="1" outlineLevel="1" x14ac:dyDescent="0.35">
      <c r="A167" s="29">
        <v>1</v>
      </c>
      <c r="B167" s="30" t="s">
        <v>180</v>
      </c>
      <c r="C167" s="8" t="s">
        <v>40</v>
      </c>
      <c r="D167" s="5">
        <v>0</v>
      </c>
      <c r="E167" s="5"/>
      <c r="F167" s="5">
        <f t="shared" si="49"/>
        <v>0</v>
      </c>
      <c r="G167" s="5">
        <f>15*1.275</f>
        <v>19.125</v>
      </c>
      <c r="H167" s="5">
        <f t="shared" ref="H167:H182" si="50">D167*G167</f>
        <v>0</v>
      </c>
      <c r="I167" s="5"/>
      <c r="J167" s="5"/>
      <c r="K167" s="5">
        <f t="shared" si="35"/>
        <v>0</v>
      </c>
      <c r="L167">
        <f>VLOOKUP($B167,[1]ბიუჯეტი!$B$59:$K$464,3,FALSE)</f>
        <v>0</v>
      </c>
      <c r="M167" s="53">
        <f t="shared" si="37"/>
        <v>0</v>
      </c>
      <c r="N167">
        <f>VLOOKUP($B167,[1]ბიუჯეტი!$B$59:$K$464,4,FALSE)</f>
        <v>0</v>
      </c>
      <c r="O167" s="53">
        <f t="shared" si="38"/>
        <v>0</v>
      </c>
      <c r="P167">
        <f>VLOOKUP($B167,[1]ბიუჯეტი!$B$59:$K$464,6,FALSE)</f>
        <v>19.125</v>
      </c>
      <c r="Q167" s="53">
        <f t="shared" si="39"/>
        <v>0</v>
      </c>
      <c r="R167">
        <f>VLOOKUP($B167,[1]ბიუჯეტი!$B$59:$K$464,8,FALSE)</f>
        <v>0</v>
      </c>
      <c r="S167" s="53">
        <f t="shared" si="40"/>
        <v>0</v>
      </c>
      <c r="T167">
        <f>VLOOKUP($B167,[1]ბიუჯეტი!$B$59:$K$464,10,FALSE)</f>
        <v>0</v>
      </c>
      <c r="U167" s="53">
        <f t="shared" si="41"/>
        <v>0</v>
      </c>
    </row>
    <row r="168" spans="1:21" hidden="1" outlineLevel="1" x14ac:dyDescent="0.35">
      <c r="A168" s="29"/>
      <c r="B168" s="7" t="s">
        <v>64</v>
      </c>
      <c r="C168" s="8" t="s">
        <v>10</v>
      </c>
      <c r="D168" s="5">
        <f>D167*0.2*1.05</f>
        <v>0</v>
      </c>
      <c r="E168" s="5">
        <f>110/1.18</f>
        <v>93.220338983050851</v>
      </c>
      <c r="F168" s="5">
        <f t="shared" si="49"/>
        <v>0</v>
      </c>
      <c r="G168" s="5"/>
      <c r="H168" s="5">
        <f t="shared" si="50"/>
        <v>0</v>
      </c>
      <c r="I168" s="5"/>
      <c r="J168" s="5"/>
      <c r="K168" s="5">
        <f t="shared" si="35"/>
        <v>0</v>
      </c>
      <c r="L168">
        <f>VLOOKUP($B168,[1]ბიუჯეტი!$B$59:$K$464,3,FALSE)</f>
        <v>0</v>
      </c>
      <c r="M168" s="53">
        <f t="shared" si="37"/>
        <v>0</v>
      </c>
      <c r="N168">
        <f>VLOOKUP($B168,[1]ბიუჯეტი!$B$59:$K$464,4,FALSE)</f>
        <v>93.220338983050851</v>
      </c>
      <c r="O168" s="53">
        <f t="shared" si="38"/>
        <v>0</v>
      </c>
      <c r="P168">
        <f>VLOOKUP($B168,[1]ბიუჯეტი!$B$59:$K$464,6,FALSE)</f>
        <v>0</v>
      </c>
      <c r="Q168" s="53">
        <f t="shared" si="39"/>
        <v>0</v>
      </c>
      <c r="R168">
        <f>VLOOKUP($B168,[1]ბიუჯეტი!$B$59:$K$464,8,FALSE)</f>
        <v>0</v>
      </c>
      <c r="S168" s="53">
        <f t="shared" si="40"/>
        <v>0</v>
      </c>
      <c r="T168">
        <f>VLOOKUP($B168,[1]ბიუჯეტი!$B$59:$K$464,10,FALSE)</f>
        <v>0</v>
      </c>
      <c r="U168" s="53">
        <f t="shared" si="41"/>
        <v>0</v>
      </c>
    </row>
    <row r="169" spans="1:21" hidden="1" outlineLevel="1" x14ac:dyDescent="0.35">
      <c r="A169" s="29"/>
      <c r="B169" s="7" t="s">
        <v>65</v>
      </c>
      <c r="C169" s="8" t="s">
        <v>49</v>
      </c>
      <c r="D169" s="5">
        <f>D168*3/25*1.05</f>
        <v>0</v>
      </c>
      <c r="E169" s="5">
        <f>15/1.18</f>
        <v>12.711864406779661</v>
      </c>
      <c r="F169" s="5">
        <f t="shared" si="49"/>
        <v>0</v>
      </c>
      <c r="G169" s="5"/>
      <c r="H169" s="5">
        <f t="shared" si="50"/>
        <v>0</v>
      </c>
      <c r="I169" s="5"/>
      <c r="J169" s="5"/>
      <c r="K169" s="5">
        <f t="shared" si="35"/>
        <v>0</v>
      </c>
      <c r="L169">
        <f>VLOOKUP($B169,[1]ბიუჯეტი!$B$59:$K$464,3,FALSE)</f>
        <v>45</v>
      </c>
      <c r="M169" s="53">
        <f t="shared" si="37"/>
        <v>-45</v>
      </c>
      <c r="N169">
        <f>VLOOKUP($B169,[1]ბიუჯეტი!$B$59:$K$464,4,FALSE)</f>
        <v>29.661016949152543</v>
      </c>
      <c r="O169" s="53">
        <f t="shared" si="38"/>
        <v>-16.949152542372882</v>
      </c>
      <c r="P169">
        <f>VLOOKUP($B169,[1]ბიუჯეტი!$B$59:$K$464,6,FALSE)</f>
        <v>0</v>
      </c>
      <c r="Q169" s="53">
        <f t="shared" si="39"/>
        <v>0</v>
      </c>
      <c r="R169">
        <f>VLOOKUP($B169,[1]ბიუჯეტი!$B$59:$K$464,8,FALSE)</f>
        <v>0</v>
      </c>
      <c r="S169" s="53">
        <f t="shared" si="40"/>
        <v>0</v>
      </c>
      <c r="T169">
        <f>VLOOKUP($B169,[1]ბიუჯეტი!$B$59:$K$464,10,FALSE)</f>
        <v>1334.7457627118645</v>
      </c>
      <c r="U169" s="53">
        <f t="shared" si="41"/>
        <v>-1334.7457627118645</v>
      </c>
    </row>
    <row r="170" spans="1:21" hidden="1" outlineLevel="1" x14ac:dyDescent="0.35">
      <c r="A170" s="29"/>
      <c r="B170" s="7" t="s">
        <v>14</v>
      </c>
      <c r="C170" s="8" t="s">
        <v>66</v>
      </c>
      <c r="D170" s="5">
        <f>D167</f>
        <v>0</v>
      </c>
      <c r="E170" s="5">
        <f>1/1.18</f>
        <v>0.84745762711864414</v>
      </c>
      <c r="F170" s="5">
        <f t="shared" si="49"/>
        <v>0</v>
      </c>
      <c r="G170" s="5"/>
      <c r="H170" s="5">
        <f t="shared" si="50"/>
        <v>0</v>
      </c>
      <c r="I170" s="5"/>
      <c r="J170" s="5"/>
      <c r="K170" s="5">
        <f t="shared" si="35"/>
        <v>0</v>
      </c>
      <c r="L170">
        <f>VLOOKUP($B170,[1]ბიუჯეტი!$B$59:$K$464,3,FALSE)</f>
        <v>0</v>
      </c>
      <c r="M170" s="53">
        <f t="shared" si="37"/>
        <v>0</v>
      </c>
      <c r="N170">
        <f>VLOOKUP($B170,[1]ბიუჯეტი!$B$59:$K$464,4,FALSE)</f>
        <v>0.84745762711864414</v>
      </c>
      <c r="O170" s="53">
        <f t="shared" si="38"/>
        <v>0</v>
      </c>
      <c r="P170">
        <f>VLOOKUP($B170,[1]ბიუჯეტი!$B$59:$K$464,6,FALSE)</f>
        <v>0</v>
      </c>
      <c r="Q170" s="53">
        <f t="shared" si="39"/>
        <v>0</v>
      </c>
      <c r="R170">
        <f>VLOOKUP($B170,[1]ბიუჯეტი!$B$59:$K$464,8,FALSE)</f>
        <v>0</v>
      </c>
      <c r="S170" s="53">
        <f t="shared" si="40"/>
        <v>0</v>
      </c>
      <c r="T170">
        <f>VLOOKUP($B170,[1]ბიუჯეტი!$B$59:$K$464,10,FALSE)</f>
        <v>0</v>
      </c>
      <c r="U170" s="53">
        <f t="shared" si="41"/>
        <v>0</v>
      </c>
    </row>
    <row r="171" spans="1:21" hidden="1" outlineLevel="1" x14ac:dyDescent="0.35">
      <c r="A171" s="29">
        <v>2</v>
      </c>
      <c r="B171" s="30" t="s">
        <v>63</v>
      </c>
      <c r="C171" s="8" t="s">
        <v>40</v>
      </c>
      <c r="D171" s="5">
        <f>სამუშაო!H23</f>
        <v>25.200000000000003</v>
      </c>
      <c r="E171" s="5"/>
      <c r="F171" s="5">
        <f t="shared" si="49"/>
        <v>0</v>
      </c>
      <c r="G171" s="5">
        <f>18*1.275</f>
        <v>22.95</v>
      </c>
      <c r="H171" s="5">
        <f t="shared" si="50"/>
        <v>578.34</v>
      </c>
      <c r="I171" s="5"/>
      <c r="J171" s="5"/>
      <c r="K171" s="5">
        <f t="shared" si="35"/>
        <v>578.34</v>
      </c>
      <c r="L171">
        <f>VLOOKUP($B171,[1]ბიუჯეტი!$B$59:$K$464,3,FALSE)</f>
        <v>25.200000000000003</v>
      </c>
      <c r="M171" s="53">
        <f t="shared" si="37"/>
        <v>0</v>
      </c>
      <c r="N171">
        <f>VLOOKUP($B171,[1]ბიუჯეტი!$B$59:$K$464,4,FALSE)</f>
        <v>0</v>
      </c>
      <c r="O171" s="53">
        <f t="shared" si="38"/>
        <v>0</v>
      </c>
      <c r="P171">
        <f>VLOOKUP($B171,[1]ბიუჯეტი!$B$59:$K$464,6,FALSE)</f>
        <v>19.125</v>
      </c>
      <c r="Q171" s="53">
        <f t="shared" si="39"/>
        <v>3.8249999999999993</v>
      </c>
      <c r="R171">
        <f>VLOOKUP($B171,[1]ბიუჯეტი!$B$59:$K$464,8,FALSE)</f>
        <v>0</v>
      </c>
      <c r="S171" s="53">
        <f t="shared" si="40"/>
        <v>0</v>
      </c>
      <c r="T171">
        <f>VLOOKUP($B171,[1]ბიუჯეტი!$B$59:$K$464,10,FALSE)</f>
        <v>481.95000000000005</v>
      </c>
      <c r="U171" s="53">
        <f t="shared" si="41"/>
        <v>96.389999999999986</v>
      </c>
    </row>
    <row r="172" spans="1:21" hidden="1" outlineLevel="1" x14ac:dyDescent="0.35">
      <c r="A172" s="29"/>
      <c r="B172" s="7" t="s">
        <v>64</v>
      </c>
      <c r="C172" s="8" t="s">
        <v>10</v>
      </c>
      <c r="D172" s="5">
        <f>D171*0.2*1.05</f>
        <v>5.2920000000000016</v>
      </c>
      <c r="E172" s="5">
        <f>110/1.18</f>
        <v>93.220338983050851</v>
      </c>
      <c r="F172" s="5">
        <f t="shared" si="49"/>
        <v>493.32203389830528</v>
      </c>
      <c r="G172" s="5"/>
      <c r="H172" s="5">
        <f t="shared" si="50"/>
        <v>0</v>
      </c>
      <c r="I172" s="5"/>
      <c r="J172" s="5"/>
      <c r="K172" s="5">
        <f t="shared" si="35"/>
        <v>493.32203389830528</v>
      </c>
      <c r="L172">
        <f>VLOOKUP($B172,[1]ბიუჯეტი!$B$59:$K$464,3,FALSE)</f>
        <v>0</v>
      </c>
      <c r="M172" s="53">
        <f t="shared" si="37"/>
        <v>5.2920000000000016</v>
      </c>
      <c r="N172">
        <f>VLOOKUP($B172,[1]ბიუჯეტი!$B$59:$K$464,4,FALSE)</f>
        <v>93.220338983050851</v>
      </c>
      <c r="O172" s="53">
        <f t="shared" si="38"/>
        <v>0</v>
      </c>
      <c r="P172">
        <f>VLOOKUP($B172,[1]ბიუჯეტი!$B$59:$K$464,6,FALSE)</f>
        <v>0</v>
      </c>
      <c r="Q172" s="53">
        <f t="shared" si="39"/>
        <v>0</v>
      </c>
      <c r="R172">
        <f>VLOOKUP($B172,[1]ბიუჯეტი!$B$59:$K$464,8,FALSE)</f>
        <v>0</v>
      </c>
      <c r="S172" s="53">
        <f t="shared" si="40"/>
        <v>0</v>
      </c>
      <c r="T172">
        <f>VLOOKUP($B172,[1]ბიუჯეტი!$B$59:$K$464,10,FALSE)</f>
        <v>0</v>
      </c>
      <c r="U172" s="53">
        <f t="shared" si="41"/>
        <v>493.32203389830528</v>
      </c>
    </row>
    <row r="173" spans="1:21" hidden="1" outlineLevel="1" x14ac:dyDescent="0.35">
      <c r="A173" s="29"/>
      <c r="B173" s="7" t="s">
        <v>65</v>
      </c>
      <c r="C173" s="8" t="s">
        <v>49</v>
      </c>
      <c r="D173" s="5">
        <f>D172*3/25*1.05</f>
        <v>0.66679200000000016</v>
      </c>
      <c r="E173" s="5">
        <f>15/1.18</f>
        <v>12.711864406779661</v>
      </c>
      <c r="F173" s="5">
        <f t="shared" si="49"/>
        <v>8.4761694915254253</v>
      </c>
      <c r="G173" s="5"/>
      <c r="H173" s="5">
        <f t="shared" si="50"/>
        <v>0</v>
      </c>
      <c r="I173" s="5"/>
      <c r="J173" s="5"/>
      <c r="K173" s="5">
        <f t="shared" si="35"/>
        <v>8.4761694915254253</v>
      </c>
      <c r="L173">
        <f>VLOOKUP($B173,[1]ბიუჯეტი!$B$59:$K$464,3,FALSE)</f>
        <v>45</v>
      </c>
      <c r="M173" s="53">
        <f t="shared" si="37"/>
        <v>-44.333207999999999</v>
      </c>
      <c r="N173">
        <f>VLOOKUP($B173,[1]ბიუჯეტი!$B$59:$K$464,4,FALSE)</f>
        <v>29.661016949152543</v>
      </c>
      <c r="O173" s="53">
        <f t="shared" si="38"/>
        <v>-16.949152542372882</v>
      </c>
      <c r="P173">
        <f>VLOOKUP($B173,[1]ბიუჯეტი!$B$59:$K$464,6,FALSE)</f>
        <v>0</v>
      </c>
      <c r="Q173" s="53">
        <f t="shared" si="39"/>
        <v>0</v>
      </c>
      <c r="R173">
        <f>VLOOKUP($B173,[1]ბიუჯეტი!$B$59:$K$464,8,FALSE)</f>
        <v>0</v>
      </c>
      <c r="S173" s="53">
        <f t="shared" si="40"/>
        <v>0</v>
      </c>
      <c r="T173">
        <f>VLOOKUP($B173,[1]ბიუჯეტი!$B$59:$K$464,10,FALSE)</f>
        <v>1334.7457627118645</v>
      </c>
      <c r="U173" s="53">
        <f t="shared" si="41"/>
        <v>-1326.2695932203389</v>
      </c>
    </row>
    <row r="174" spans="1:21" hidden="1" outlineLevel="1" x14ac:dyDescent="0.35">
      <c r="A174" s="29"/>
      <c r="B174" s="7" t="s">
        <v>14</v>
      </c>
      <c r="C174" s="8" t="s">
        <v>66</v>
      </c>
      <c r="D174" s="5">
        <f>D171</f>
        <v>25.200000000000003</v>
      </c>
      <c r="E174" s="5">
        <f>1/1.18</f>
        <v>0.84745762711864414</v>
      </c>
      <c r="F174" s="5">
        <f t="shared" si="49"/>
        <v>21.355932203389834</v>
      </c>
      <c r="G174" s="5"/>
      <c r="H174" s="5">
        <f t="shared" si="50"/>
        <v>0</v>
      </c>
      <c r="I174" s="5"/>
      <c r="J174" s="5"/>
      <c r="K174" s="5">
        <f t="shared" si="35"/>
        <v>21.355932203389834</v>
      </c>
      <c r="L174">
        <f>VLOOKUP($B174,[1]ბიუჯეტი!$B$59:$K$464,3,FALSE)</f>
        <v>0</v>
      </c>
      <c r="M174" s="53">
        <f t="shared" si="37"/>
        <v>25.200000000000003</v>
      </c>
      <c r="N174">
        <f>VLOOKUP($B174,[1]ბიუჯეტი!$B$59:$K$464,4,FALSE)</f>
        <v>0.84745762711864414</v>
      </c>
      <c r="O174" s="53">
        <f t="shared" si="38"/>
        <v>0</v>
      </c>
      <c r="P174">
        <f>VLOOKUP($B174,[1]ბიუჯეტი!$B$59:$K$464,6,FALSE)</f>
        <v>0</v>
      </c>
      <c r="Q174" s="53">
        <f t="shared" si="39"/>
        <v>0</v>
      </c>
      <c r="R174">
        <f>VLOOKUP($B174,[1]ბიუჯეტი!$B$59:$K$464,8,FALSE)</f>
        <v>0</v>
      </c>
      <c r="S174" s="53">
        <f t="shared" si="40"/>
        <v>0</v>
      </c>
      <c r="T174">
        <f>VLOOKUP($B174,[1]ბიუჯეტი!$B$59:$K$464,10,FALSE)</f>
        <v>0</v>
      </c>
      <c r="U174" s="53">
        <f t="shared" si="41"/>
        <v>21.355932203389834</v>
      </c>
    </row>
    <row r="175" spans="1:21" hidden="1" outlineLevel="1" x14ac:dyDescent="0.35">
      <c r="A175" s="29">
        <v>3</v>
      </c>
      <c r="B175" s="30" t="s">
        <v>181</v>
      </c>
      <c r="C175" s="8" t="s">
        <v>40</v>
      </c>
      <c r="D175" s="5">
        <f>სამუშაო!H24+სამუშაო!H25+სამუშაო!H26</f>
        <v>69.600000000000009</v>
      </c>
      <c r="E175" s="5"/>
      <c r="F175" s="5">
        <f t="shared" si="49"/>
        <v>0</v>
      </c>
      <c r="G175" s="5">
        <f>18*1.275</f>
        <v>22.95</v>
      </c>
      <c r="H175" s="5">
        <f t="shared" si="50"/>
        <v>1597.3200000000002</v>
      </c>
      <c r="I175" s="5"/>
      <c r="J175" s="5"/>
      <c r="K175" s="5">
        <f t="shared" si="35"/>
        <v>1597.3200000000002</v>
      </c>
      <c r="L175">
        <f>VLOOKUP($B175,[1]ბიუჯეტი!$B$59:$K$464,3,FALSE)</f>
        <v>69.600000000000009</v>
      </c>
      <c r="M175" s="53">
        <f t="shared" si="37"/>
        <v>0</v>
      </c>
      <c r="N175">
        <f>VLOOKUP($B175,[1]ბიუჯეტი!$B$59:$K$464,4,FALSE)</f>
        <v>0</v>
      </c>
      <c r="O175" s="53">
        <f t="shared" si="38"/>
        <v>0</v>
      </c>
      <c r="P175">
        <f>VLOOKUP($B175,[1]ბიუჯეტი!$B$59:$K$464,6,FALSE)</f>
        <v>19.125</v>
      </c>
      <c r="Q175" s="53">
        <f t="shared" si="39"/>
        <v>3.8249999999999993</v>
      </c>
      <c r="R175">
        <f>VLOOKUP($B175,[1]ბიუჯეტი!$B$59:$K$464,8,FALSE)</f>
        <v>0</v>
      </c>
      <c r="S175" s="53">
        <f t="shared" si="40"/>
        <v>0</v>
      </c>
      <c r="T175">
        <f>VLOOKUP($B175,[1]ბიუჯეტი!$B$59:$K$464,10,FALSE)</f>
        <v>1331.1000000000001</v>
      </c>
      <c r="U175" s="53">
        <f t="shared" si="41"/>
        <v>266.22000000000003</v>
      </c>
    </row>
    <row r="176" spans="1:21" hidden="1" outlineLevel="1" x14ac:dyDescent="0.35">
      <c r="A176" s="29"/>
      <c r="B176" s="7" t="s">
        <v>64</v>
      </c>
      <c r="C176" s="8" t="s">
        <v>10</v>
      </c>
      <c r="D176" s="5">
        <f>D175*0.2*1.05</f>
        <v>14.616000000000003</v>
      </c>
      <c r="E176" s="5">
        <f>110/1.18</f>
        <v>93.220338983050851</v>
      </c>
      <c r="F176" s="5">
        <f t="shared" si="49"/>
        <v>1362.5084745762715</v>
      </c>
      <c r="G176" s="5"/>
      <c r="H176" s="5">
        <f t="shared" si="50"/>
        <v>0</v>
      </c>
      <c r="I176" s="5"/>
      <c r="J176" s="5"/>
      <c r="K176" s="5">
        <f t="shared" ref="K176:K192" si="51">F176+H176</f>
        <v>1362.5084745762715</v>
      </c>
      <c r="L176">
        <f>VLOOKUP($B176,[1]ბიუჯეტი!$B$59:$K$464,3,FALSE)</f>
        <v>0</v>
      </c>
      <c r="M176" s="53">
        <f t="shared" si="37"/>
        <v>14.616000000000003</v>
      </c>
      <c r="N176">
        <f>VLOOKUP($B176,[1]ბიუჯეტი!$B$59:$K$464,4,FALSE)</f>
        <v>93.220338983050851</v>
      </c>
      <c r="O176" s="53">
        <f t="shared" si="38"/>
        <v>0</v>
      </c>
      <c r="P176">
        <f>VLOOKUP($B176,[1]ბიუჯეტი!$B$59:$K$464,6,FALSE)</f>
        <v>0</v>
      </c>
      <c r="Q176" s="53">
        <f t="shared" si="39"/>
        <v>0</v>
      </c>
      <c r="R176">
        <f>VLOOKUP($B176,[1]ბიუჯეტი!$B$59:$K$464,8,FALSE)</f>
        <v>0</v>
      </c>
      <c r="S176" s="53">
        <f t="shared" si="40"/>
        <v>0</v>
      </c>
      <c r="T176">
        <f>VLOOKUP($B176,[1]ბიუჯეტი!$B$59:$K$464,10,FALSE)</f>
        <v>0</v>
      </c>
      <c r="U176" s="53">
        <f t="shared" si="41"/>
        <v>1362.5084745762715</v>
      </c>
    </row>
    <row r="177" spans="1:21" hidden="1" outlineLevel="1" x14ac:dyDescent="0.35">
      <c r="A177" s="29"/>
      <c r="B177" s="7" t="s">
        <v>65</v>
      </c>
      <c r="C177" s="8" t="s">
        <v>49</v>
      </c>
      <c r="D177" s="5">
        <f>D176*3/25*1.05</f>
        <v>1.8416160000000008</v>
      </c>
      <c r="E177" s="5">
        <f>15/1.18</f>
        <v>12.711864406779661</v>
      </c>
      <c r="F177" s="5">
        <f t="shared" si="49"/>
        <v>23.410372881355944</v>
      </c>
      <c r="G177" s="5"/>
      <c r="H177" s="5">
        <f t="shared" si="50"/>
        <v>0</v>
      </c>
      <c r="I177" s="5"/>
      <c r="J177" s="5"/>
      <c r="K177" s="5">
        <f t="shared" si="51"/>
        <v>23.410372881355944</v>
      </c>
      <c r="L177">
        <f>VLOOKUP($B177,[1]ბიუჯეტი!$B$59:$K$464,3,FALSE)</f>
        <v>45</v>
      </c>
      <c r="M177" s="53">
        <f t="shared" si="37"/>
        <v>-43.158383999999998</v>
      </c>
      <c r="N177">
        <f>VLOOKUP($B177,[1]ბიუჯეტი!$B$59:$K$464,4,FALSE)</f>
        <v>29.661016949152543</v>
      </c>
      <c r="O177" s="53">
        <f t="shared" si="38"/>
        <v>-16.949152542372882</v>
      </c>
      <c r="P177">
        <f>VLOOKUP($B177,[1]ბიუჯეტი!$B$59:$K$464,6,FALSE)</f>
        <v>0</v>
      </c>
      <c r="Q177" s="53">
        <f t="shared" si="39"/>
        <v>0</v>
      </c>
      <c r="R177">
        <f>VLOOKUP($B177,[1]ბიუჯეტი!$B$59:$K$464,8,FALSE)</f>
        <v>0</v>
      </c>
      <c r="S177" s="53">
        <f t="shared" si="40"/>
        <v>0</v>
      </c>
      <c r="T177">
        <f>VLOOKUP($B177,[1]ბიუჯეტი!$B$59:$K$464,10,FALSE)</f>
        <v>1334.7457627118645</v>
      </c>
      <c r="U177" s="53">
        <f t="shared" si="41"/>
        <v>-1311.3353898305086</v>
      </c>
    </row>
    <row r="178" spans="1:21" hidden="1" outlineLevel="1" x14ac:dyDescent="0.35">
      <c r="A178" s="29"/>
      <c r="B178" s="7" t="s">
        <v>14</v>
      </c>
      <c r="C178" s="8" t="s">
        <v>66</v>
      </c>
      <c r="D178" s="5">
        <f>D175</f>
        <v>69.600000000000009</v>
      </c>
      <c r="E178" s="5">
        <f>1/1.18</f>
        <v>0.84745762711864414</v>
      </c>
      <c r="F178" s="5">
        <f t="shared" si="49"/>
        <v>58.98305084745764</v>
      </c>
      <c r="G178" s="5"/>
      <c r="H178" s="5">
        <f t="shared" si="50"/>
        <v>0</v>
      </c>
      <c r="I178" s="5"/>
      <c r="J178" s="5"/>
      <c r="K178" s="5">
        <f t="shared" si="51"/>
        <v>58.98305084745764</v>
      </c>
      <c r="L178">
        <f>VLOOKUP($B178,[1]ბიუჯეტი!$B$59:$K$464,3,FALSE)</f>
        <v>0</v>
      </c>
      <c r="M178" s="53">
        <f t="shared" si="37"/>
        <v>69.600000000000009</v>
      </c>
      <c r="N178">
        <f>VLOOKUP($B178,[1]ბიუჯეტი!$B$59:$K$464,4,FALSE)</f>
        <v>0.84745762711864414</v>
      </c>
      <c r="O178" s="53">
        <f t="shared" si="38"/>
        <v>0</v>
      </c>
      <c r="P178">
        <f>VLOOKUP($B178,[1]ბიუჯეტი!$B$59:$K$464,6,FALSE)</f>
        <v>0</v>
      </c>
      <c r="Q178" s="53">
        <f t="shared" si="39"/>
        <v>0</v>
      </c>
      <c r="R178">
        <f>VLOOKUP($B178,[1]ბიუჯეტი!$B$59:$K$464,8,FALSE)</f>
        <v>0</v>
      </c>
      <c r="S178" s="53">
        <f t="shared" si="40"/>
        <v>0</v>
      </c>
      <c r="T178">
        <f>VLOOKUP($B178,[1]ბიუჯეტი!$B$59:$K$464,10,FALSE)</f>
        <v>0</v>
      </c>
      <c r="U178" s="53">
        <f t="shared" si="41"/>
        <v>58.98305084745764</v>
      </c>
    </row>
    <row r="179" spans="1:21" hidden="1" outlineLevel="1" x14ac:dyDescent="0.35">
      <c r="A179" s="29">
        <v>8</v>
      </c>
      <c r="B179" s="30" t="s">
        <v>67</v>
      </c>
      <c r="C179" s="8" t="s">
        <v>40</v>
      </c>
      <c r="D179" s="5">
        <v>0</v>
      </c>
      <c r="E179" s="5"/>
      <c r="F179" s="5">
        <f t="shared" si="49"/>
        <v>0</v>
      </c>
      <c r="G179" s="5">
        <f>18*1.275</f>
        <v>22.95</v>
      </c>
      <c r="H179" s="5">
        <f t="shared" si="50"/>
        <v>0</v>
      </c>
      <c r="I179" s="5"/>
      <c r="J179" s="5"/>
      <c r="K179" s="5">
        <f t="shared" si="51"/>
        <v>0</v>
      </c>
      <c r="L179">
        <f>VLOOKUP($B179,[1]ბიუჯეტი!$B$59:$K$464,3,FALSE)</f>
        <v>0</v>
      </c>
      <c r="M179" s="53">
        <f t="shared" si="37"/>
        <v>0</v>
      </c>
      <c r="N179">
        <f>VLOOKUP($B179,[1]ბიუჯეტი!$B$59:$K$464,4,FALSE)</f>
        <v>0</v>
      </c>
      <c r="O179" s="53">
        <f t="shared" si="38"/>
        <v>0</v>
      </c>
      <c r="P179">
        <f>VLOOKUP($B179,[1]ბიუჯეტი!$B$59:$K$464,6,FALSE)</f>
        <v>19.125</v>
      </c>
      <c r="Q179" s="53">
        <f t="shared" si="39"/>
        <v>3.8249999999999993</v>
      </c>
      <c r="R179">
        <f>VLOOKUP($B179,[1]ბიუჯეტი!$B$59:$K$464,8,FALSE)</f>
        <v>0</v>
      </c>
      <c r="S179" s="53">
        <f t="shared" si="40"/>
        <v>0</v>
      </c>
      <c r="T179">
        <f>VLOOKUP($B179,[1]ბიუჯეტი!$B$59:$K$464,10,FALSE)</f>
        <v>0</v>
      </c>
      <c r="U179" s="53">
        <f t="shared" si="41"/>
        <v>0</v>
      </c>
    </row>
    <row r="180" spans="1:21" hidden="1" outlineLevel="1" x14ac:dyDescent="0.35">
      <c r="A180" s="29"/>
      <c r="B180" s="7" t="s">
        <v>64</v>
      </c>
      <c r="C180" s="8" t="s">
        <v>10</v>
      </c>
      <c r="D180" s="5">
        <f>D179*0.2*1.05</f>
        <v>0</v>
      </c>
      <c r="E180" s="5">
        <f>110/1.18</f>
        <v>93.220338983050851</v>
      </c>
      <c r="F180" s="5">
        <f t="shared" si="49"/>
        <v>0</v>
      </c>
      <c r="G180" s="5"/>
      <c r="H180" s="5">
        <f t="shared" si="50"/>
        <v>0</v>
      </c>
      <c r="I180" s="5"/>
      <c r="J180" s="5"/>
      <c r="K180" s="5">
        <f t="shared" si="51"/>
        <v>0</v>
      </c>
      <c r="L180">
        <f>VLOOKUP($B180,[1]ბიუჯეტი!$B$59:$K$464,3,FALSE)</f>
        <v>0</v>
      </c>
      <c r="M180" s="53">
        <f t="shared" si="37"/>
        <v>0</v>
      </c>
      <c r="N180">
        <f>VLOOKUP($B180,[1]ბიუჯეტი!$B$59:$K$464,4,FALSE)</f>
        <v>93.220338983050851</v>
      </c>
      <c r="O180" s="53">
        <f t="shared" si="38"/>
        <v>0</v>
      </c>
      <c r="P180">
        <f>VLOOKUP($B180,[1]ბიუჯეტი!$B$59:$K$464,6,FALSE)</f>
        <v>0</v>
      </c>
      <c r="Q180" s="53">
        <f t="shared" si="39"/>
        <v>0</v>
      </c>
      <c r="R180">
        <f>VLOOKUP($B180,[1]ბიუჯეტი!$B$59:$K$464,8,FALSE)</f>
        <v>0</v>
      </c>
      <c r="S180" s="53">
        <f t="shared" si="40"/>
        <v>0</v>
      </c>
      <c r="T180">
        <f>VLOOKUP($B180,[1]ბიუჯეტი!$B$59:$K$464,10,FALSE)</f>
        <v>0</v>
      </c>
      <c r="U180" s="53">
        <f t="shared" si="41"/>
        <v>0</v>
      </c>
    </row>
    <row r="181" spans="1:21" hidden="1" outlineLevel="1" x14ac:dyDescent="0.35">
      <c r="A181" s="29"/>
      <c r="B181" s="7" t="s">
        <v>65</v>
      </c>
      <c r="C181" s="8" t="s">
        <v>49</v>
      </c>
      <c r="D181" s="5">
        <f>D180*3/25*1.05</f>
        <v>0</v>
      </c>
      <c r="E181" s="5">
        <f>15/1.18</f>
        <v>12.711864406779661</v>
      </c>
      <c r="F181" s="5">
        <f t="shared" si="49"/>
        <v>0</v>
      </c>
      <c r="G181" s="5"/>
      <c r="H181" s="5">
        <f t="shared" si="50"/>
        <v>0</v>
      </c>
      <c r="I181" s="5"/>
      <c r="J181" s="5"/>
      <c r="K181" s="5">
        <f t="shared" si="51"/>
        <v>0</v>
      </c>
      <c r="L181">
        <f>VLOOKUP($B181,[1]ბიუჯეტი!$B$59:$K$464,3,FALSE)</f>
        <v>45</v>
      </c>
      <c r="M181" s="53">
        <f t="shared" si="37"/>
        <v>-45</v>
      </c>
      <c r="N181">
        <f>VLOOKUP($B181,[1]ბიუჯეტი!$B$59:$K$464,4,FALSE)</f>
        <v>29.661016949152543</v>
      </c>
      <c r="O181" s="53">
        <f t="shared" si="38"/>
        <v>-16.949152542372882</v>
      </c>
      <c r="P181">
        <f>VLOOKUP($B181,[1]ბიუჯეტი!$B$59:$K$464,6,FALSE)</f>
        <v>0</v>
      </c>
      <c r="Q181" s="53">
        <f t="shared" si="39"/>
        <v>0</v>
      </c>
      <c r="R181">
        <f>VLOOKUP($B181,[1]ბიუჯეტი!$B$59:$K$464,8,FALSE)</f>
        <v>0</v>
      </c>
      <c r="S181" s="53">
        <f t="shared" si="40"/>
        <v>0</v>
      </c>
      <c r="T181">
        <f>VLOOKUP($B181,[1]ბიუჯეტი!$B$59:$K$464,10,FALSE)</f>
        <v>1334.7457627118645</v>
      </c>
      <c r="U181" s="53">
        <f t="shared" si="41"/>
        <v>-1334.7457627118645</v>
      </c>
    </row>
    <row r="182" spans="1:21" hidden="1" outlineLevel="1" x14ac:dyDescent="0.35">
      <c r="A182" s="29"/>
      <c r="B182" s="7" t="s">
        <v>14</v>
      </c>
      <c r="C182" s="8" t="s">
        <v>66</v>
      </c>
      <c r="D182" s="5">
        <f>D179</f>
        <v>0</v>
      </c>
      <c r="E182" s="5">
        <f>1/1.18</f>
        <v>0.84745762711864414</v>
      </c>
      <c r="F182" s="5">
        <f t="shared" si="49"/>
        <v>0</v>
      </c>
      <c r="G182" s="5"/>
      <c r="H182" s="5">
        <f t="shared" si="50"/>
        <v>0</v>
      </c>
      <c r="I182" s="5"/>
      <c r="J182" s="5"/>
      <c r="K182" s="5">
        <f t="shared" si="51"/>
        <v>0</v>
      </c>
      <c r="L182">
        <f>VLOOKUP($B182,[1]ბიუჯეტი!$B$59:$K$464,3,FALSE)</f>
        <v>0</v>
      </c>
      <c r="M182" s="53">
        <f t="shared" si="37"/>
        <v>0</v>
      </c>
      <c r="N182">
        <f>VLOOKUP($B182,[1]ბიუჯეტი!$B$59:$K$464,4,FALSE)</f>
        <v>0.84745762711864414</v>
      </c>
      <c r="O182" s="53">
        <f t="shared" si="38"/>
        <v>0</v>
      </c>
      <c r="P182">
        <f>VLOOKUP($B182,[1]ბიუჯეტი!$B$59:$K$464,6,FALSE)</f>
        <v>0</v>
      </c>
      <c r="Q182" s="53">
        <f t="shared" si="39"/>
        <v>0</v>
      </c>
      <c r="R182">
        <f>VLOOKUP($B182,[1]ბიუჯეტი!$B$59:$K$464,8,FALSE)</f>
        <v>0</v>
      </c>
      <c r="S182" s="53">
        <f t="shared" si="40"/>
        <v>0</v>
      </c>
      <c r="T182">
        <f>VLOOKUP($B182,[1]ბიუჯეტი!$B$59:$K$464,10,FALSE)</f>
        <v>0</v>
      </c>
      <c r="U182" s="53">
        <f t="shared" si="41"/>
        <v>0</v>
      </c>
    </row>
    <row r="183" spans="1:21" collapsed="1" x14ac:dyDescent="0.35">
      <c r="A183" s="29">
        <v>12</v>
      </c>
      <c r="B183" s="30" t="s">
        <v>68</v>
      </c>
      <c r="C183" s="8" t="s">
        <v>40</v>
      </c>
      <c r="D183" s="5">
        <f>SUM(D184,D187,D190)</f>
        <v>537.6</v>
      </c>
      <c r="E183" s="5">
        <f>SUM(K185:K186,K188:K189,K191:K192)/D183</f>
        <v>0.65479290254237288</v>
      </c>
      <c r="F183" s="5">
        <f t="shared" si="49"/>
        <v>352.01666440677968</v>
      </c>
      <c r="G183" s="5">
        <f>SUM(H184:H193)/D183</f>
        <v>6.375</v>
      </c>
      <c r="H183" s="5">
        <f>G183*D183</f>
        <v>3427.2000000000003</v>
      </c>
      <c r="I183" s="5">
        <v>0</v>
      </c>
      <c r="J183" s="5">
        <v>0</v>
      </c>
      <c r="K183" s="5">
        <f t="shared" si="51"/>
        <v>3779.2166644067802</v>
      </c>
      <c r="L183">
        <f>VLOOKUP($B183,[1]ბიუჯეტი!$B$59:$K$464,3,FALSE)</f>
        <v>602</v>
      </c>
      <c r="M183" s="53">
        <f t="shared" si="37"/>
        <v>-64.399999999999977</v>
      </c>
      <c r="N183">
        <f>VLOOKUP($B183,[1]ბიუჯეტი!$B$59:$K$464,4,FALSE)</f>
        <v>0.6547929025423731</v>
      </c>
      <c r="O183" s="53">
        <f t="shared" si="38"/>
        <v>0</v>
      </c>
      <c r="P183">
        <f>VLOOKUP($B183,[1]ბიუჯეტი!$B$59:$K$464,6,FALSE)</f>
        <v>6.3750000000000009</v>
      </c>
      <c r="Q183" s="53">
        <f t="shared" si="39"/>
        <v>0</v>
      </c>
      <c r="R183">
        <f>VLOOKUP($B183,[1]ბიუჯეტი!$B$59:$K$464,8,FALSE)</f>
        <v>0</v>
      </c>
      <c r="S183" s="53">
        <f t="shared" si="40"/>
        <v>0</v>
      </c>
      <c r="T183">
        <f>VLOOKUP($B183,[1]ბიუჯეტი!$B$59:$K$464,10,FALSE)</f>
        <v>4231.9353273305087</v>
      </c>
      <c r="U183" s="53">
        <f t="shared" si="41"/>
        <v>-452.71866292372852</v>
      </c>
    </row>
    <row r="184" spans="1:21" hidden="1" outlineLevel="1" x14ac:dyDescent="0.35">
      <c r="A184" s="29">
        <v>1</v>
      </c>
      <c r="B184" s="30" t="s">
        <v>182</v>
      </c>
      <c r="C184" s="8" t="s">
        <v>40</v>
      </c>
      <c r="D184" s="5">
        <v>0</v>
      </c>
      <c r="E184" s="5"/>
      <c r="F184" s="5">
        <f t="shared" si="49"/>
        <v>0</v>
      </c>
      <c r="G184" s="5">
        <f>5*1.275</f>
        <v>6.375</v>
      </c>
      <c r="H184" s="5">
        <f>G184*D184</f>
        <v>0</v>
      </c>
      <c r="I184" s="5"/>
      <c r="J184" s="5"/>
      <c r="K184" s="5">
        <f t="shared" si="51"/>
        <v>0</v>
      </c>
      <c r="L184">
        <f>VLOOKUP($B184,[1]ბიუჯეტი!$B$59:$K$464,3,FALSE)</f>
        <v>0</v>
      </c>
      <c r="M184" s="53">
        <f t="shared" si="37"/>
        <v>0</v>
      </c>
      <c r="N184">
        <f>VLOOKUP($B184,[1]ბიუჯეტი!$B$59:$K$464,4,FALSE)</f>
        <v>0</v>
      </c>
      <c r="O184" s="53">
        <f t="shared" si="38"/>
        <v>0</v>
      </c>
      <c r="P184">
        <f>VLOOKUP($B184,[1]ბიუჯეტი!$B$59:$K$464,6,FALSE)</f>
        <v>6.375</v>
      </c>
      <c r="Q184" s="53">
        <f t="shared" si="39"/>
        <v>0</v>
      </c>
      <c r="R184">
        <f>VLOOKUP($B184,[1]ბიუჯეტი!$B$59:$K$464,8,FALSE)</f>
        <v>0</v>
      </c>
      <c r="S184" s="53">
        <f t="shared" si="40"/>
        <v>0</v>
      </c>
      <c r="T184">
        <f>VLOOKUP($B184,[1]ბიუჯეტი!$B$59:$K$464,10,FALSE)</f>
        <v>0</v>
      </c>
      <c r="U184" s="53">
        <f t="shared" si="41"/>
        <v>0</v>
      </c>
    </row>
    <row r="185" spans="1:21" hidden="1" outlineLevel="1" x14ac:dyDescent="0.35">
      <c r="A185" s="29"/>
      <c r="B185" s="7" t="s">
        <v>50</v>
      </c>
      <c r="C185" s="8" t="s">
        <v>9</v>
      </c>
      <c r="D185" s="5">
        <f>0.03*D184*0.15*1.05</f>
        <v>0</v>
      </c>
      <c r="E185" s="5">
        <f>65/1.18</f>
        <v>55.084745762711869</v>
      </c>
      <c r="F185" s="5">
        <f t="shared" si="49"/>
        <v>0</v>
      </c>
      <c r="G185" s="5"/>
      <c r="H185" s="5">
        <f>D185*G185</f>
        <v>0</v>
      </c>
      <c r="I185" s="5"/>
      <c r="J185" s="5"/>
      <c r="K185" s="5">
        <f t="shared" si="51"/>
        <v>0</v>
      </c>
      <c r="L185">
        <f>VLOOKUP($B185,[1]ბიუჯეტი!$B$59:$K$464,3,FALSE)</f>
        <v>0</v>
      </c>
      <c r="M185" s="53">
        <f t="shared" si="37"/>
        <v>0</v>
      </c>
      <c r="N185">
        <f>VLOOKUP($B185,[1]ბიუჯეტი!$B$59:$K$464,4,FALSE)</f>
        <v>55.084745762711869</v>
      </c>
      <c r="O185" s="53">
        <f t="shared" si="38"/>
        <v>0</v>
      </c>
      <c r="P185">
        <f>VLOOKUP($B185,[1]ბიუჯეტი!$B$59:$K$464,6,FALSE)</f>
        <v>0</v>
      </c>
      <c r="Q185" s="53">
        <f t="shared" si="39"/>
        <v>0</v>
      </c>
      <c r="R185">
        <f>VLOOKUP($B185,[1]ბიუჯეტი!$B$59:$K$464,8,FALSE)</f>
        <v>0</v>
      </c>
      <c r="S185" s="53">
        <f t="shared" si="40"/>
        <v>0</v>
      </c>
      <c r="T185">
        <f>VLOOKUP($B185,[1]ბიუჯეტი!$B$59:$K$464,10,FALSE)</f>
        <v>0</v>
      </c>
      <c r="U185" s="53">
        <f t="shared" si="41"/>
        <v>0</v>
      </c>
    </row>
    <row r="186" spans="1:21" hidden="1" outlineLevel="1" x14ac:dyDescent="0.35">
      <c r="A186" s="29"/>
      <c r="B186" s="7" t="s">
        <v>51</v>
      </c>
      <c r="C186" s="8" t="s">
        <v>12</v>
      </c>
      <c r="D186" s="5">
        <f>D185/3*1.05</f>
        <v>0</v>
      </c>
      <c r="E186" s="5">
        <f>281.5/1.18</f>
        <v>238.55932203389833</v>
      </c>
      <c r="F186" s="5">
        <f t="shared" si="49"/>
        <v>0</v>
      </c>
      <c r="G186" s="5"/>
      <c r="H186" s="5">
        <f>D186*G186</f>
        <v>0</v>
      </c>
      <c r="I186" s="5"/>
      <c r="J186" s="5"/>
      <c r="K186" s="5">
        <f t="shared" si="51"/>
        <v>0</v>
      </c>
      <c r="L186">
        <f>VLOOKUP($B186,[1]ბიუჯეტი!$B$59:$K$464,3,FALSE)</f>
        <v>0</v>
      </c>
      <c r="M186" s="53">
        <f t="shared" si="37"/>
        <v>0</v>
      </c>
      <c r="N186">
        <f>VLOOKUP($B186,[1]ბიუჯეტი!$B$59:$K$464,4,FALSE)</f>
        <v>238.55932203389833</v>
      </c>
      <c r="O186" s="53">
        <f t="shared" si="38"/>
        <v>0</v>
      </c>
      <c r="P186">
        <f>VLOOKUP($B186,[1]ბიუჯეტი!$B$59:$K$464,6,FALSE)</f>
        <v>0</v>
      </c>
      <c r="Q186" s="53">
        <f t="shared" si="39"/>
        <v>0</v>
      </c>
      <c r="R186">
        <f>VLOOKUP($B186,[1]ბიუჯეტი!$B$59:$K$464,8,FALSE)</f>
        <v>0</v>
      </c>
      <c r="S186" s="53">
        <f t="shared" si="40"/>
        <v>0</v>
      </c>
      <c r="T186">
        <f>VLOOKUP($B186,[1]ბიუჯეტი!$B$59:$K$464,10,FALSE)</f>
        <v>0</v>
      </c>
      <c r="U186" s="53">
        <f t="shared" si="41"/>
        <v>0</v>
      </c>
    </row>
    <row r="187" spans="1:21" hidden="1" outlineLevel="1" x14ac:dyDescent="0.35">
      <c r="A187" s="29">
        <v>2</v>
      </c>
      <c r="B187" s="30" t="s">
        <v>69</v>
      </c>
      <c r="C187" s="8" t="s">
        <v>40</v>
      </c>
      <c r="D187" s="5">
        <f>2.6*48+1.6*6</f>
        <v>134.4</v>
      </c>
      <c r="E187" s="5"/>
      <c r="F187" s="5">
        <f t="shared" si="49"/>
        <v>0</v>
      </c>
      <c r="G187" s="5">
        <f>5*1.275</f>
        <v>6.375</v>
      </c>
      <c r="H187" s="5">
        <f>G187*D187</f>
        <v>856.80000000000007</v>
      </c>
      <c r="I187" s="5"/>
      <c r="J187" s="5"/>
      <c r="K187" s="5">
        <f t="shared" si="51"/>
        <v>856.80000000000007</v>
      </c>
      <c r="L187">
        <f>VLOOKUP($B187,[1]ბიუჯეტი!$B$59:$K$464,3,FALSE)</f>
        <v>124.4</v>
      </c>
      <c r="M187" s="53">
        <f t="shared" si="37"/>
        <v>10</v>
      </c>
      <c r="N187">
        <f>VLOOKUP($B187,[1]ბიუჯეტი!$B$59:$K$464,4,FALSE)</f>
        <v>0</v>
      </c>
      <c r="O187" s="53">
        <f t="shared" si="38"/>
        <v>0</v>
      </c>
      <c r="P187">
        <f>VLOOKUP($B187,[1]ბიუჯეტი!$B$59:$K$464,6,FALSE)</f>
        <v>6.375</v>
      </c>
      <c r="Q187" s="53">
        <f t="shared" si="39"/>
        <v>0</v>
      </c>
      <c r="R187">
        <f>VLOOKUP($B187,[1]ბიუჯეტი!$B$59:$K$464,8,FALSE)</f>
        <v>0</v>
      </c>
      <c r="S187" s="53">
        <f t="shared" si="40"/>
        <v>0</v>
      </c>
      <c r="T187">
        <f>VLOOKUP($B187,[1]ბიუჯეტი!$B$59:$K$464,10,FALSE)</f>
        <v>793.05000000000007</v>
      </c>
      <c r="U187" s="53">
        <f t="shared" si="41"/>
        <v>63.75</v>
      </c>
    </row>
    <row r="188" spans="1:21" hidden="1" outlineLevel="1" x14ac:dyDescent="0.35">
      <c r="A188" s="29"/>
      <c r="B188" s="7" t="s">
        <v>50</v>
      </c>
      <c r="C188" s="8" t="s">
        <v>9</v>
      </c>
      <c r="D188" s="5">
        <f>0.03*D187*0.15*1.05</f>
        <v>0.63504000000000005</v>
      </c>
      <c r="E188" s="5">
        <f>65/1.18</f>
        <v>55.084745762711869</v>
      </c>
      <c r="F188" s="5">
        <f t="shared" si="49"/>
        <v>34.981016949152547</v>
      </c>
      <c r="G188" s="5"/>
      <c r="H188" s="5">
        <f>D188*G188</f>
        <v>0</v>
      </c>
      <c r="I188" s="5"/>
      <c r="J188" s="5"/>
      <c r="K188" s="5">
        <f t="shared" si="51"/>
        <v>34.981016949152547</v>
      </c>
      <c r="L188">
        <f>VLOOKUP($B188,[1]ბიუჯეტი!$B$59:$K$464,3,FALSE)</f>
        <v>0</v>
      </c>
      <c r="M188" s="53">
        <f t="shared" si="37"/>
        <v>0.63504000000000005</v>
      </c>
      <c r="N188">
        <f>VLOOKUP($B188,[1]ბიუჯეტი!$B$59:$K$464,4,FALSE)</f>
        <v>55.084745762711869</v>
      </c>
      <c r="O188" s="53">
        <f t="shared" si="38"/>
        <v>0</v>
      </c>
      <c r="P188">
        <f>VLOOKUP($B188,[1]ბიუჯეტი!$B$59:$K$464,6,FALSE)</f>
        <v>0</v>
      </c>
      <c r="Q188" s="53">
        <f t="shared" si="39"/>
        <v>0</v>
      </c>
      <c r="R188">
        <f>VLOOKUP($B188,[1]ბიუჯეტი!$B$59:$K$464,8,FALSE)</f>
        <v>0</v>
      </c>
      <c r="S188" s="53">
        <f t="shared" si="40"/>
        <v>0</v>
      </c>
      <c r="T188">
        <f>VLOOKUP($B188,[1]ბიუჯეტი!$B$59:$K$464,10,FALSE)</f>
        <v>0</v>
      </c>
      <c r="U188" s="53">
        <f t="shared" si="41"/>
        <v>34.981016949152547</v>
      </c>
    </row>
    <row r="189" spans="1:21" hidden="1" outlineLevel="1" x14ac:dyDescent="0.35">
      <c r="A189" s="29"/>
      <c r="B189" s="7" t="s">
        <v>51</v>
      </c>
      <c r="C189" s="8" t="s">
        <v>12</v>
      </c>
      <c r="D189" s="5">
        <f>D188/3*1.05</f>
        <v>0.22226400000000002</v>
      </c>
      <c r="E189" s="5">
        <f>281.5/1.18</f>
        <v>238.55932203389833</v>
      </c>
      <c r="F189" s="5">
        <f t="shared" si="49"/>
        <v>53.023149152542381</v>
      </c>
      <c r="G189" s="5"/>
      <c r="H189" s="5">
        <f>D189*G189</f>
        <v>0</v>
      </c>
      <c r="I189" s="5"/>
      <c r="J189" s="5"/>
      <c r="K189" s="5">
        <f t="shared" si="51"/>
        <v>53.023149152542381</v>
      </c>
      <c r="L189">
        <f>VLOOKUP($B189,[1]ბიუჯეტი!$B$59:$K$464,3,FALSE)</f>
        <v>0</v>
      </c>
      <c r="M189" s="53">
        <f t="shared" ref="M189:M252" si="52">D189-L189</f>
        <v>0.22226400000000002</v>
      </c>
      <c r="N189">
        <f>VLOOKUP($B189,[1]ბიუჯეტი!$B$59:$K$464,4,FALSE)</f>
        <v>238.55932203389833</v>
      </c>
      <c r="O189" s="53">
        <f t="shared" ref="O189:O252" si="53">E189-N189</f>
        <v>0</v>
      </c>
      <c r="P189">
        <f>VLOOKUP($B189,[1]ბიუჯეტი!$B$59:$K$464,6,FALSE)</f>
        <v>0</v>
      </c>
      <c r="Q189" s="53">
        <f t="shared" ref="Q189:Q252" si="54">G189-P189</f>
        <v>0</v>
      </c>
      <c r="R189">
        <f>VLOOKUP($B189,[1]ბიუჯეტი!$B$59:$K$464,8,FALSE)</f>
        <v>0</v>
      </c>
      <c r="S189" s="53">
        <f t="shared" ref="S189:S252" si="55">I189-R189</f>
        <v>0</v>
      </c>
      <c r="T189">
        <f>VLOOKUP($B189,[1]ბიუჯეტი!$B$59:$K$464,10,FALSE)</f>
        <v>0</v>
      </c>
      <c r="U189" s="53">
        <f t="shared" ref="U189:U252" si="56">K189-T189</f>
        <v>53.023149152542381</v>
      </c>
    </row>
    <row r="190" spans="1:21" hidden="1" outlineLevel="1" x14ac:dyDescent="0.35">
      <c r="A190" s="29">
        <v>3</v>
      </c>
      <c r="B190" s="30" t="s">
        <v>183</v>
      </c>
      <c r="C190" s="8" t="s">
        <v>40</v>
      </c>
      <c r="D190" s="5">
        <f>(2.6*48+1.6*6)*3</f>
        <v>403.20000000000005</v>
      </c>
      <c r="E190" s="5"/>
      <c r="F190" s="5">
        <f t="shared" si="49"/>
        <v>0</v>
      </c>
      <c r="G190" s="5">
        <f>5*1.275</f>
        <v>6.375</v>
      </c>
      <c r="H190" s="5">
        <f>G190*D190</f>
        <v>2570.4</v>
      </c>
      <c r="I190" s="5"/>
      <c r="J190" s="5"/>
      <c r="K190" s="5">
        <f t="shared" si="51"/>
        <v>2570.4</v>
      </c>
      <c r="L190">
        <f>VLOOKUP($B190,[1]ბიუჯეტი!$B$59:$K$464,3,FALSE)</f>
        <v>477.6</v>
      </c>
      <c r="M190" s="53">
        <f t="shared" si="52"/>
        <v>-74.399999999999977</v>
      </c>
      <c r="N190">
        <f>VLOOKUP($B190,[1]ბიუჯეტი!$B$59:$K$464,4,FALSE)</f>
        <v>0</v>
      </c>
      <c r="O190" s="53">
        <f t="shared" si="53"/>
        <v>0</v>
      </c>
      <c r="P190">
        <f>VLOOKUP($B190,[1]ბიუჯეტი!$B$59:$K$464,6,FALSE)</f>
        <v>6.375</v>
      </c>
      <c r="Q190" s="53">
        <f t="shared" si="54"/>
        <v>0</v>
      </c>
      <c r="R190">
        <f>VLOOKUP($B190,[1]ბიუჯეტი!$B$59:$K$464,8,FALSE)</f>
        <v>0</v>
      </c>
      <c r="S190" s="53">
        <f t="shared" si="55"/>
        <v>0</v>
      </c>
      <c r="T190">
        <f>VLOOKUP($B190,[1]ბიუჯეტი!$B$59:$K$464,10,FALSE)</f>
        <v>3044.7000000000003</v>
      </c>
      <c r="U190" s="53">
        <f t="shared" si="56"/>
        <v>-474.30000000000018</v>
      </c>
    </row>
    <row r="191" spans="1:21" hidden="1" outlineLevel="1" x14ac:dyDescent="0.35">
      <c r="A191" s="29"/>
      <c r="B191" s="7" t="s">
        <v>50</v>
      </c>
      <c r="C191" s="8" t="s">
        <v>9</v>
      </c>
      <c r="D191" s="5">
        <f>0.03*D190*0.15*1.05</f>
        <v>1.9051200000000001</v>
      </c>
      <c r="E191" s="5">
        <f>65/1.18</f>
        <v>55.084745762711869</v>
      </c>
      <c r="F191" s="5">
        <f t="shared" si="49"/>
        <v>104.94305084745764</v>
      </c>
      <c r="G191" s="5"/>
      <c r="H191" s="5">
        <f>D191*G191</f>
        <v>0</v>
      </c>
      <c r="I191" s="5"/>
      <c r="J191" s="5"/>
      <c r="K191" s="5">
        <f t="shared" si="51"/>
        <v>104.94305084745764</v>
      </c>
      <c r="L191">
        <f>VLOOKUP($B191,[1]ბიუჯეტი!$B$59:$K$464,3,FALSE)</f>
        <v>0</v>
      </c>
      <c r="M191" s="53">
        <f t="shared" si="52"/>
        <v>1.9051200000000001</v>
      </c>
      <c r="N191">
        <f>VLOOKUP($B191,[1]ბიუჯეტი!$B$59:$K$464,4,FALSE)</f>
        <v>55.084745762711869</v>
      </c>
      <c r="O191" s="53">
        <f t="shared" si="53"/>
        <v>0</v>
      </c>
      <c r="P191">
        <f>VLOOKUP($B191,[1]ბიუჯეტი!$B$59:$K$464,6,FALSE)</f>
        <v>0</v>
      </c>
      <c r="Q191" s="53">
        <f t="shared" si="54"/>
        <v>0</v>
      </c>
      <c r="R191">
        <f>VLOOKUP($B191,[1]ბიუჯეტი!$B$59:$K$464,8,FALSE)</f>
        <v>0</v>
      </c>
      <c r="S191" s="53">
        <f t="shared" si="55"/>
        <v>0</v>
      </c>
      <c r="T191">
        <f>VLOOKUP($B191,[1]ბიუჯეტი!$B$59:$K$464,10,FALSE)</f>
        <v>0</v>
      </c>
      <c r="U191" s="53">
        <f t="shared" si="56"/>
        <v>104.94305084745764</v>
      </c>
    </row>
    <row r="192" spans="1:21" hidden="1" outlineLevel="1" x14ac:dyDescent="0.35">
      <c r="A192" s="29"/>
      <c r="B192" s="7" t="s">
        <v>51</v>
      </c>
      <c r="C192" s="8" t="s">
        <v>12</v>
      </c>
      <c r="D192" s="5">
        <f>D191/3*1.05</f>
        <v>0.66679200000000005</v>
      </c>
      <c r="E192" s="5">
        <f>281.5/1.18</f>
        <v>238.55932203389833</v>
      </c>
      <c r="F192" s="5">
        <f t="shared" si="49"/>
        <v>159.06944745762715</v>
      </c>
      <c r="G192" s="5"/>
      <c r="H192" s="5">
        <f>D192*G192</f>
        <v>0</v>
      </c>
      <c r="I192" s="5"/>
      <c r="J192" s="5"/>
      <c r="K192" s="5">
        <f t="shared" si="51"/>
        <v>159.06944745762715</v>
      </c>
      <c r="L192">
        <f>VLOOKUP($B192,[1]ბიუჯეტი!$B$59:$K$464,3,FALSE)</f>
        <v>0</v>
      </c>
      <c r="M192" s="53">
        <f t="shared" si="52"/>
        <v>0.66679200000000005</v>
      </c>
      <c r="N192">
        <f>VLOOKUP($B192,[1]ბიუჯეტი!$B$59:$K$464,4,FALSE)</f>
        <v>238.55932203389833</v>
      </c>
      <c r="O192" s="53">
        <f t="shared" si="53"/>
        <v>0</v>
      </c>
      <c r="P192">
        <f>VLOOKUP($B192,[1]ბიუჯეტი!$B$59:$K$464,6,FALSE)</f>
        <v>0</v>
      </c>
      <c r="Q192" s="53">
        <f t="shared" si="54"/>
        <v>0</v>
      </c>
      <c r="R192">
        <f>VLOOKUP($B192,[1]ბიუჯეტი!$B$59:$K$464,8,FALSE)</f>
        <v>0</v>
      </c>
      <c r="S192" s="53">
        <f t="shared" si="55"/>
        <v>0</v>
      </c>
      <c r="T192">
        <f>VLOOKUP($B192,[1]ბიუჯეტი!$B$59:$K$464,10,FALSE)</f>
        <v>0</v>
      </c>
      <c r="U192" s="53">
        <f t="shared" si="56"/>
        <v>159.06944745762715</v>
      </c>
    </row>
    <row r="193" spans="1:21" collapsed="1" x14ac:dyDescent="0.35">
      <c r="A193" s="29">
        <v>13</v>
      </c>
      <c r="B193" s="30" t="s">
        <v>70</v>
      </c>
      <c r="C193" s="8" t="s">
        <v>40</v>
      </c>
      <c r="D193" s="5">
        <f>SUM(D194:D196)</f>
        <v>238.60000000000002</v>
      </c>
      <c r="E193" s="5">
        <v>0</v>
      </c>
      <c r="F193" s="5">
        <f t="shared" si="49"/>
        <v>0</v>
      </c>
      <c r="G193" s="5">
        <v>0</v>
      </c>
      <c r="H193" s="5">
        <f>G193*D193</f>
        <v>0</v>
      </c>
      <c r="I193" s="5">
        <f>18/1.18</f>
        <v>15.254237288135593</v>
      </c>
      <c r="J193" s="5">
        <f>I193*D193</f>
        <v>3639.6610169491528</v>
      </c>
      <c r="K193" s="5">
        <f>F193+H193+J193</f>
        <v>3639.6610169491528</v>
      </c>
      <c r="L193">
        <f>VLOOKUP($B193,[1]ბიუჯეტი!$B$59:$K$464,3,FALSE)</f>
        <v>298.8</v>
      </c>
      <c r="M193" s="53">
        <f t="shared" si="52"/>
        <v>-60.199999999999989</v>
      </c>
      <c r="N193">
        <f>VLOOKUP($B193,[1]ბიუჯეტი!$B$59:$K$464,4,FALSE)</f>
        <v>0</v>
      </c>
      <c r="O193" s="53">
        <f t="shared" si="53"/>
        <v>0</v>
      </c>
      <c r="P193">
        <f>VLOOKUP($B193,[1]ბიუჯეტი!$B$59:$K$464,6,FALSE)</f>
        <v>0</v>
      </c>
      <c r="Q193" s="53">
        <f t="shared" si="54"/>
        <v>0</v>
      </c>
      <c r="R193">
        <f>VLOOKUP($B193,[1]ბიუჯეტი!$B$59:$K$464,8,FALSE)</f>
        <v>15.254237288135593</v>
      </c>
      <c r="S193" s="53">
        <f t="shared" si="55"/>
        <v>0</v>
      </c>
      <c r="T193">
        <f>VLOOKUP($B193,[1]ბიუჯეტი!$B$59:$K$464,10,FALSE)</f>
        <v>4557.9661016949158</v>
      </c>
      <c r="U193" s="53">
        <f t="shared" si="56"/>
        <v>-918.305084745763</v>
      </c>
    </row>
    <row r="194" spans="1:21" hidden="1" outlineLevel="1" x14ac:dyDescent="0.35">
      <c r="A194" s="29">
        <v>1</v>
      </c>
      <c r="B194" s="30" t="s">
        <v>71</v>
      </c>
      <c r="C194" s="8" t="s">
        <v>40</v>
      </c>
      <c r="D194" s="5">
        <f>3+5+3.8+3.8+4+4+3.8+3.8+5+3</f>
        <v>39.200000000000003</v>
      </c>
      <c r="E194" s="5"/>
      <c r="F194" s="5">
        <f t="shared" si="49"/>
        <v>0</v>
      </c>
      <c r="G194" s="5"/>
      <c r="H194" s="5"/>
      <c r="I194" s="5">
        <f>18/1.18</f>
        <v>15.254237288135593</v>
      </c>
      <c r="J194" s="5">
        <f>I194*D194</f>
        <v>597.96610169491532</v>
      </c>
      <c r="K194" s="5">
        <f>F194+H194+J194</f>
        <v>597.96610169491532</v>
      </c>
      <c r="L194">
        <f>VLOOKUP($B194,[1]ბიუჯეტი!$B$59:$K$464,3,FALSE)</f>
        <v>64.8</v>
      </c>
      <c r="M194" s="53">
        <f t="shared" si="52"/>
        <v>-25.599999999999994</v>
      </c>
      <c r="N194">
        <f>VLOOKUP($B194,[1]ბიუჯეტი!$B$59:$K$464,4,FALSE)</f>
        <v>0</v>
      </c>
      <c r="O194" s="53">
        <f t="shared" si="53"/>
        <v>0</v>
      </c>
      <c r="P194">
        <f>VLOOKUP($B194,[1]ბიუჯეტი!$B$59:$K$464,6,FALSE)</f>
        <v>0</v>
      </c>
      <c r="Q194" s="53">
        <f t="shared" si="54"/>
        <v>0</v>
      </c>
      <c r="R194">
        <f>VLOOKUP($B194,[1]ბიუჯეტი!$B$59:$K$464,8,FALSE)</f>
        <v>15.254237288135593</v>
      </c>
      <c r="S194" s="53">
        <f t="shared" si="55"/>
        <v>0</v>
      </c>
      <c r="T194">
        <f>VLOOKUP($B194,[1]ბიუჯეტი!$B$59:$K$464,10,FALSE)</f>
        <v>988.47457627118638</v>
      </c>
      <c r="U194" s="53">
        <f t="shared" si="56"/>
        <v>-390.50847457627106</v>
      </c>
    </row>
    <row r="195" spans="1:21" hidden="1" outlineLevel="1" x14ac:dyDescent="0.35">
      <c r="A195" s="29">
        <v>2</v>
      </c>
      <c r="B195" s="30" t="s">
        <v>292</v>
      </c>
      <c r="C195" s="8" t="s">
        <v>40</v>
      </c>
      <c r="D195" s="5">
        <f>2.3*22+8+1.5*8</f>
        <v>70.599999999999994</v>
      </c>
      <c r="E195" s="5"/>
      <c r="F195" s="5">
        <f t="shared" si="49"/>
        <v>0</v>
      </c>
      <c r="G195" s="5"/>
      <c r="H195" s="5"/>
      <c r="I195" s="5">
        <f>18/1.18</f>
        <v>15.254237288135593</v>
      </c>
      <c r="J195" s="5">
        <f>I195*D195</f>
        <v>1076.9491525423728</v>
      </c>
      <c r="K195" s="5">
        <f>F195+H195+J195</f>
        <v>1076.9491525423728</v>
      </c>
      <c r="L195" t="e">
        <f>VLOOKUP($B195,[1]ბიუჯეტი!$B$59:$K$464,3,FALSE)</f>
        <v>#N/A</v>
      </c>
      <c r="M195" s="53" t="e">
        <f t="shared" si="52"/>
        <v>#N/A</v>
      </c>
      <c r="N195" t="e">
        <f>VLOOKUP($B195,[1]ბიუჯეტი!$B$59:$K$464,4,FALSE)</f>
        <v>#N/A</v>
      </c>
      <c r="O195" s="53" t="e">
        <f t="shared" si="53"/>
        <v>#N/A</v>
      </c>
      <c r="P195" t="e">
        <f>VLOOKUP($B195,[1]ბიუჯეტი!$B$59:$K$464,6,FALSE)</f>
        <v>#N/A</v>
      </c>
      <c r="Q195" s="53" t="e">
        <f t="shared" si="54"/>
        <v>#N/A</v>
      </c>
      <c r="R195" t="e">
        <f>VLOOKUP($B195,[1]ბიუჯეტი!$B$59:$K$464,8,FALSE)</f>
        <v>#N/A</v>
      </c>
      <c r="S195" s="53" t="e">
        <f t="shared" si="55"/>
        <v>#N/A</v>
      </c>
      <c r="T195" t="e">
        <f>VLOOKUP($B195,[1]ბიუჯეტი!$B$59:$K$464,10,FALSE)</f>
        <v>#N/A</v>
      </c>
      <c r="U195" s="53" t="e">
        <f t="shared" si="56"/>
        <v>#N/A</v>
      </c>
    </row>
    <row r="196" spans="1:21" hidden="1" outlineLevel="1" x14ac:dyDescent="0.35">
      <c r="A196" s="29">
        <v>3</v>
      </c>
      <c r="B196" s="30" t="s">
        <v>293</v>
      </c>
      <c r="C196" s="8" t="s">
        <v>40</v>
      </c>
      <c r="D196" s="5">
        <f>(2.3*18+8+1.5*10)*2</f>
        <v>128.80000000000001</v>
      </c>
      <c r="E196" s="5"/>
      <c r="F196" s="5">
        <f t="shared" si="49"/>
        <v>0</v>
      </c>
      <c r="G196" s="5"/>
      <c r="H196" s="5"/>
      <c r="I196" s="5">
        <f>18/1.18</f>
        <v>15.254237288135593</v>
      </c>
      <c r="J196" s="5">
        <f>I196*D196</f>
        <v>1964.7457627118647</v>
      </c>
      <c r="K196" s="5">
        <f>F196+H196+J196</f>
        <v>1964.7457627118647</v>
      </c>
      <c r="L196" t="e">
        <f>VLOOKUP($B196,[1]ბიუჯეტი!$B$59:$K$464,3,FALSE)</f>
        <v>#N/A</v>
      </c>
      <c r="M196" s="53" t="e">
        <f t="shared" si="52"/>
        <v>#N/A</v>
      </c>
      <c r="N196" t="e">
        <f>VLOOKUP($B196,[1]ბიუჯეტი!$B$59:$K$464,4,FALSE)</f>
        <v>#N/A</v>
      </c>
      <c r="O196" s="53" t="e">
        <f t="shared" si="53"/>
        <v>#N/A</v>
      </c>
      <c r="P196" t="e">
        <f>VLOOKUP($B196,[1]ბიუჯეტი!$B$59:$K$464,6,FALSE)</f>
        <v>#N/A</v>
      </c>
      <c r="Q196" s="53" t="e">
        <f t="shared" si="54"/>
        <v>#N/A</v>
      </c>
      <c r="R196" t="e">
        <f>VLOOKUP($B196,[1]ბიუჯეტი!$B$59:$K$464,8,FALSE)</f>
        <v>#N/A</v>
      </c>
      <c r="S196" s="53" t="e">
        <f t="shared" si="55"/>
        <v>#N/A</v>
      </c>
      <c r="T196" t="e">
        <f>VLOOKUP($B196,[1]ბიუჯეტი!$B$59:$K$464,10,FALSE)</f>
        <v>#N/A</v>
      </c>
      <c r="U196" s="53" t="e">
        <f t="shared" si="56"/>
        <v>#N/A</v>
      </c>
    </row>
    <row r="197" spans="1:21" collapsed="1" x14ac:dyDescent="0.35">
      <c r="A197" s="29">
        <v>14</v>
      </c>
      <c r="B197" s="30" t="s">
        <v>72</v>
      </c>
      <c r="C197" s="8" t="s">
        <v>10</v>
      </c>
      <c r="D197" s="5">
        <f>SUM(D198,D201,D204)</f>
        <v>708.26</v>
      </c>
      <c r="E197" s="5">
        <f>SUM(K205:K206,K202:K203,K199:K200,)/D197</f>
        <v>4.3652860169491534</v>
      </c>
      <c r="F197" s="5">
        <f>E197*D197</f>
        <v>3091.7574743644072</v>
      </c>
      <c r="G197" s="5">
        <f>SUM(H198:H206)/D197</f>
        <v>21.674999999999997</v>
      </c>
      <c r="H197" s="5">
        <f>G197*D197</f>
        <v>15351.535499999998</v>
      </c>
      <c r="I197" s="5">
        <v>0</v>
      </c>
      <c r="J197" s="5">
        <v>0</v>
      </c>
      <c r="K197" s="5">
        <f t="shared" ref="K197:K261" si="57">F197+H197</f>
        <v>18443.292974364405</v>
      </c>
      <c r="L197">
        <f>VLOOKUP($B197,[1]ბიუჯეტი!$B$59:$K$464,3,FALSE)</f>
        <v>1059.2164</v>
      </c>
      <c r="M197" s="53">
        <f t="shared" si="52"/>
        <v>-350.95640000000003</v>
      </c>
      <c r="N197">
        <f>VLOOKUP($B197,[1]ბიუჯეტი!$B$59:$K$464,4,FALSE)</f>
        <v>4.3652860169491534</v>
      </c>
      <c r="O197" s="53">
        <f t="shared" si="53"/>
        <v>0</v>
      </c>
      <c r="P197">
        <f>VLOOKUP($B197,[1]ბიუჯეტი!$B$59:$K$464,6,FALSE)</f>
        <v>21.674999999999997</v>
      </c>
      <c r="Q197" s="53">
        <f t="shared" si="54"/>
        <v>0</v>
      </c>
      <c r="R197">
        <f>VLOOKUP($B197,[1]ბიუჯეტი!$B$59:$K$464,8,FALSE)</f>
        <v>0</v>
      </c>
      <c r="S197" s="53">
        <f t="shared" si="55"/>
        <v>0</v>
      </c>
      <c r="T197">
        <f>VLOOKUP($B197,[1]ბიუჯეტი!$B$59:$K$464,10,FALSE)</f>
        <v>27582.29800984322</v>
      </c>
      <c r="U197" s="53">
        <f t="shared" si="56"/>
        <v>-9139.0050354788145</v>
      </c>
    </row>
    <row r="198" spans="1:21" hidden="1" outlineLevel="1" x14ac:dyDescent="0.35">
      <c r="A198" s="29">
        <v>2</v>
      </c>
      <c r="B198" s="30" t="s">
        <v>182</v>
      </c>
      <c r="C198" s="8" t="s">
        <v>10</v>
      </c>
      <c r="D198" s="5">
        <v>0</v>
      </c>
      <c r="E198" s="5"/>
      <c r="F198" s="5">
        <f t="shared" ref="F198:F226" si="58">D198*E198</f>
        <v>0</v>
      </c>
      <c r="G198" s="5">
        <f>17*1.275</f>
        <v>21.674999999999997</v>
      </c>
      <c r="H198" s="5">
        <f>G198*D198</f>
        <v>0</v>
      </c>
      <c r="I198" s="5"/>
      <c r="J198" s="5"/>
      <c r="K198" s="5">
        <f t="shared" si="57"/>
        <v>0</v>
      </c>
      <c r="L198">
        <f>VLOOKUP($B198,[1]ბიუჯეტი!$B$59:$K$464,3,FALSE)</f>
        <v>0</v>
      </c>
      <c r="M198" s="53">
        <f t="shared" si="52"/>
        <v>0</v>
      </c>
      <c r="N198">
        <f>VLOOKUP($B198,[1]ბიუჯეტი!$B$59:$K$464,4,FALSE)</f>
        <v>0</v>
      </c>
      <c r="O198" s="53">
        <f t="shared" si="53"/>
        <v>0</v>
      </c>
      <c r="P198">
        <f>VLOOKUP($B198,[1]ბიუჯეტი!$B$59:$K$464,6,FALSE)</f>
        <v>6.375</v>
      </c>
      <c r="Q198" s="53">
        <f t="shared" si="54"/>
        <v>15.299999999999997</v>
      </c>
      <c r="R198">
        <f>VLOOKUP($B198,[1]ბიუჯეტი!$B$59:$K$464,8,FALSE)</f>
        <v>0</v>
      </c>
      <c r="S198" s="53">
        <f t="shared" si="55"/>
        <v>0</v>
      </c>
      <c r="T198">
        <f>VLOOKUP($B198,[1]ბიუჯეტი!$B$59:$K$464,10,FALSE)</f>
        <v>0</v>
      </c>
      <c r="U198" s="53">
        <f t="shared" si="56"/>
        <v>0</v>
      </c>
    </row>
    <row r="199" spans="1:21" hidden="1" outlineLevel="1" x14ac:dyDescent="0.35">
      <c r="A199" s="29"/>
      <c r="B199" s="7" t="s">
        <v>50</v>
      </c>
      <c r="C199" s="8" t="s">
        <v>9</v>
      </c>
      <c r="D199" s="5">
        <f>0.03*D198*1.05</f>
        <v>0</v>
      </c>
      <c r="E199" s="5">
        <f>65/1.18</f>
        <v>55.084745762711869</v>
      </c>
      <c r="F199" s="5">
        <f t="shared" si="58"/>
        <v>0</v>
      </c>
      <c r="G199" s="5"/>
      <c r="H199" s="5">
        <f>D199*G199</f>
        <v>0</v>
      </c>
      <c r="I199" s="5"/>
      <c r="J199" s="5"/>
      <c r="K199" s="5">
        <f t="shared" si="57"/>
        <v>0</v>
      </c>
      <c r="L199">
        <f>VLOOKUP($B199,[1]ბიუჯეტი!$B$59:$K$464,3,FALSE)</f>
        <v>0</v>
      </c>
      <c r="M199" s="53">
        <f t="shared" si="52"/>
        <v>0</v>
      </c>
      <c r="N199">
        <f>VLOOKUP($B199,[1]ბიუჯეტი!$B$59:$K$464,4,FALSE)</f>
        <v>55.084745762711869</v>
      </c>
      <c r="O199" s="53">
        <f t="shared" si="53"/>
        <v>0</v>
      </c>
      <c r="P199">
        <f>VLOOKUP($B199,[1]ბიუჯეტი!$B$59:$K$464,6,FALSE)</f>
        <v>0</v>
      </c>
      <c r="Q199" s="53">
        <f t="shared" si="54"/>
        <v>0</v>
      </c>
      <c r="R199">
        <f>VLOOKUP($B199,[1]ბიუჯეტი!$B$59:$K$464,8,FALSE)</f>
        <v>0</v>
      </c>
      <c r="S199" s="53">
        <f t="shared" si="55"/>
        <v>0</v>
      </c>
      <c r="T199">
        <f>VLOOKUP($B199,[1]ბიუჯეტი!$B$59:$K$464,10,FALSE)</f>
        <v>0</v>
      </c>
      <c r="U199" s="53">
        <f t="shared" si="56"/>
        <v>0</v>
      </c>
    </row>
    <row r="200" spans="1:21" hidden="1" outlineLevel="1" x14ac:dyDescent="0.35">
      <c r="A200" s="29"/>
      <c r="B200" s="7" t="s">
        <v>51</v>
      </c>
      <c r="C200" s="8" t="s">
        <v>12</v>
      </c>
      <c r="D200" s="5">
        <f>D199/3*1.05</f>
        <v>0</v>
      </c>
      <c r="E200" s="5">
        <f>281.5/1.18</f>
        <v>238.55932203389833</v>
      </c>
      <c r="F200" s="5">
        <f t="shared" si="58"/>
        <v>0</v>
      </c>
      <c r="G200" s="5"/>
      <c r="H200" s="5">
        <f>D200*G200</f>
        <v>0</v>
      </c>
      <c r="I200" s="5"/>
      <c r="J200" s="5"/>
      <c r="K200" s="5">
        <f t="shared" si="57"/>
        <v>0</v>
      </c>
      <c r="L200">
        <f>VLOOKUP($B200,[1]ბიუჯეტი!$B$59:$K$464,3,FALSE)</f>
        <v>0</v>
      </c>
      <c r="M200" s="53">
        <f t="shared" si="52"/>
        <v>0</v>
      </c>
      <c r="N200">
        <f>VLOOKUP($B200,[1]ბიუჯეტი!$B$59:$K$464,4,FALSE)</f>
        <v>238.55932203389833</v>
      </c>
      <c r="O200" s="53">
        <f t="shared" si="53"/>
        <v>0</v>
      </c>
      <c r="P200">
        <f>VLOOKUP($B200,[1]ბიუჯეტი!$B$59:$K$464,6,FALSE)</f>
        <v>0</v>
      </c>
      <c r="Q200" s="53">
        <f t="shared" si="54"/>
        <v>0</v>
      </c>
      <c r="R200">
        <f>VLOOKUP($B200,[1]ბიუჯეტი!$B$59:$K$464,8,FALSE)</f>
        <v>0</v>
      </c>
      <c r="S200" s="53">
        <f t="shared" si="55"/>
        <v>0</v>
      </c>
      <c r="T200">
        <f>VLOOKUP($B200,[1]ბიუჯეტი!$B$59:$K$464,10,FALSE)</f>
        <v>0</v>
      </c>
      <c r="U200" s="53">
        <f t="shared" si="56"/>
        <v>0</v>
      </c>
    </row>
    <row r="201" spans="1:21" hidden="1" outlineLevel="1" x14ac:dyDescent="0.35">
      <c r="A201" s="29">
        <v>3</v>
      </c>
      <c r="B201" s="30" t="s">
        <v>69</v>
      </c>
      <c r="C201" s="8" t="s">
        <v>10</v>
      </c>
      <c r="D201" s="5">
        <f>სამუშაო!D42</f>
        <v>0</v>
      </c>
      <c r="E201" s="5"/>
      <c r="F201" s="5">
        <f t="shared" si="58"/>
        <v>0</v>
      </c>
      <c r="G201" s="5">
        <f>17*1.275</f>
        <v>21.674999999999997</v>
      </c>
      <c r="H201" s="5">
        <f>G201*D201</f>
        <v>0</v>
      </c>
      <c r="I201" s="5"/>
      <c r="J201" s="5"/>
      <c r="K201" s="5">
        <f t="shared" si="57"/>
        <v>0</v>
      </c>
      <c r="L201">
        <f>VLOOKUP($B201,[1]ბიუჯეტი!$B$59:$K$464,3,FALSE)</f>
        <v>124.4</v>
      </c>
      <c r="M201" s="53">
        <f t="shared" si="52"/>
        <v>-124.4</v>
      </c>
      <c r="N201">
        <f>VLOOKUP($B201,[1]ბიუჯეტი!$B$59:$K$464,4,FALSE)</f>
        <v>0</v>
      </c>
      <c r="O201" s="53">
        <f t="shared" si="53"/>
        <v>0</v>
      </c>
      <c r="P201">
        <f>VLOOKUP($B201,[1]ბიუჯეტი!$B$59:$K$464,6,FALSE)</f>
        <v>6.375</v>
      </c>
      <c r="Q201" s="53">
        <f t="shared" si="54"/>
        <v>15.299999999999997</v>
      </c>
      <c r="R201">
        <f>VLOOKUP($B201,[1]ბიუჯეტი!$B$59:$K$464,8,FALSE)</f>
        <v>0</v>
      </c>
      <c r="S201" s="53">
        <f t="shared" si="55"/>
        <v>0</v>
      </c>
      <c r="T201">
        <f>VLOOKUP($B201,[1]ბიუჯეტი!$B$59:$K$464,10,FALSE)</f>
        <v>793.05000000000007</v>
      </c>
      <c r="U201" s="53">
        <f t="shared" si="56"/>
        <v>-793.05000000000007</v>
      </c>
    </row>
    <row r="202" spans="1:21" hidden="1" outlineLevel="1" x14ac:dyDescent="0.35">
      <c r="A202" s="29"/>
      <c r="B202" s="7" t="s">
        <v>50</v>
      </c>
      <c r="C202" s="8" t="s">
        <v>9</v>
      </c>
      <c r="D202" s="5">
        <f>0.03*D201*1.05</f>
        <v>0</v>
      </c>
      <c r="E202" s="5">
        <f>65/1.18</f>
        <v>55.084745762711869</v>
      </c>
      <c r="F202" s="5">
        <f t="shared" si="58"/>
        <v>0</v>
      </c>
      <c r="G202" s="5"/>
      <c r="H202" s="5">
        <f>D202*G202</f>
        <v>0</v>
      </c>
      <c r="I202" s="5"/>
      <c r="J202" s="5"/>
      <c r="K202" s="5">
        <f t="shared" si="57"/>
        <v>0</v>
      </c>
      <c r="L202">
        <f>VLOOKUP($B202,[1]ბიუჯეტი!$B$59:$K$464,3,FALSE)</f>
        <v>0</v>
      </c>
      <c r="M202" s="53">
        <f t="shared" si="52"/>
        <v>0</v>
      </c>
      <c r="N202">
        <f>VLOOKUP($B202,[1]ბიუჯეტი!$B$59:$K$464,4,FALSE)</f>
        <v>55.084745762711869</v>
      </c>
      <c r="O202" s="53">
        <f t="shared" si="53"/>
        <v>0</v>
      </c>
      <c r="P202">
        <f>VLOOKUP($B202,[1]ბიუჯეტი!$B$59:$K$464,6,FALSE)</f>
        <v>0</v>
      </c>
      <c r="Q202" s="53">
        <f t="shared" si="54"/>
        <v>0</v>
      </c>
      <c r="R202">
        <f>VLOOKUP($B202,[1]ბიუჯეტი!$B$59:$K$464,8,FALSE)</f>
        <v>0</v>
      </c>
      <c r="S202" s="53">
        <f t="shared" si="55"/>
        <v>0</v>
      </c>
      <c r="T202">
        <f>VLOOKUP($B202,[1]ბიუჯეტი!$B$59:$K$464,10,FALSE)</f>
        <v>0</v>
      </c>
      <c r="U202" s="53">
        <f t="shared" si="56"/>
        <v>0</v>
      </c>
    </row>
    <row r="203" spans="1:21" hidden="1" outlineLevel="1" x14ac:dyDescent="0.35">
      <c r="A203" s="29"/>
      <c r="B203" s="7" t="s">
        <v>51</v>
      </c>
      <c r="C203" s="8" t="s">
        <v>12</v>
      </c>
      <c r="D203" s="5">
        <f>D202/3*1.05</f>
        <v>0</v>
      </c>
      <c r="E203" s="5">
        <f>281.5/1.18</f>
        <v>238.55932203389833</v>
      </c>
      <c r="F203" s="5">
        <f t="shared" si="58"/>
        <v>0</v>
      </c>
      <c r="G203" s="5"/>
      <c r="H203" s="5">
        <f>D203*G203</f>
        <v>0</v>
      </c>
      <c r="I203" s="5"/>
      <c r="J203" s="5"/>
      <c r="K203" s="5">
        <f t="shared" si="57"/>
        <v>0</v>
      </c>
      <c r="L203">
        <f>VLOOKUP($B203,[1]ბიუჯეტი!$B$59:$K$464,3,FALSE)</f>
        <v>0</v>
      </c>
      <c r="M203" s="53">
        <f t="shared" si="52"/>
        <v>0</v>
      </c>
      <c r="N203">
        <f>VLOOKUP($B203,[1]ბიუჯეტი!$B$59:$K$464,4,FALSE)</f>
        <v>238.55932203389833</v>
      </c>
      <c r="O203" s="53">
        <f t="shared" si="53"/>
        <v>0</v>
      </c>
      <c r="P203">
        <f>VLOOKUP($B203,[1]ბიუჯეტი!$B$59:$K$464,6,FALSE)</f>
        <v>0</v>
      </c>
      <c r="Q203" s="53">
        <f t="shared" si="54"/>
        <v>0</v>
      </c>
      <c r="R203">
        <f>VLOOKUP($B203,[1]ბიუჯეტი!$B$59:$K$464,8,FALSE)</f>
        <v>0</v>
      </c>
      <c r="S203" s="53">
        <f t="shared" si="55"/>
        <v>0</v>
      </c>
      <c r="T203">
        <f>VLOOKUP($B203,[1]ბიუჯეტი!$B$59:$K$464,10,FALSE)</f>
        <v>0</v>
      </c>
      <c r="U203" s="53">
        <f t="shared" si="56"/>
        <v>0</v>
      </c>
    </row>
    <row r="204" spans="1:21" hidden="1" outlineLevel="1" x14ac:dyDescent="0.35">
      <c r="A204" s="29">
        <v>4</v>
      </c>
      <c r="B204" s="30" t="s">
        <v>184</v>
      </c>
      <c r="C204" s="8" t="s">
        <v>10</v>
      </c>
      <c r="D204" s="5">
        <f>სამუშაო!D43+სამუშაო!D44+სამუშაო!D45</f>
        <v>708.26</v>
      </c>
      <c r="E204" s="5"/>
      <c r="F204" s="5">
        <f t="shared" si="58"/>
        <v>0</v>
      </c>
      <c r="G204" s="5">
        <f>17*1.275</f>
        <v>21.674999999999997</v>
      </c>
      <c r="H204" s="5">
        <f>G204*D204</f>
        <v>15351.535499999998</v>
      </c>
      <c r="I204" s="5"/>
      <c r="J204" s="5"/>
      <c r="K204" s="5">
        <f t="shared" si="57"/>
        <v>15351.535499999998</v>
      </c>
      <c r="L204">
        <f>VLOOKUP($B204,[1]ბიუჯეტი!$B$59:$K$464,3,FALSE)</f>
        <v>756.72300000000007</v>
      </c>
      <c r="M204" s="53">
        <f t="shared" si="52"/>
        <v>-48.463000000000079</v>
      </c>
      <c r="N204">
        <f>VLOOKUP($B204,[1]ბიუჯეტი!$B$59:$K$464,4,FALSE)</f>
        <v>0</v>
      </c>
      <c r="O204" s="53">
        <f t="shared" si="53"/>
        <v>0</v>
      </c>
      <c r="P204">
        <f>VLOOKUP($B204,[1]ბიუჯეტი!$B$59:$K$464,6,FALSE)</f>
        <v>21.674999999999997</v>
      </c>
      <c r="Q204" s="53">
        <f t="shared" si="54"/>
        <v>0</v>
      </c>
      <c r="R204">
        <f>VLOOKUP($B204,[1]ბიუჯეტი!$B$59:$K$464,8,FALSE)</f>
        <v>0</v>
      </c>
      <c r="S204" s="53">
        <f t="shared" si="55"/>
        <v>0</v>
      </c>
      <c r="T204">
        <f>VLOOKUP($B204,[1]ბიუჯეტი!$B$59:$K$464,10,FALSE)</f>
        <v>16401.971024999999</v>
      </c>
      <c r="U204" s="53">
        <f t="shared" si="56"/>
        <v>-1050.4355250000008</v>
      </c>
    </row>
    <row r="205" spans="1:21" hidden="1" outlineLevel="1" x14ac:dyDescent="0.35">
      <c r="A205" s="29"/>
      <c r="B205" s="7" t="s">
        <v>50</v>
      </c>
      <c r="C205" s="8" t="s">
        <v>9</v>
      </c>
      <c r="D205" s="5">
        <f>0.03*D204*1.05</f>
        <v>22.310189999999999</v>
      </c>
      <c r="E205" s="5">
        <f>65/1.18</f>
        <v>55.084745762711869</v>
      </c>
      <c r="F205" s="5">
        <f t="shared" si="58"/>
        <v>1228.9511440677966</v>
      </c>
      <c r="G205" s="5"/>
      <c r="H205" s="5">
        <f>D205*G205</f>
        <v>0</v>
      </c>
      <c r="I205" s="5"/>
      <c r="J205" s="5"/>
      <c r="K205" s="5">
        <f t="shared" si="57"/>
        <v>1228.9511440677966</v>
      </c>
      <c r="L205">
        <f>VLOOKUP($B205,[1]ბიუჯეტი!$B$59:$K$464,3,FALSE)</f>
        <v>0</v>
      </c>
      <c r="M205" s="53">
        <f t="shared" si="52"/>
        <v>22.310189999999999</v>
      </c>
      <c r="N205">
        <f>VLOOKUP($B205,[1]ბიუჯეტი!$B$59:$K$464,4,FALSE)</f>
        <v>55.084745762711869</v>
      </c>
      <c r="O205" s="53">
        <f t="shared" si="53"/>
        <v>0</v>
      </c>
      <c r="P205">
        <f>VLOOKUP($B205,[1]ბიუჯეტი!$B$59:$K$464,6,FALSE)</f>
        <v>0</v>
      </c>
      <c r="Q205" s="53">
        <f t="shared" si="54"/>
        <v>0</v>
      </c>
      <c r="R205">
        <f>VLOOKUP($B205,[1]ბიუჯეტი!$B$59:$K$464,8,FALSE)</f>
        <v>0</v>
      </c>
      <c r="S205" s="53">
        <f t="shared" si="55"/>
        <v>0</v>
      </c>
      <c r="T205">
        <f>VLOOKUP($B205,[1]ბიუჯეტი!$B$59:$K$464,10,FALSE)</f>
        <v>0</v>
      </c>
      <c r="U205" s="53">
        <f t="shared" si="56"/>
        <v>1228.9511440677966</v>
      </c>
    </row>
    <row r="206" spans="1:21" hidden="1" outlineLevel="1" x14ac:dyDescent="0.35">
      <c r="A206" s="29"/>
      <c r="B206" s="7" t="s">
        <v>51</v>
      </c>
      <c r="C206" s="8" t="s">
        <v>12</v>
      </c>
      <c r="D206" s="5">
        <f>D205/3*1.05</f>
        <v>7.8085665000000004</v>
      </c>
      <c r="E206" s="5">
        <f>281.5/1.18</f>
        <v>238.55932203389833</v>
      </c>
      <c r="F206" s="5">
        <f t="shared" si="58"/>
        <v>1862.8063302966104</v>
      </c>
      <c r="G206" s="5"/>
      <c r="H206" s="5">
        <f>D206*G206</f>
        <v>0</v>
      </c>
      <c r="I206" s="5"/>
      <c r="J206" s="5"/>
      <c r="K206" s="5">
        <f t="shared" si="57"/>
        <v>1862.8063302966104</v>
      </c>
      <c r="L206">
        <f>VLOOKUP($B206,[1]ბიუჯეტი!$B$59:$K$464,3,FALSE)</f>
        <v>0</v>
      </c>
      <c r="M206" s="53">
        <f t="shared" si="52"/>
        <v>7.8085665000000004</v>
      </c>
      <c r="N206">
        <f>VLOOKUP($B206,[1]ბიუჯეტი!$B$59:$K$464,4,FALSE)</f>
        <v>238.55932203389833</v>
      </c>
      <c r="O206" s="53">
        <f t="shared" si="53"/>
        <v>0</v>
      </c>
      <c r="P206">
        <f>VLOOKUP($B206,[1]ბიუჯეტი!$B$59:$K$464,6,FALSE)</f>
        <v>0</v>
      </c>
      <c r="Q206" s="53">
        <f t="shared" si="54"/>
        <v>0</v>
      </c>
      <c r="R206">
        <f>VLOOKUP($B206,[1]ბიუჯეტი!$B$59:$K$464,8,FALSE)</f>
        <v>0</v>
      </c>
      <c r="S206" s="53">
        <f t="shared" si="55"/>
        <v>0</v>
      </c>
      <c r="T206">
        <f>VLOOKUP($B206,[1]ბიუჯეტი!$B$59:$K$464,10,FALSE)</f>
        <v>0</v>
      </c>
      <c r="U206" s="53">
        <f t="shared" si="56"/>
        <v>1862.8063302966104</v>
      </c>
    </row>
    <row r="207" spans="1:21" collapsed="1" x14ac:dyDescent="0.35">
      <c r="A207" s="29">
        <v>15</v>
      </c>
      <c r="B207" s="30" t="s">
        <v>73</v>
      </c>
      <c r="C207" s="8" t="s">
        <v>10</v>
      </c>
      <c r="D207" s="5">
        <f>SUM(D208,D211,D214)</f>
        <v>795.66</v>
      </c>
      <c r="E207" s="5">
        <f>SUM(K215:K216,K212:K213,K209:K210,)/D207</f>
        <v>2.3945762711864411</v>
      </c>
      <c r="F207" s="5">
        <f t="shared" si="58"/>
        <v>1905.2685559322038</v>
      </c>
      <c r="G207" s="5">
        <f>SUM(H208:H216)/D207</f>
        <v>20.399999999999999</v>
      </c>
      <c r="H207" s="5">
        <f>G207*D207</f>
        <v>16231.463999999998</v>
      </c>
      <c r="I207" s="5">
        <v>0</v>
      </c>
      <c r="J207" s="5">
        <v>0</v>
      </c>
      <c r="K207" s="5">
        <f t="shared" si="57"/>
        <v>18136.732555932202</v>
      </c>
      <c r="L207">
        <f>VLOOKUP($B207,[1]ბიუჯეტი!$B$59:$K$464,3,FALSE)</f>
        <v>1191.9204000000002</v>
      </c>
      <c r="M207" s="53">
        <f t="shared" si="52"/>
        <v>-396.26040000000023</v>
      </c>
      <c r="N207">
        <f>VLOOKUP($B207,[1]ბიუჯეტი!$B$59:$K$464,4,FALSE)</f>
        <v>2.3945762711864411</v>
      </c>
      <c r="O207" s="53">
        <f t="shared" si="53"/>
        <v>0</v>
      </c>
      <c r="P207">
        <f>VLOOKUP($B207,[1]ბიუჯეტი!$B$59:$K$464,6,FALSE)</f>
        <v>20.399999999999999</v>
      </c>
      <c r="Q207" s="53">
        <f t="shared" si="54"/>
        <v>0</v>
      </c>
      <c r="R207">
        <f>VLOOKUP($B207,[1]ბიუჯეტი!$B$59:$K$464,8,FALSE)</f>
        <v>0</v>
      </c>
      <c r="S207" s="53">
        <f t="shared" si="55"/>
        <v>0</v>
      </c>
      <c r="T207">
        <f>VLOOKUP($B207,[1]ბიუჯეტი!$B$59:$K$464,10,FALSE)</f>
        <v>27169.320466983056</v>
      </c>
      <c r="U207" s="53">
        <f t="shared" si="56"/>
        <v>-9032.587911050854</v>
      </c>
    </row>
    <row r="208" spans="1:21" hidden="1" outlineLevel="1" x14ac:dyDescent="0.35">
      <c r="A208" s="29">
        <v>2</v>
      </c>
      <c r="B208" s="30" t="s">
        <v>185</v>
      </c>
      <c r="C208" s="8" t="s">
        <v>10</v>
      </c>
      <c r="D208" s="5">
        <v>0</v>
      </c>
      <c r="E208" s="5"/>
      <c r="F208" s="5">
        <f t="shared" si="58"/>
        <v>0</v>
      </c>
      <c r="G208" s="5">
        <f>16*1.275</f>
        <v>20.399999999999999</v>
      </c>
      <c r="H208" s="5">
        <f>G208*D208</f>
        <v>0</v>
      </c>
      <c r="I208" s="5"/>
      <c r="J208" s="5"/>
      <c r="K208" s="5">
        <f t="shared" si="57"/>
        <v>0</v>
      </c>
      <c r="L208">
        <f>VLOOKUP($B208,[1]ბიუჯეტი!$B$59:$K$464,3,FALSE)</f>
        <v>0</v>
      </c>
      <c r="M208" s="53">
        <f t="shared" si="52"/>
        <v>0</v>
      </c>
      <c r="N208">
        <f>VLOOKUP($B208,[1]ბიუჯეტი!$B$59:$K$464,4,FALSE)</f>
        <v>0</v>
      </c>
      <c r="O208" s="53">
        <f t="shared" si="53"/>
        <v>0</v>
      </c>
      <c r="P208">
        <f>VLOOKUP($B208,[1]ბიუჯეტი!$B$59:$K$464,6,FALSE)</f>
        <v>20.399999999999999</v>
      </c>
      <c r="Q208" s="53">
        <f t="shared" si="54"/>
        <v>0</v>
      </c>
      <c r="R208">
        <f>VLOOKUP($B208,[1]ბიუჯეტი!$B$59:$K$464,8,FALSE)</f>
        <v>0</v>
      </c>
      <c r="S208" s="53">
        <f t="shared" si="55"/>
        <v>0</v>
      </c>
      <c r="T208">
        <f>VLOOKUP($B208,[1]ბიუჯეტი!$B$59:$K$464,10,FALSE)</f>
        <v>0</v>
      </c>
      <c r="U208" s="53">
        <f t="shared" si="56"/>
        <v>0</v>
      </c>
    </row>
    <row r="209" spans="1:21" hidden="1" outlineLevel="1" x14ac:dyDescent="0.35">
      <c r="A209" s="29"/>
      <c r="B209" s="7" t="s">
        <v>74</v>
      </c>
      <c r="C209" s="8" t="s">
        <v>49</v>
      </c>
      <c r="D209" s="5">
        <f>D208*2*1.02/25</f>
        <v>0</v>
      </c>
      <c r="E209" s="5">
        <f>19/1.18</f>
        <v>16.101694915254239</v>
      </c>
      <c r="F209" s="5">
        <f t="shared" si="58"/>
        <v>0</v>
      </c>
      <c r="G209" s="5"/>
      <c r="H209" s="5">
        <f>D209*G209</f>
        <v>0</v>
      </c>
      <c r="I209" s="5"/>
      <c r="J209" s="5"/>
      <c r="K209" s="5">
        <f t="shared" si="57"/>
        <v>0</v>
      </c>
      <c r="L209">
        <f>VLOOKUP($B209,[1]ბიუჯეტი!$B$59:$K$464,3,FALSE)</f>
        <v>0</v>
      </c>
      <c r="M209" s="53">
        <f t="shared" si="52"/>
        <v>0</v>
      </c>
      <c r="N209">
        <f>VLOOKUP($B209,[1]ბიუჯეტი!$B$59:$K$464,4,FALSE)</f>
        <v>16.101694915254239</v>
      </c>
      <c r="O209" s="53">
        <f t="shared" si="53"/>
        <v>0</v>
      </c>
      <c r="P209">
        <f>VLOOKUP($B209,[1]ბიუჯეტი!$B$59:$K$464,6,FALSE)</f>
        <v>0</v>
      </c>
      <c r="Q209" s="53">
        <f t="shared" si="54"/>
        <v>0</v>
      </c>
      <c r="R209">
        <f>VLOOKUP($B209,[1]ბიუჯეტი!$B$59:$K$464,8,FALSE)</f>
        <v>0</v>
      </c>
      <c r="S209" s="53">
        <f t="shared" si="55"/>
        <v>0</v>
      </c>
      <c r="T209">
        <f>VLOOKUP($B209,[1]ბიუჯეტი!$B$59:$K$464,10,FALSE)</f>
        <v>0</v>
      </c>
      <c r="U209" s="53">
        <f t="shared" si="56"/>
        <v>0</v>
      </c>
    </row>
    <row r="210" spans="1:21" hidden="1" outlineLevel="1" x14ac:dyDescent="0.35">
      <c r="A210" s="29"/>
      <c r="B210" s="7" t="s">
        <v>14</v>
      </c>
      <c r="C210" s="8" t="s">
        <v>10</v>
      </c>
      <c r="D210" s="5">
        <f>D208</f>
        <v>0</v>
      </c>
      <c r="E210" s="5">
        <f>0.5/1.18</f>
        <v>0.42372881355932207</v>
      </c>
      <c r="F210" s="5">
        <f t="shared" si="58"/>
        <v>0</v>
      </c>
      <c r="G210" s="5"/>
      <c r="H210" s="5">
        <f>D210*G210</f>
        <v>0</v>
      </c>
      <c r="I210" s="5"/>
      <c r="J210" s="5"/>
      <c r="K210" s="5">
        <f t="shared" si="57"/>
        <v>0</v>
      </c>
      <c r="L210">
        <f>VLOOKUP($B210,[1]ბიუჯეტი!$B$59:$K$464,3,FALSE)</f>
        <v>0</v>
      </c>
      <c r="M210" s="53">
        <f t="shared" si="52"/>
        <v>0</v>
      </c>
      <c r="N210">
        <f>VLOOKUP($B210,[1]ბიუჯეტი!$B$59:$K$464,4,FALSE)</f>
        <v>0.84745762711864414</v>
      </c>
      <c r="O210" s="53">
        <f t="shared" si="53"/>
        <v>-0.42372881355932207</v>
      </c>
      <c r="P210">
        <f>VLOOKUP($B210,[1]ბიუჯეტი!$B$59:$K$464,6,FALSE)</f>
        <v>0</v>
      </c>
      <c r="Q210" s="53">
        <f t="shared" si="54"/>
        <v>0</v>
      </c>
      <c r="R210">
        <f>VLOOKUP($B210,[1]ბიუჯეტი!$B$59:$K$464,8,FALSE)</f>
        <v>0</v>
      </c>
      <c r="S210" s="53">
        <f t="shared" si="55"/>
        <v>0</v>
      </c>
      <c r="T210">
        <f>VLOOKUP($B210,[1]ბიუჯეტი!$B$59:$K$464,10,FALSE)</f>
        <v>0</v>
      </c>
      <c r="U210" s="53">
        <f t="shared" si="56"/>
        <v>0</v>
      </c>
    </row>
    <row r="211" spans="1:21" hidden="1" outlineLevel="1" x14ac:dyDescent="0.35">
      <c r="A211" s="29">
        <v>3</v>
      </c>
      <c r="B211" s="30" t="s">
        <v>75</v>
      </c>
      <c r="C211" s="8" t="s">
        <v>10</v>
      </c>
      <c r="D211" s="5">
        <f>სამუშაო!E42</f>
        <v>0</v>
      </c>
      <c r="E211" s="5"/>
      <c r="F211" s="5">
        <f t="shared" si="58"/>
        <v>0</v>
      </c>
      <c r="G211" s="5">
        <f>16*1.275</f>
        <v>20.399999999999999</v>
      </c>
      <c r="H211" s="5">
        <f>G211*D211</f>
        <v>0</v>
      </c>
      <c r="I211" s="5"/>
      <c r="J211" s="5"/>
      <c r="K211" s="5">
        <f t="shared" si="57"/>
        <v>0</v>
      </c>
      <c r="L211">
        <f>VLOOKUP($B211,[1]ბიუჯეტი!$B$59:$K$464,3,FALSE)</f>
        <v>342.79740000000004</v>
      </c>
      <c r="M211" s="53">
        <f t="shared" si="52"/>
        <v>-342.79740000000004</v>
      </c>
      <c r="N211">
        <f>VLOOKUP($B211,[1]ბიუჯეტი!$B$59:$K$464,4,FALSE)</f>
        <v>0</v>
      </c>
      <c r="O211" s="53">
        <f t="shared" si="53"/>
        <v>0</v>
      </c>
      <c r="P211">
        <f>VLOOKUP($B211,[1]ბიუჯეტი!$B$59:$K$464,6,FALSE)</f>
        <v>20.399999999999999</v>
      </c>
      <c r="Q211" s="53">
        <f t="shared" si="54"/>
        <v>0</v>
      </c>
      <c r="R211">
        <f>VLOOKUP($B211,[1]ბიუჯეტი!$B$59:$K$464,8,FALSE)</f>
        <v>0</v>
      </c>
      <c r="S211" s="53">
        <f t="shared" si="55"/>
        <v>0</v>
      </c>
      <c r="T211">
        <f>VLOOKUP($B211,[1]ბიუჯეტი!$B$59:$K$464,10,FALSE)</f>
        <v>6993.0669600000001</v>
      </c>
      <c r="U211" s="53">
        <f t="shared" si="56"/>
        <v>-6993.0669600000001</v>
      </c>
    </row>
    <row r="212" spans="1:21" hidden="1" outlineLevel="1" x14ac:dyDescent="0.35">
      <c r="A212" s="29"/>
      <c r="B212" s="7" t="s">
        <v>74</v>
      </c>
      <c r="C212" s="8" t="s">
        <v>49</v>
      </c>
      <c r="D212" s="5">
        <f>D211*3*1.02/25</f>
        <v>0</v>
      </c>
      <c r="E212" s="5">
        <f>19/1.18</f>
        <v>16.101694915254239</v>
      </c>
      <c r="F212" s="5">
        <f t="shared" si="58"/>
        <v>0</v>
      </c>
      <c r="G212" s="5"/>
      <c r="H212" s="5">
        <f>D212*G212</f>
        <v>0</v>
      </c>
      <c r="I212" s="5"/>
      <c r="J212" s="5"/>
      <c r="K212" s="5">
        <f t="shared" si="57"/>
        <v>0</v>
      </c>
      <c r="L212">
        <f>VLOOKUP($B212,[1]ბიუჯეტი!$B$59:$K$464,3,FALSE)</f>
        <v>0</v>
      </c>
      <c r="M212" s="53">
        <f t="shared" si="52"/>
        <v>0</v>
      </c>
      <c r="N212">
        <f>VLOOKUP($B212,[1]ბიუჯეტი!$B$59:$K$464,4,FALSE)</f>
        <v>16.101694915254239</v>
      </c>
      <c r="O212" s="53">
        <f t="shared" si="53"/>
        <v>0</v>
      </c>
      <c r="P212">
        <f>VLOOKUP($B212,[1]ბიუჯეტი!$B$59:$K$464,6,FALSE)</f>
        <v>0</v>
      </c>
      <c r="Q212" s="53">
        <f t="shared" si="54"/>
        <v>0</v>
      </c>
      <c r="R212">
        <f>VLOOKUP($B212,[1]ბიუჯეტი!$B$59:$K$464,8,FALSE)</f>
        <v>0</v>
      </c>
      <c r="S212" s="53">
        <f t="shared" si="55"/>
        <v>0</v>
      </c>
      <c r="T212">
        <f>VLOOKUP($B212,[1]ბიუჯეტი!$B$59:$K$464,10,FALSE)</f>
        <v>0</v>
      </c>
      <c r="U212" s="53">
        <f t="shared" si="56"/>
        <v>0</v>
      </c>
    </row>
    <row r="213" spans="1:21" hidden="1" outlineLevel="1" x14ac:dyDescent="0.35">
      <c r="A213" s="29"/>
      <c r="B213" s="7" t="s">
        <v>14</v>
      </c>
      <c r="C213" s="8" t="s">
        <v>10</v>
      </c>
      <c r="D213" s="5">
        <f>D211</f>
        <v>0</v>
      </c>
      <c r="E213" s="5">
        <f>0.5/1.18</f>
        <v>0.42372881355932207</v>
      </c>
      <c r="F213" s="5">
        <f t="shared" si="58"/>
        <v>0</v>
      </c>
      <c r="G213" s="5"/>
      <c r="H213" s="5">
        <f>D213*G213</f>
        <v>0</v>
      </c>
      <c r="I213" s="5"/>
      <c r="J213" s="5"/>
      <c r="K213" s="5">
        <f t="shared" si="57"/>
        <v>0</v>
      </c>
      <c r="L213">
        <f>VLOOKUP($B213,[1]ბიუჯეტი!$B$59:$K$464,3,FALSE)</f>
        <v>0</v>
      </c>
      <c r="M213" s="53">
        <f t="shared" si="52"/>
        <v>0</v>
      </c>
      <c r="N213">
        <f>VLOOKUP($B213,[1]ბიუჯეტი!$B$59:$K$464,4,FALSE)</f>
        <v>0.84745762711864414</v>
      </c>
      <c r="O213" s="53">
        <f t="shared" si="53"/>
        <v>-0.42372881355932207</v>
      </c>
      <c r="P213">
        <f>VLOOKUP($B213,[1]ბიუჯეტი!$B$59:$K$464,6,FALSE)</f>
        <v>0</v>
      </c>
      <c r="Q213" s="53">
        <f t="shared" si="54"/>
        <v>0</v>
      </c>
      <c r="R213">
        <f>VLOOKUP($B213,[1]ბიუჯეტი!$B$59:$K$464,8,FALSE)</f>
        <v>0</v>
      </c>
      <c r="S213" s="53">
        <f t="shared" si="55"/>
        <v>0</v>
      </c>
      <c r="T213">
        <f>VLOOKUP($B213,[1]ბიუჯეტი!$B$59:$K$464,10,FALSE)</f>
        <v>0</v>
      </c>
      <c r="U213" s="53">
        <f t="shared" si="56"/>
        <v>0</v>
      </c>
    </row>
    <row r="214" spans="1:21" hidden="1" outlineLevel="1" x14ac:dyDescent="0.35">
      <c r="A214" s="29">
        <v>4</v>
      </c>
      <c r="B214" s="30" t="s">
        <v>186</v>
      </c>
      <c r="C214" s="8" t="s">
        <v>10</v>
      </c>
      <c r="D214" s="5">
        <f>სამუშაო!E43+სამუშაო!E44+სამუშაო!E45</f>
        <v>795.66</v>
      </c>
      <c r="E214" s="5"/>
      <c r="F214" s="5">
        <f t="shared" si="58"/>
        <v>0</v>
      </c>
      <c r="G214" s="5">
        <f>16*1.275</f>
        <v>20.399999999999999</v>
      </c>
      <c r="H214" s="5">
        <f>G214*D214</f>
        <v>16231.463999999998</v>
      </c>
      <c r="I214" s="5"/>
      <c r="J214" s="5"/>
      <c r="K214" s="5">
        <f t="shared" si="57"/>
        <v>16231.463999999998</v>
      </c>
      <c r="L214">
        <f>VLOOKUP($B214,[1]ბიუჯეტი!$B$59:$K$464,3,FALSE)</f>
        <v>849.12300000000016</v>
      </c>
      <c r="M214" s="53">
        <f t="shared" si="52"/>
        <v>-53.463000000000193</v>
      </c>
      <c r="N214">
        <f>VLOOKUP($B214,[1]ბიუჯეტი!$B$59:$K$464,4,FALSE)</f>
        <v>0</v>
      </c>
      <c r="O214" s="53">
        <f t="shared" si="53"/>
        <v>0</v>
      </c>
      <c r="P214">
        <f>VLOOKUP($B214,[1]ბიუჯეტი!$B$59:$K$464,6,FALSE)</f>
        <v>20.399999999999999</v>
      </c>
      <c r="Q214" s="53">
        <f t="shared" si="54"/>
        <v>0</v>
      </c>
      <c r="R214">
        <f>VLOOKUP($B214,[1]ბიუჯეტი!$B$59:$K$464,8,FALSE)</f>
        <v>0</v>
      </c>
      <c r="S214" s="53">
        <f t="shared" si="55"/>
        <v>0</v>
      </c>
      <c r="T214">
        <f>VLOOKUP($B214,[1]ბიუჯეტი!$B$59:$K$464,10,FALSE)</f>
        <v>17322.109200000003</v>
      </c>
      <c r="U214" s="53">
        <f t="shared" si="56"/>
        <v>-1090.6452000000045</v>
      </c>
    </row>
    <row r="215" spans="1:21" hidden="1" outlineLevel="1" x14ac:dyDescent="0.35">
      <c r="A215" s="29"/>
      <c r="B215" s="7" t="s">
        <v>74</v>
      </c>
      <c r="C215" s="8" t="s">
        <v>49</v>
      </c>
      <c r="D215" s="5">
        <f>D214*3*1.02/25</f>
        <v>97.388784000000001</v>
      </c>
      <c r="E215" s="5">
        <f>19/1.18</f>
        <v>16.101694915254239</v>
      </c>
      <c r="F215" s="5">
        <f t="shared" si="58"/>
        <v>1568.1244881355933</v>
      </c>
      <c r="G215" s="5"/>
      <c r="H215" s="5">
        <f>D215*G215</f>
        <v>0</v>
      </c>
      <c r="I215" s="5"/>
      <c r="J215" s="5"/>
      <c r="K215" s="5">
        <f t="shared" si="57"/>
        <v>1568.1244881355933</v>
      </c>
      <c r="L215">
        <f>VLOOKUP($B215,[1]ბიუჯეტი!$B$59:$K$464,3,FALSE)</f>
        <v>0</v>
      </c>
      <c r="M215" s="53">
        <f t="shared" si="52"/>
        <v>97.388784000000001</v>
      </c>
      <c r="N215">
        <f>VLOOKUP($B215,[1]ბიუჯეტი!$B$59:$K$464,4,FALSE)</f>
        <v>16.101694915254239</v>
      </c>
      <c r="O215" s="53">
        <f t="shared" si="53"/>
        <v>0</v>
      </c>
      <c r="P215">
        <f>VLOOKUP($B215,[1]ბიუჯეტი!$B$59:$K$464,6,FALSE)</f>
        <v>0</v>
      </c>
      <c r="Q215" s="53">
        <f t="shared" si="54"/>
        <v>0</v>
      </c>
      <c r="R215">
        <f>VLOOKUP($B215,[1]ბიუჯეტი!$B$59:$K$464,8,FALSE)</f>
        <v>0</v>
      </c>
      <c r="S215" s="53">
        <f t="shared" si="55"/>
        <v>0</v>
      </c>
      <c r="T215">
        <f>VLOOKUP($B215,[1]ბიუჯეტი!$B$59:$K$464,10,FALSE)</f>
        <v>0</v>
      </c>
      <c r="U215" s="53">
        <f t="shared" si="56"/>
        <v>1568.1244881355933</v>
      </c>
    </row>
    <row r="216" spans="1:21" hidden="1" outlineLevel="1" x14ac:dyDescent="0.35">
      <c r="A216" s="29"/>
      <c r="B216" s="7" t="s">
        <v>14</v>
      </c>
      <c r="C216" s="8" t="s">
        <v>10</v>
      </c>
      <c r="D216" s="5">
        <f>D214</f>
        <v>795.66</v>
      </c>
      <c r="E216" s="5">
        <f>0.5/1.18</f>
        <v>0.42372881355932207</v>
      </c>
      <c r="F216" s="5">
        <f t="shared" si="58"/>
        <v>337.14406779661016</v>
      </c>
      <c r="G216" s="5"/>
      <c r="H216" s="5">
        <f>D216*G216</f>
        <v>0</v>
      </c>
      <c r="I216" s="5"/>
      <c r="J216" s="5"/>
      <c r="K216" s="5">
        <f t="shared" si="57"/>
        <v>337.14406779661016</v>
      </c>
      <c r="L216">
        <f>VLOOKUP($B216,[1]ბიუჯეტი!$B$59:$K$464,3,FALSE)</f>
        <v>0</v>
      </c>
      <c r="M216" s="53">
        <f t="shared" si="52"/>
        <v>795.66</v>
      </c>
      <c r="N216">
        <f>VLOOKUP($B216,[1]ბიუჯეტი!$B$59:$K$464,4,FALSE)</f>
        <v>0.84745762711864414</v>
      </c>
      <c r="O216" s="53">
        <f t="shared" si="53"/>
        <v>-0.42372881355932207</v>
      </c>
      <c r="P216">
        <f>VLOOKUP($B216,[1]ბიუჯეტი!$B$59:$K$464,6,FALSE)</f>
        <v>0</v>
      </c>
      <c r="Q216" s="53">
        <f t="shared" si="54"/>
        <v>0</v>
      </c>
      <c r="R216">
        <f>VLOOKUP($B216,[1]ბიუჯეტი!$B$59:$K$464,8,FALSE)</f>
        <v>0</v>
      </c>
      <c r="S216" s="53">
        <f t="shared" si="55"/>
        <v>0</v>
      </c>
      <c r="T216">
        <f>VLOOKUP($B216,[1]ბიუჯეტი!$B$59:$K$464,10,FALSE)</f>
        <v>0</v>
      </c>
      <c r="U216" s="53">
        <f t="shared" si="56"/>
        <v>337.14406779661016</v>
      </c>
    </row>
    <row r="217" spans="1:21" collapsed="1" x14ac:dyDescent="0.35">
      <c r="A217" s="29">
        <v>16</v>
      </c>
      <c r="B217" s="30" t="s">
        <v>76</v>
      </c>
      <c r="C217" s="8" t="s">
        <v>10</v>
      </c>
      <c r="D217" s="5">
        <f>SUM(D218,D221,D224)</f>
        <v>795.66</v>
      </c>
      <c r="E217" s="5">
        <f>SUM(K219:K220,K222:K223,K225:K226)/D217</f>
        <v>8.8135593220338979</v>
      </c>
      <c r="F217" s="5">
        <f t="shared" si="58"/>
        <v>7012.5966101694912</v>
      </c>
      <c r="G217" s="5">
        <f>SUM(H218,H221,H224)/D217</f>
        <v>10.199999999999999</v>
      </c>
      <c r="H217" s="5">
        <f>G217*D217</f>
        <v>8115.7319999999991</v>
      </c>
      <c r="I217" s="5">
        <v>0</v>
      </c>
      <c r="J217" s="5">
        <v>0</v>
      </c>
      <c r="K217" s="5">
        <f t="shared" si="57"/>
        <v>15128.32861016949</v>
      </c>
      <c r="L217">
        <f>VLOOKUP($B217,[1]ბიუჯეტი!$B$59:$K$464,3,FALSE)</f>
        <v>1191.9204000000002</v>
      </c>
      <c r="M217" s="53">
        <f t="shared" si="52"/>
        <v>-396.26040000000023</v>
      </c>
      <c r="N217">
        <f>VLOOKUP($B217,[1]ბიუჯეტი!$B$59:$K$464,4,FALSE)</f>
        <v>8.8135593220338979</v>
      </c>
      <c r="O217" s="53">
        <f t="shared" si="53"/>
        <v>0</v>
      </c>
      <c r="P217">
        <f>VLOOKUP($B217,[1]ბიუჯეტი!$B$59:$K$464,6,FALSE)</f>
        <v>10.199999999999999</v>
      </c>
      <c r="Q217" s="53">
        <f t="shared" si="54"/>
        <v>0</v>
      </c>
      <c r="R217">
        <f>VLOOKUP($B217,[1]ბიუჯეტი!$B$59:$K$464,8,FALSE)</f>
        <v>0</v>
      </c>
      <c r="S217" s="53">
        <f t="shared" si="55"/>
        <v>0</v>
      </c>
      <c r="T217">
        <f>VLOOKUP($B217,[1]ბიუჯეტი!$B$59:$K$464,10,FALSE)</f>
        <v>22662.649232542375</v>
      </c>
      <c r="U217" s="53">
        <f t="shared" si="56"/>
        <v>-7534.3206223728848</v>
      </c>
    </row>
    <row r="218" spans="1:21" hidden="1" outlineLevel="1" x14ac:dyDescent="0.35">
      <c r="A218" s="29">
        <v>2</v>
      </c>
      <c r="B218" s="30" t="s">
        <v>77</v>
      </c>
      <c r="C218" s="8" t="s">
        <v>10</v>
      </c>
      <c r="D218" s="5">
        <f>D208</f>
        <v>0</v>
      </c>
      <c r="E218" s="5"/>
      <c r="F218" s="5">
        <f t="shared" si="58"/>
        <v>0</v>
      </c>
      <c r="G218" s="5">
        <f>8*1.275</f>
        <v>10.199999999999999</v>
      </c>
      <c r="H218" s="5">
        <f t="shared" ref="H218:H226" si="59">D218*G218</f>
        <v>0</v>
      </c>
      <c r="I218" s="5"/>
      <c r="J218" s="5"/>
      <c r="K218" s="5">
        <f t="shared" si="57"/>
        <v>0</v>
      </c>
      <c r="L218">
        <f>VLOOKUP($B218,[1]ბიუჯეტი!$B$59:$K$464,3,FALSE)</f>
        <v>0</v>
      </c>
      <c r="M218" s="53">
        <f t="shared" si="52"/>
        <v>0</v>
      </c>
      <c r="N218">
        <f>VLOOKUP($B218,[1]ბიუჯეტი!$B$59:$K$464,4,FALSE)</f>
        <v>0</v>
      </c>
      <c r="O218" s="53">
        <f t="shared" si="53"/>
        <v>0</v>
      </c>
      <c r="P218">
        <f>VLOOKUP($B218,[1]ბიუჯეტი!$B$59:$K$464,6,FALSE)</f>
        <v>10.199999999999999</v>
      </c>
      <c r="Q218" s="53">
        <f t="shared" si="54"/>
        <v>0</v>
      </c>
      <c r="R218">
        <f>VLOOKUP($B218,[1]ბიუჯეტი!$B$59:$K$464,8,FALSE)</f>
        <v>0</v>
      </c>
      <c r="S218" s="53">
        <f t="shared" si="55"/>
        <v>0</v>
      </c>
      <c r="T218">
        <f>VLOOKUP($B218,[1]ბიუჯეტი!$B$59:$K$464,10,FALSE)</f>
        <v>0</v>
      </c>
      <c r="U218" s="53">
        <f t="shared" si="56"/>
        <v>0</v>
      </c>
    </row>
    <row r="219" spans="1:21" hidden="1" outlineLevel="1" x14ac:dyDescent="0.35">
      <c r="A219" s="29"/>
      <c r="B219" s="7" t="s">
        <v>78</v>
      </c>
      <c r="C219" s="8" t="s">
        <v>79</v>
      </c>
      <c r="D219" s="5">
        <f>D218*0.1*2</f>
        <v>0</v>
      </c>
      <c r="E219" s="5">
        <f>23.5/1.18</f>
        <v>19.915254237288135</v>
      </c>
      <c r="F219" s="5">
        <f t="shared" si="58"/>
        <v>0</v>
      </c>
      <c r="G219" s="5"/>
      <c r="H219" s="5">
        <f t="shared" si="59"/>
        <v>0</v>
      </c>
      <c r="I219" s="5"/>
      <c r="J219" s="5"/>
      <c r="K219" s="5">
        <f t="shared" si="57"/>
        <v>0</v>
      </c>
      <c r="L219">
        <f>VLOOKUP($B219,[1]ბიუჯეტი!$B$59:$K$464,3,FALSE)</f>
        <v>0</v>
      </c>
      <c r="M219" s="53">
        <f t="shared" si="52"/>
        <v>0</v>
      </c>
      <c r="N219">
        <f>VLOOKUP($B219,[1]ბიუჯეტი!$B$59:$K$464,4,FALSE)</f>
        <v>19.915254237288135</v>
      </c>
      <c r="O219" s="53">
        <f t="shared" si="53"/>
        <v>0</v>
      </c>
      <c r="P219">
        <f>VLOOKUP($B219,[1]ბიუჯეტი!$B$59:$K$464,6,FALSE)</f>
        <v>0</v>
      </c>
      <c r="Q219" s="53">
        <f t="shared" si="54"/>
        <v>0</v>
      </c>
      <c r="R219">
        <f>VLOOKUP($B219,[1]ბიუჯეტი!$B$59:$K$464,8,FALSE)</f>
        <v>0</v>
      </c>
      <c r="S219" s="53">
        <f t="shared" si="55"/>
        <v>0</v>
      </c>
      <c r="T219">
        <f>VLOOKUP($B219,[1]ბიუჯეტი!$B$59:$K$464,10,FALSE)</f>
        <v>0</v>
      </c>
      <c r="U219" s="53">
        <f t="shared" si="56"/>
        <v>0</v>
      </c>
    </row>
    <row r="220" spans="1:21" hidden="1" outlineLevel="1" x14ac:dyDescent="0.35">
      <c r="A220" s="29"/>
      <c r="B220" s="7" t="s">
        <v>14</v>
      </c>
      <c r="C220" s="8" t="s">
        <v>10</v>
      </c>
      <c r="D220" s="5">
        <f>D218</f>
        <v>0</v>
      </c>
      <c r="E220" s="5">
        <f>1/1.18</f>
        <v>0.84745762711864414</v>
      </c>
      <c r="F220" s="5">
        <f t="shared" si="58"/>
        <v>0</v>
      </c>
      <c r="G220" s="5"/>
      <c r="H220" s="5">
        <f t="shared" si="59"/>
        <v>0</v>
      </c>
      <c r="I220" s="5"/>
      <c r="J220" s="5"/>
      <c r="K220" s="5">
        <f t="shared" si="57"/>
        <v>0</v>
      </c>
      <c r="L220">
        <f>VLOOKUP($B220,[1]ბიუჯეტი!$B$59:$K$464,3,FALSE)</f>
        <v>0</v>
      </c>
      <c r="M220" s="53">
        <f t="shared" si="52"/>
        <v>0</v>
      </c>
      <c r="N220">
        <f>VLOOKUP($B220,[1]ბიუჯეტი!$B$59:$K$464,4,FALSE)</f>
        <v>0.84745762711864414</v>
      </c>
      <c r="O220" s="53">
        <f t="shared" si="53"/>
        <v>0</v>
      </c>
      <c r="P220">
        <f>VLOOKUP($B220,[1]ბიუჯეტი!$B$59:$K$464,6,FALSE)</f>
        <v>0</v>
      </c>
      <c r="Q220" s="53">
        <f t="shared" si="54"/>
        <v>0</v>
      </c>
      <c r="R220">
        <f>VLOOKUP($B220,[1]ბიუჯეტი!$B$59:$K$464,8,FALSE)</f>
        <v>0</v>
      </c>
      <c r="S220" s="53">
        <f t="shared" si="55"/>
        <v>0</v>
      </c>
      <c r="T220">
        <f>VLOOKUP($B220,[1]ბიუჯეტი!$B$59:$K$464,10,FALSE)</f>
        <v>0</v>
      </c>
      <c r="U220" s="53">
        <f t="shared" si="56"/>
        <v>0</v>
      </c>
    </row>
    <row r="221" spans="1:21" hidden="1" outlineLevel="1" x14ac:dyDescent="0.35">
      <c r="A221" s="29">
        <v>3</v>
      </c>
      <c r="B221" s="30" t="s">
        <v>80</v>
      </c>
      <c r="C221" s="8" t="s">
        <v>10</v>
      </c>
      <c r="D221" s="5">
        <f>D211</f>
        <v>0</v>
      </c>
      <c r="E221" s="5"/>
      <c r="F221" s="5">
        <f t="shared" si="58"/>
        <v>0</v>
      </c>
      <c r="G221" s="5">
        <f>8*1.275</f>
        <v>10.199999999999999</v>
      </c>
      <c r="H221" s="5">
        <f t="shared" si="59"/>
        <v>0</v>
      </c>
      <c r="I221" s="5"/>
      <c r="J221" s="5"/>
      <c r="K221" s="5">
        <f t="shared" si="57"/>
        <v>0</v>
      </c>
      <c r="L221">
        <f>VLOOKUP($B221,[1]ბიუჯეტი!$B$59:$K$464,3,FALSE)</f>
        <v>342.79740000000004</v>
      </c>
      <c r="M221" s="53">
        <f t="shared" si="52"/>
        <v>-342.79740000000004</v>
      </c>
      <c r="N221">
        <f>VLOOKUP($B221,[1]ბიუჯეტი!$B$59:$K$464,4,FALSE)</f>
        <v>0</v>
      </c>
      <c r="O221" s="53">
        <f t="shared" si="53"/>
        <v>0</v>
      </c>
      <c r="P221">
        <f>VLOOKUP($B221,[1]ბიუჯეტი!$B$59:$K$464,6,FALSE)</f>
        <v>10.199999999999999</v>
      </c>
      <c r="Q221" s="53">
        <f t="shared" si="54"/>
        <v>0</v>
      </c>
      <c r="R221">
        <f>VLOOKUP($B221,[1]ბიუჯეტი!$B$59:$K$464,8,FALSE)</f>
        <v>0</v>
      </c>
      <c r="S221" s="53">
        <f t="shared" si="55"/>
        <v>0</v>
      </c>
      <c r="T221">
        <f>VLOOKUP($B221,[1]ბიუჯეტი!$B$59:$K$464,10,FALSE)</f>
        <v>3496.5334800000001</v>
      </c>
      <c r="U221" s="53">
        <f t="shared" si="56"/>
        <v>-3496.5334800000001</v>
      </c>
    </row>
    <row r="222" spans="1:21" hidden="1" outlineLevel="1" x14ac:dyDescent="0.35">
      <c r="A222" s="29"/>
      <c r="B222" s="7" t="s">
        <v>78</v>
      </c>
      <c r="C222" s="8" t="s">
        <v>79</v>
      </c>
      <c r="D222" s="5">
        <f>D221*0.2*2</f>
        <v>0</v>
      </c>
      <c r="E222" s="5">
        <f>23.5/1.18</f>
        <v>19.915254237288135</v>
      </c>
      <c r="F222" s="5">
        <f t="shared" si="58"/>
        <v>0</v>
      </c>
      <c r="G222" s="5"/>
      <c r="H222" s="5">
        <f t="shared" si="59"/>
        <v>0</v>
      </c>
      <c r="I222" s="5"/>
      <c r="J222" s="5"/>
      <c r="K222" s="5">
        <f t="shared" si="57"/>
        <v>0</v>
      </c>
      <c r="L222">
        <f>VLOOKUP($B222,[1]ბიუჯეტი!$B$59:$K$464,3,FALSE)</f>
        <v>0</v>
      </c>
      <c r="M222" s="53">
        <f t="shared" si="52"/>
        <v>0</v>
      </c>
      <c r="N222">
        <f>VLOOKUP($B222,[1]ბიუჯეტი!$B$59:$K$464,4,FALSE)</f>
        <v>19.915254237288135</v>
      </c>
      <c r="O222" s="53">
        <f t="shared" si="53"/>
        <v>0</v>
      </c>
      <c r="P222">
        <f>VLOOKUP($B222,[1]ბიუჯეტი!$B$59:$K$464,6,FALSE)</f>
        <v>0</v>
      </c>
      <c r="Q222" s="53">
        <f t="shared" si="54"/>
        <v>0</v>
      </c>
      <c r="R222">
        <f>VLOOKUP($B222,[1]ბიუჯეტი!$B$59:$K$464,8,FALSE)</f>
        <v>0</v>
      </c>
      <c r="S222" s="53">
        <f t="shared" si="55"/>
        <v>0</v>
      </c>
      <c r="T222">
        <f>VLOOKUP($B222,[1]ბიუჯეტი!$B$59:$K$464,10,FALSE)</f>
        <v>0</v>
      </c>
      <c r="U222" s="53">
        <f t="shared" si="56"/>
        <v>0</v>
      </c>
    </row>
    <row r="223" spans="1:21" hidden="1" outlineLevel="1" x14ac:dyDescent="0.35">
      <c r="A223" s="29"/>
      <c r="B223" s="7" t="s">
        <v>14</v>
      </c>
      <c r="C223" s="8" t="s">
        <v>10</v>
      </c>
      <c r="D223" s="5">
        <f>D221</f>
        <v>0</v>
      </c>
      <c r="E223" s="5">
        <f>1/1.18</f>
        <v>0.84745762711864414</v>
      </c>
      <c r="F223" s="5">
        <f t="shared" si="58"/>
        <v>0</v>
      </c>
      <c r="G223" s="5"/>
      <c r="H223" s="5">
        <f t="shared" si="59"/>
        <v>0</v>
      </c>
      <c r="I223" s="5"/>
      <c r="J223" s="5"/>
      <c r="K223" s="5">
        <f t="shared" si="57"/>
        <v>0</v>
      </c>
      <c r="L223">
        <f>VLOOKUP($B223,[1]ბიუჯეტი!$B$59:$K$464,3,FALSE)</f>
        <v>0</v>
      </c>
      <c r="M223" s="53">
        <f t="shared" si="52"/>
        <v>0</v>
      </c>
      <c r="N223">
        <f>VLOOKUP($B223,[1]ბიუჯეტი!$B$59:$K$464,4,FALSE)</f>
        <v>0.84745762711864414</v>
      </c>
      <c r="O223" s="53">
        <f t="shared" si="53"/>
        <v>0</v>
      </c>
      <c r="P223">
        <f>VLOOKUP($B223,[1]ბიუჯეტი!$B$59:$K$464,6,FALSE)</f>
        <v>0</v>
      </c>
      <c r="Q223" s="53">
        <f t="shared" si="54"/>
        <v>0</v>
      </c>
      <c r="R223">
        <f>VLOOKUP($B223,[1]ბიუჯეტი!$B$59:$K$464,8,FALSE)</f>
        <v>0</v>
      </c>
      <c r="S223" s="53">
        <f t="shared" si="55"/>
        <v>0</v>
      </c>
      <c r="T223">
        <f>VLOOKUP($B223,[1]ბიუჯეტი!$B$59:$K$464,10,FALSE)</f>
        <v>0</v>
      </c>
      <c r="U223" s="53">
        <f t="shared" si="56"/>
        <v>0</v>
      </c>
    </row>
    <row r="224" spans="1:21" hidden="1" outlineLevel="1" x14ac:dyDescent="0.35">
      <c r="A224" s="29">
        <v>4</v>
      </c>
      <c r="B224" s="30" t="s">
        <v>81</v>
      </c>
      <c r="C224" s="8" t="s">
        <v>10</v>
      </c>
      <c r="D224" s="5">
        <f>D214</f>
        <v>795.66</v>
      </c>
      <c r="E224" s="5"/>
      <c r="F224" s="5">
        <f t="shared" si="58"/>
        <v>0</v>
      </c>
      <c r="G224" s="5">
        <f>8*1.275</f>
        <v>10.199999999999999</v>
      </c>
      <c r="H224" s="5">
        <f t="shared" si="59"/>
        <v>8115.7319999999991</v>
      </c>
      <c r="I224" s="5"/>
      <c r="J224" s="5"/>
      <c r="K224" s="5">
        <f t="shared" si="57"/>
        <v>8115.7319999999991</v>
      </c>
      <c r="L224">
        <f>VLOOKUP($B224,[1]ბიუჯეტი!$B$59:$K$464,3,FALSE)</f>
        <v>849.12300000000016</v>
      </c>
      <c r="M224" s="53">
        <f t="shared" si="52"/>
        <v>-53.463000000000193</v>
      </c>
      <c r="N224">
        <f>VLOOKUP($B224,[1]ბიუჯეტი!$B$59:$K$464,4,FALSE)</f>
        <v>0</v>
      </c>
      <c r="O224" s="53">
        <f t="shared" si="53"/>
        <v>0</v>
      </c>
      <c r="P224">
        <f>VLOOKUP($B224,[1]ბიუჯეტი!$B$59:$K$464,6,FALSE)</f>
        <v>10.199999999999999</v>
      </c>
      <c r="Q224" s="53">
        <f t="shared" si="54"/>
        <v>0</v>
      </c>
      <c r="R224">
        <f>VLOOKUP($B224,[1]ბიუჯეტი!$B$59:$K$464,8,FALSE)</f>
        <v>0</v>
      </c>
      <c r="S224" s="53">
        <f t="shared" si="55"/>
        <v>0</v>
      </c>
      <c r="T224">
        <f>VLOOKUP($B224,[1]ბიუჯეტი!$B$59:$K$464,10,FALSE)</f>
        <v>8661.0546000000013</v>
      </c>
      <c r="U224" s="53">
        <f t="shared" si="56"/>
        <v>-545.32260000000224</v>
      </c>
    </row>
    <row r="225" spans="1:21" hidden="1" outlineLevel="1" x14ac:dyDescent="0.35">
      <c r="A225" s="29"/>
      <c r="B225" s="7" t="s">
        <v>78</v>
      </c>
      <c r="C225" s="8" t="s">
        <v>79</v>
      </c>
      <c r="D225" s="5">
        <f>D224*0.2*2</f>
        <v>318.26400000000001</v>
      </c>
      <c r="E225" s="5">
        <f>23.5/1.18</f>
        <v>19.915254237288135</v>
      </c>
      <c r="F225" s="5">
        <f t="shared" si="58"/>
        <v>6338.3084745762708</v>
      </c>
      <c r="G225" s="5"/>
      <c r="H225" s="5">
        <f t="shared" si="59"/>
        <v>0</v>
      </c>
      <c r="I225" s="5"/>
      <c r="J225" s="5"/>
      <c r="K225" s="5">
        <f t="shared" si="57"/>
        <v>6338.3084745762708</v>
      </c>
      <c r="L225">
        <f>VLOOKUP($B225,[1]ბიუჯეტი!$B$59:$K$464,3,FALSE)</f>
        <v>0</v>
      </c>
      <c r="M225" s="53">
        <f t="shared" si="52"/>
        <v>318.26400000000001</v>
      </c>
      <c r="N225">
        <f>VLOOKUP($B225,[1]ბიუჯეტი!$B$59:$K$464,4,FALSE)</f>
        <v>19.915254237288135</v>
      </c>
      <c r="O225" s="53">
        <f t="shared" si="53"/>
        <v>0</v>
      </c>
      <c r="P225">
        <f>VLOOKUP($B225,[1]ბიუჯეტი!$B$59:$K$464,6,FALSE)</f>
        <v>0</v>
      </c>
      <c r="Q225" s="53">
        <f t="shared" si="54"/>
        <v>0</v>
      </c>
      <c r="R225">
        <f>VLOOKUP($B225,[1]ბიუჯეტი!$B$59:$K$464,8,FALSE)</f>
        <v>0</v>
      </c>
      <c r="S225" s="53">
        <f t="shared" si="55"/>
        <v>0</v>
      </c>
      <c r="T225">
        <f>VLOOKUP($B225,[1]ბიუჯეტი!$B$59:$K$464,10,FALSE)</f>
        <v>0</v>
      </c>
      <c r="U225" s="53">
        <f t="shared" si="56"/>
        <v>6338.3084745762708</v>
      </c>
    </row>
    <row r="226" spans="1:21" hidden="1" outlineLevel="1" x14ac:dyDescent="0.35">
      <c r="A226" s="29"/>
      <c r="B226" s="7" t="s">
        <v>14</v>
      </c>
      <c r="C226" s="8" t="s">
        <v>10</v>
      </c>
      <c r="D226" s="5">
        <f>D224</f>
        <v>795.66</v>
      </c>
      <c r="E226" s="5">
        <f>1/1.18</f>
        <v>0.84745762711864414</v>
      </c>
      <c r="F226" s="5">
        <f t="shared" si="58"/>
        <v>674.28813559322032</v>
      </c>
      <c r="G226" s="5"/>
      <c r="H226" s="5">
        <f t="shared" si="59"/>
        <v>0</v>
      </c>
      <c r="I226" s="5"/>
      <c r="J226" s="5"/>
      <c r="K226" s="5">
        <f t="shared" si="57"/>
        <v>674.28813559322032</v>
      </c>
      <c r="L226">
        <f>VLOOKUP($B226,[1]ბიუჯეტი!$B$59:$K$464,3,FALSE)</f>
        <v>0</v>
      </c>
      <c r="M226" s="53">
        <f t="shared" si="52"/>
        <v>795.66</v>
      </c>
      <c r="N226">
        <f>VLOOKUP($B226,[1]ბიუჯეტი!$B$59:$K$464,4,FALSE)</f>
        <v>0.84745762711864414</v>
      </c>
      <c r="O226" s="53">
        <f t="shared" si="53"/>
        <v>0</v>
      </c>
      <c r="P226">
        <f>VLOOKUP($B226,[1]ბიუჯეტი!$B$59:$K$464,6,FALSE)</f>
        <v>0</v>
      </c>
      <c r="Q226" s="53">
        <f t="shared" si="54"/>
        <v>0</v>
      </c>
      <c r="R226">
        <f>VLOOKUP($B226,[1]ბიუჯეტი!$B$59:$K$464,8,FALSE)</f>
        <v>0</v>
      </c>
      <c r="S226" s="53">
        <f t="shared" si="55"/>
        <v>0</v>
      </c>
      <c r="T226">
        <f>VLOOKUP($B226,[1]ბიუჯეტი!$B$59:$K$464,10,FALSE)</f>
        <v>0</v>
      </c>
      <c r="U226" s="53">
        <f t="shared" si="56"/>
        <v>674.28813559322032</v>
      </c>
    </row>
    <row r="227" spans="1:21" collapsed="1" x14ac:dyDescent="0.35">
      <c r="A227" s="29">
        <v>27</v>
      </c>
      <c r="B227" s="30" t="s">
        <v>82</v>
      </c>
      <c r="C227" s="8" t="s">
        <v>10</v>
      </c>
      <c r="D227" s="5">
        <f>SUM(D228,D234)</f>
        <v>590.54300000000001</v>
      </c>
      <c r="E227" s="5">
        <f>SUM(F228:F239)/D227</f>
        <v>16.749971308934775</v>
      </c>
      <c r="F227" s="5">
        <f>D227*E227</f>
        <v>9891.5783066922686</v>
      </c>
      <c r="G227" s="5">
        <f>SUM(H228:H239)/D227</f>
        <v>25.104511599917366</v>
      </c>
      <c r="H227" s="5">
        <f>G227*D227</f>
        <v>14825.293593750001</v>
      </c>
      <c r="I227" s="5">
        <v>0</v>
      </c>
      <c r="J227" s="5">
        <v>0</v>
      </c>
      <c r="K227" s="5">
        <f t="shared" si="57"/>
        <v>24716.871900442267</v>
      </c>
      <c r="L227">
        <f>VLOOKUP($B227,[1]ბიუჯეტი!$B$59:$K$464,3,FALSE)</f>
        <v>632.31900000000007</v>
      </c>
      <c r="M227" s="53">
        <f t="shared" si="52"/>
        <v>-41.776000000000067</v>
      </c>
      <c r="N227">
        <f>VLOOKUP($B227,[1]ბიუჯეტი!$B$59:$K$464,4,FALSE)</f>
        <v>16.697351402370728</v>
      </c>
      <c r="O227" s="53">
        <f t="shared" si="53"/>
        <v>5.2619906564046914E-2</v>
      </c>
      <c r="P227">
        <f>VLOOKUP($B227,[1]ბიუჯეტი!$B$59:$K$464,6,FALSE)</f>
        <v>25.02534495049176</v>
      </c>
      <c r="Q227" s="53">
        <f t="shared" si="54"/>
        <v>7.9166649425605584E-2</v>
      </c>
      <c r="R227">
        <f>VLOOKUP($B227,[1]ბიუჯეტი!$B$59:$K$464,8,FALSE)</f>
        <v>0</v>
      </c>
      <c r="S227" s="53">
        <f t="shared" si="55"/>
        <v>0</v>
      </c>
      <c r="T227">
        <f>VLOOKUP($B227,[1]ბიუჯეტი!$B$59:$K$464,10,FALSE)</f>
        <v>26382.053635145661</v>
      </c>
      <c r="U227" s="53">
        <f t="shared" si="56"/>
        <v>-1665.1817347033939</v>
      </c>
    </row>
    <row r="228" spans="1:21" hidden="1" outlineLevel="1" x14ac:dyDescent="0.35">
      <c r="A228" s="29">
        <v>1</v>
      </c>
      <c r="B228" s="30" t="s">
        <v>83</v>
      </c>
      <c r="C228" s="8" t="s">
        <v>10</v>
      </c>
      <c r="D228" s="5">
        <f>სამუშაო!H33</f>
        <v>98.125999999999991</v>
      </c>
      <c r="E228" s="5"/>
      <c r="F228" s="5">
        <f t="shared" ref="F228:F255" si="60">D228*E228</f>
        <v>0</v>
      </c>
      <c r="G228" s="5">
        <f>1.5*1.275*12.5</f>
        <v>23.90625</v>
      </c>
      <c r="H228" s="5">
        <f>G228*D228</f>
        <v>2345.8246875</v>
      </c>
      <c r="I228" s="5"/>
      <c r="J228" s="5"/>
      <c r="K228" s="5">
        <f t="shared" si="57"/>
        <v>2345.8246875</v>
      </c>
      <c r="L228">
        <f>VLOOKUP($B228,[1]ბიუჯეტი!$B$59:$K$464,3,FALSE)</f>
        <v>139.90200000000002</v>
      </c>
      <c r="M228" s="53">
        <f t="shared" si="52"/>
        <v>-41.776000000000025</v>
      </c>
      <c r="N228">
        <f>VLOOKUP($B228,[1]ბიუჯეტი!$B$59:$K$464,4,FALSE)</f>
        <v>0</v>
      </c>
      <c r="O228" s="53">
        <f t="shared" si="53"/>
        <v>0</v>
      </c>
      <c r="P228">
        <f>VLOOKUP($B228,[1]ბიუჯეტი!$B$59:$K$464,6,FALSE)</f>
        <v>23.90625</v>
      </c>
      <c r="Q228" s="53">
        <f t="shared" si="54"/>
        <v>0</v>
      </c>
      <c r="R228">
        <f>VLOOKUP($B228,[1]ბიუჯეტი!$B$59:$K$464,8,FALSE)</f>
        <v>0</v>
      </c>
      <c r="S228" s="53">
        <f t="shared" si="55"/>
        <v>0</v>
      </c>
      <c r="T228">
        <f>VLOOKUP($B228,[1]ბიუჯეტი!$B$59:$K$464,10,FALSE)</f>
        <v>3344.5321875000004</v>
      </c>
      <c r="U228" s="53">
        <f t="shared" si="56"/>
        <v>-998.70750000000044</v>
      </c>
    </row>
    <row r="229" spans="1:21" hidden="1" outlineLevel="1" x14ac:dyDescent="0.35">
      <c r="A229" s="29"/>
      <c r="B229" s="7" t="s">
        <v>84</v>
      </c>
      <c r="C229" s="8" t="s">
        <v>49</v>
      </c>
      <c r="D229" s="5">
        <f>D228*13</f>
        <v>1275.6379999999999</v>
      </c>
      <c r="E229" s="5">
        <f>1.05/1.18</f>
        <v>0.88983050847457634</v>
      </c>
      <c r="F229" s="5">
        <f t="shared" si="60"/>
        <v>1135.1016101694916</v>
      </c>
      <c r="G229" s="5"/>
      <c r="H229" s="5"/>
      <c r="I229" s="5"/>
      <c r="J229" s="5"/>
      <c r="K229" s="5">
        <f t="shared" si="57"/>
        <v>1135.1016101694916</v>
      </c>
      <c r="L229">
        <f>VLOOKUP($B229,[1]ბიუჯეტი!$B$59:$K$464,3,FALSE)</f>
        <v>1818.7260000000001</v>
      </c>
      <c r="M229" s="53">
        <f t="shared" si="52"/>
        <v>-543.08800000000019</v>
      </c>
      <c r="N229">
        <f>VLOOKUP($B229,[1]ბიუჯეტი!$B$59:$K$464,4,FALSE)</f>
        <v>0.88983050847457634</v>
      </c>
      <c r="O229" s="53">
        <f t="shared" si="53"/>
        <v>0</v>
      </c>
      <c r="P229">
        <f>VLOOKUP($B229,[1]ბიუჯეტი!$B$59:$K$464,6,FALSE)</f>
        <v>0</v>
      </c>
      <c r="Q229" s="53">
        <f t="shared" si="54"/>
        <v>0</v>
      </c>
      <c r="R229">
        <f>VLOOKUP($B229,[1]ბიუჯეტი!$B$59:$K$464,8,FALSE)</f>
        <v>0</v>
      </c>
      <c r="S229" s="53">
        <f t="shared" si="55"/>
        <v>0</v>
      </c>
      <c r="T229">
        <f>VLOOKUP($B229,[1]ბიუჯეტი!$B$59:$K$464,10,FALSE)</f>
        <v>1618.3578813559325</v>
      </c>
      <c r="U229" s="53">
        <f t="shared" si="56"/>
        <v>-483.25627118644093</v>
      </c>
    </row>
    <row r="230" spans="1:21" hidden="1" outlineLevel="1" x14ac:dyDescent="0.35">
      <c r="A230" s="29"/>
      <c r="B230" s="7" t="s">
        <v>208</v>
      </c>
      <c r="C230" s="8" t="s">
        <v>40</v>
      </c>
      <c r="D230" s="5">
        <f>1*10</f>
        <v>10</v>
      </c>
      <c r="E230" s="5">
        <f>15/1.18</f>
        <v>12.711864406779661</v>
      </c>
      <c r="F230" s="5">
        <f t="shared" si="60"/>
        <v>127.11864406779661</v>
      </c>
      <c r="G230" s="5">
        <f>15*1.275</f>
        <v>19.125</v>
      </c>
      <c r="H230" s="5">
        <f t="shared" ref="H230" si="61">D230*G230</f>
        <v>191.25</v>
      </c>
      <c r="I230" s="5"/>
      <c r="J230" s="5"/>
      <c r="K230" s="5">
        <f t="shared" si="57"/>
        <v>318.36864406779659</v>
      </c>
      <c r="L230">
        <f>VLOOKUP($B230,[1]ბიუჯეტი!$B$59:$K$464,3,FALSE)</f>
        <v>0</v>
      </c>
      <c r="M230" s="53">
        <f t="shared" si="52"/>
        <v>10</v>
      </c>
      <c r="N230">
        <f>VLOOKUP($B230,[1]ბიუჯეტი!$B$59:$K$464,4,FALSE)</f>
        <v>31.0911491525424</v>
      </c>
      <c r="O230" s="53">
        <f t="shared" si="53"/>
        <v>-18.379284745762739</v>
      </c>
      <c r="P230">
        <f>VLOOKUP($B230,[1]ბიუჯეტი!$B$59:$K$464,6,FALSE)</f>
        <v>19.125</v>
      </c>
      <c r="Q230" s="53">
        <f t="shared" si="54"/>
        <v>0</v>
      </c>
      <c r="R230">
        <f>VLOOKUP($B230,[1]ბიუჯეტი!$B$59:$K$464,8,FALSE)</f>
        <v>0</v>
      </c>
      <c r="S230" s="53">
        <f t="shared" si="55"/>
        <v>0</v>
      </c>
      <c r="T230">
        <f>VLOOKUP($B230,[1]ბიუჯეტი!$B$59:$K$464,10,FALSE)</f>
        <v>0</v>
      </c>
      <c r="U230" s="53">
        <f t="shared" si="56"/>
        <v>318.36864406779659</v>
      </c>
    </row>
    <row r="231" spans="1:21" hidden="1" outlineLevel="1" x14ac:dyDescent="0.35">
      <c r="A231" s="29"/>
      <c r="B231" s="7" t="s">
        <v>50</v>
      </c>
      <c r="C231" s="8" t="s">
        <v>9</v>
      </c>
      <c r="D231" s="5">
        <f>0.03*D228*1.05</f>
        <v>3.0909689999999994</v>
      </c>
      <c r="E231" s="5">
        <f>65/1.18</f>
        <v>55.084745762711869</v>
      </c>
      <c r="F231" s="5">
        <f t="shared" si="60"/>
        <v>170.2652415254237</v>
      </c>
      <c r="G231" s="5"/>
      <c r="H231" s="5"/>
      <c r="I231" s="5"/>
      <c r="J231" s="5"/>
      <c r="K231" s="5">
        <f t="shared" si="57"/>
        <v>170.2652415254237</v>
      </c>
      <c r="L231">
        <f>VLOOKUP($B231,[1]ბიუჯეტი!$B$59:$K$464,3,FALSE)</f>
        <v>0</v>
      </c>
      <c r="M231" s="53">
        <f t="shared" si="52"/>
        <v>3.0909689999999994</v>
      </c>
      <c r="N231">
        <f>VLOOKUP($B231,[1]ბიუჯეტი!$B$59:$K$464,4,FALSE)</f>
        <v>55.084745762711869</v>
      </c>
      <c r="O231" s="53">
        <f t="shared" si="53"/>
        <v>0</v>
      </c>
      <c r="P231">
        <f>VLOOKUP($B231,[1]ბიუჯეტი!$B$59:$K$464,6,FALSE)</f>
        <v>0</v>
      </c>
      <c r="Q231" s="53">
        <f t="shared" si="54"/>
        <v>0</v>
      </c>
      <c r="R231">
        <f>VLOOKUP($B231,[1]ბიუჯეტი!$B$59:$K$464,8,FALSE)</f>
        <v>0</v>
      </c>
      <c r="S231" s="53">
        <f t="shared" si="55"/>
        <v>0</v>
      </c>
      <c r="T231">
        <f>VLOOKUP($B231,[1]ბიუჯეტი!$B$59:$K$464,10,FALSE)</f>
        <v>0</v>
      </c>
      <c r="U231" s="53">
        <f t="shared" si="56"/>
        <v>170.2652415254237</v>
      </c>
    </row>
    <row r="232" spans="1:21" hidden="1" outlineLevel="1" x14ac:dyDescent="0.35">
      <c r="A232" s="29"/>
      <c r="B232" s="7" t="s">
        <v>51</v>
      </c>
      <c r="C232" s="8" t="s">
        <v>12</v>
      </c>
      <c r="D232" s="5">
        <f>D231/4*1.05</f>
        <v>0.81137936249999987</v>
      </c>
      <c r="E232" s="5">
        <f>281.5/1.18</f>
        <v>238.55932203389833</v>
      </c>
      <c r="F232" s="5">
        <f t="shared" si="60"/>
        <v>193.56211063029659</v>
      </c>
      <c r="G232" s="5"/>
      <c r="H232" s="5">
        <f>D232*G232</f>
        <v>0</v>
      </c>
      <c r="I232" s="5"/>
      <c r="J232" s="5"/>
      <c r="K232" s="5">
        <f t="shared" si="57"/>
        <v>193.56211063029659</v>
      </c>
      <c r="L232">
        <f>VLOOKUP($B232,[1]ბიუჯეტი!$B$59:$K$464,3,FALSE)</f>
        <v>0</v>
      </c>
      <c r="M232" s="53">
        <f t="shared" si="52"/>
        <v>0.81137936249999987</v>
      </c>
      <c r="N232">
        <f>VLOOKUP($B232,[1]ბიუჯეტი!$B$59:$K$464,4,FALSE)</f>
        <v>238.55932203389833</v>
      </c>
      <c r="O232" s="53">
        <f t="shared" si="53"/>
        <v>0</v>
      </c>
      <c r="P232">
        <f>VLOOKUP($B232,[1]ბიუჯეტი!$B$59:$K$464,6,FALSE)</f>
        <v>0</v>
      </c>
      <c r="Q232" s="53">
        <f t="shared" si="54"/>
        <v>0</v>
      </c>
      <c r="R232">
        <f>VLOOKUP($B232,[1]ბიუჯეტი!$B$59:$K$464,8,FALSE)</f>
        <v>0</v>
      </c>
      <c r="S232" s="53">
        <f t="shared" si="55"/>
        <v>0</v>
      </c>
      <c r="T232">
        <f>VLOOKUP($B232,[1]ბიუჯეტი!$B$59:$K$464,10,FALSE)</f>
        <v>0</v>
      </c>
      <c r="U232" s="53">
        <f t="shared" si="56"/>
        <v>193.56211063029659</v>
      </c>
    </row>
    <row r="233" spans="1:21" hidden="1" outlineLevel="1" x14ac:dyDescent="0.35">
      <c r="A233" s="29"/>
      <c r="B233" s="7" t="s">
        <v>14</v>
      </c>
      <c r="C233" s="8" t="s">
        <v>10</v>
      </c>
      <c r="D233" s="5">
        <f>D228</f>
        <v>98.125999999999991</v>
      </c>
      <c r="E233" s="5">
        <f>0.8/1.18</f>
        <v>0.67796610169491534</v>
      </c>
      <c r="F233" s="5">
        <f t="shared" si="60"/>
        <v>66.526101694915255</v>
      </c>
      <c r="G233" s="5"/>
      <c r="H233" s="5">
        <f>D233*G233</f>
        <v>0</v>
      </c>
      <c r="I233" s="5"/>
      <c r="J233" s="5"/>
      <c r="K233" s="5">
        <f t="shared" si="57"/>
        <v>66.526101694915255</v>
      </c>
      <c r="L233">
        <f>VLOOKUP($B233,[1]ბიუჯეტი!$B$59:$K$464,3,FALSE)</f>
        <v>0</v>
      </c>
      <c r="M233" s="53">
        <f t="shared" si="52"/>
        <v>98.125999999999991</v>
      </c>
      <c r="N233">
        <f>VLOOKUP($B233,[1]ბიუჯეტი!$B$59:$K$464,4,FALSE)</f>
        <v>0.84745762711864414</v>
      </c>
      <c r="O233" s="53">
        <f t="shared" si="53"/>
        <v>-0.16949152542372881</v>
      </c>
      <c r="P233">
        <f>VLOOKUP($B233,[1]ბიუჯეტი!$B$59:$K$464,6,FALSE)</f>
        <v>0</v>
      </c>
      <c r="Q233" s="53">
        <f t="shared" si="54"/>
        <v>0</v>
      </c>
      <c r="R233">
        <f>VLOOKUP($B233,[1]ბიუჯეტი!$B$59:$K$464,8,FALSE)</f>
        <v>0</v>
      </c>
      <c r="S233" s="53">
        <f t="shared" si="55"/>
        <v>0</v>
      </c>
      <c r="T233">
        <f>VLOOKUP($B233,[1]ბიუჯეტი!$B$59:$K$464,10,FALSE)</f>
        <v>0</v>
      </c>
      <c r="U233" s="53">
        <f t="shared" si="56"/>
        <v>66.526101694915255</v>
      </c>
    </row>
    <row r="234" spans="1:21" hidden="1" outlineLevel="1" x14ac:dyDescent="0.35">
      <c r="A234" s="29">
        <v>2</v>
      </c>
      <c r="B234" s="30" t="s">
        <v>187</v>
      </c>
      <c r="C234" s="8" t="s">
        <v>10</v>
      </c>
      <c r="D234" s="5">
        <f>სამუშაო!H34+სამუშაო!H35+სამუშაო!H36</f>
        <v>492.41700000000003</v>
      </c>
      <c r="E234" s="5"/>
      <c r="F234" s="5">
        <f t="shared" si="60"/>
        <v>0</v>
      </c>
      <c r="G234" s="5">
        <f>1.5*1.275*12.5</f>
        <v>23.90625</v>
      </c>
      <c r="H234" s="5">
        <f>G234*D234</f>
        <v>11771.84390625</v>
      </c>
      <c r="I234" s="5"/>
      <c r="J234" s="5"/>
      <c r="K234" s="5">
        <f t="shared" si="57"/>
        <v>11771.84390625</v>
      </c>
      <c r="L234">
        <f>VLOOKUP($B234,[1]ბიუჯეტი!$B$59:$K$464,3,FALSE)</f>
        <v>492.41700000000003</v>
      </c>
      <c r="M234" s="53">
        <f t="shared" si="52"/>
        <v>0</v>
      </c>
      <c r="N234">
        <f>VLOOKUP($B234,[1]ბიუჯეტი!$B$59:$K$464,4,FALSE)</f>
        <v>0</v>
      </c>
      <c r="O234" s="53">
        <f t="shared" si="53"/>
        <v>0</v>
      </c>
      <c r="P234">
        <f>VLOOKUP($B234,[1]ბიუჯეტი!$B$59:$K$464,6,FALSE)</f>
        <v>23.90625</v>
      </c>
      <c r="Q234" s="53">
        <f t="shared" si="54"/>
        <v>0</v>
      </c>
      <c r="R234">
        <f>VLOOKUP($B234,[1]ბიუჯეტი!$B$59:$K$464,8,FALSE)</f>
        <v>0</v>
      </c>
      <c r="S234" s="53">
        <f t="shared" si="55"/>
        <v>0</v>
      </c>
      <c r="T234">
        <f>VLOOKUP($B234,[1]ბიუჯეტი!$B$59:$K$464,10,FALSE)</f>
        <v>11771.84390625</v>
      </c>
      <c r="U234" s="53">
        <f t="shared" si="56"/>
        <v>0</v>
      </c>
    </row>
    <row r="235" spans="1:21" hidden="1" outlineLevel="1" x14ac:dyDescent="0.35">
      <c r="A235" s="29"/>
      <c r="B235" s="7" t="s">
        <v>84</v>
      </c>
      <c r="C235" s="8" t="s">
        <v>49</v>
      </c>
      <c r="D235" s="5">
        <f>D234*13</f>
        <v>6401.4210000000003</v>
      </c>
      <c r="E235" s="5">
        <f>1.05/1.18</f>
        <v>0.88983050847457634</v>
      </c>
      <c r="F235" s="5">
        <f t="shared" si="60"/>
        <v>5696.179703389831</v>
      </c>
      <c r="G235" s="5"/>
      <c r="H235" s="5"/>
      <c r="I235" s="5"/>
      <c r="J235" s="5"/>
      <c r="K235" s="5">
        <f t="shared" si="57"/>
        <v>5696.179703389831</v>
      </c>
      <c r="L235">
        <f>VLOOKUP($B235,[1]ბიუჯეტი!$B$59:$K$464,3,FALSE)</f>
        <v>1818.7260000000001</v>
      </c>
      <c r="M235" s="53">
        <f t="shared" si="52"/>
        <v>4582.6949999999997</v>
      </c>
      <c r="N235">
        <f>VLOOKUP($B235,[1]ბიუჯეტი!$B$59:$K$464,4,FALSE)</f>
        <v>0.88983050847457634</v>
      </c>
      <c r="O235" s="53">
        <f t="shared" si="53"/>
        <v>0</v>
      </c>
      <c r="P235">
        <f>VLOOKUP($B235,[1]ბიუჯეტი!$B$59:$K$464,6,FALSE)</f>
        <v>0</v>
      </c>
      <c r="Q235" s="53">
        <f t="shared" si="54"/>
        <v>0</v>
      </c>
      <c r="R235">
        <f>VLOOKUP($B235,[1]ბიუჯეტი!$B$59:$K$464,8,FALSE)</f>
        <v>0</v>
      </c>
      <c r="S235" s="53">
        <f t="shared" si="55"/>
        <v>0</v>
      </c>
      <c r="T235">
        <f>VLOOKUP($B235,[1]ბიუჯეტი!$B$59:$K$464,10,FALSE)</f>
        <v>1618.3578813559325</v>
      </c>
      <c r="U235" s="53">
        <f t="shared" si="56"/>
        <v>4077.8218220338986</v>
      </c>
    </row>
    <row r="236" spans="1:21" hidden="1" outlineLevel="1" x14ac:dyDescent="0.35">
      <c r="A236" s="29"/>
      <c r="B236" s="7" t="s">
        <v>208</v>
      </c>
      <c r="C236" s="8" t="s">
        <v>40</v>
      </c>
      <c r="D236" s="5">
        <f>1*9*3</f>
        <v>27</v>
      </c>
      <c r="E236" s="5">
        <f>15/1.18</f>
        <v>12.711864406779661</v>
      </c>
      <c r="F236" s="5">
        <f t="shared" si="60"/>
        <v>343.22033898305085</v>
      </c>
      <c r="G236" s="5">
        <f>15*1.275</f>
        <v>19.125</v>
      </c>
      <c r="H236" s="5">
        <f t="shared" ref="H236" si="62">D236*G236</f>
        <v>516.375</v>
      </c>
      <c r="I236" s="5"/>
      <c r="J236" s="5"/>
      <c r="K236" s="5">
        <f t="shared" si="57"/>
        <v>859.59533898305085</v>
      </c>
      <c r="L236">
        <f>VLOOKUP($B236,[1]ბიუჯეტი!$B$59:$K$464,3,FALSE)</f>
        <v>0</v>
      </c>
      <c r="M236" s="53">
        <f t="shared" si="52"/>
        <v>27</v>
      </c>
      <c r="N236">
        <f>VLOOKUP($B236,[1]ბიუჯეტი!$B$59:$K$464,4,FALSE)</f>
        <v>31.0911491525424</v>
      </c>
      <c r="O236" s="53">
        <f t="shared" si="53"/>
        <v>-18.379284745762739</v>
      </c>
      <c r="P236">
        <f>VLOOKUP($B236,[1]ბიუჯეტი!$B$59:$K$464,6,FALSE)</f>
        <v>19.125</v>
      </c>
      <c r="Q236" s="53">
        <f t="shared" si="54"/>
        <v>0</v>
      </c>
      <c r="R236">
        <f>VLOOKUP($B236,[1]ბიუჯეტი!$B$59:$K$464,8,FALSE)</f>
        <v>0</v>
      </c>
      <c r="S236" s="53">
        <f t="shared" si="55"/>
        <v>0</v>
      </c>
      <c r="T236">
        <f>VLOOKUP($B236,[1]ბიუჯეტი!$B$59:$K$464,10,FALSE)</f>
        <v>0</v>
      </c>
      <c r="U236" s="53">
        <f t="shared" si="56"/>
        <v>859.59533898305085</v>
      </c>
    </row>
    <row r="237" spans="1:21" hidden="1" outlineLevel="1" x14ac:dyDescent="0.35">
      <c r="A237" s="29"/>
      <c r="B237" s="7" t="s">
        <v>50</v>
      </c>
      <c r="C237" s="8" t="s">
        <v>9</v>
      </c>
      <c r="D237" s="5">
        <f>0.03*D234*1.05</f>
        <v>15.511135500000002</v>
      </c>
      <c r="E237" s="5">
        <f>65/1.18</f>
        <v>55.084745762711869</v>
      </c>
      <c r="F237" s="5">
        <f t="shared" si="60"/>
        <v>854.42695550847475</v>
      </c>
      <c r="G237" s="5"/>
      <c r="H237" s="5"/>
      <c r="I237" s="5"/>
      <c r="J237" s="5"/>
      <c r="K237" s="5">
        <f t="shared" si="57"/>
        <v>854.42695550847475</v>
      </c>
      <c r="L237">
        <f>VLOOKUP($B237,[1]ბიუჯეტი!$B$59:$K$464,3,FALSE)</f>
        <v>0</v>
      </c>
      <c r="M237" s="53">
        <f t="shared" si="52"/>
        <v>15.511135500000002</v>
      </c>
      <c r="N237">
        <f>VLOOKUP($B237,[1]ბიუჯეტი!$B$59:$K$464,4,FALSE)</f>
        <v>55.084745762711869</v>
      </c>
      <c r="O237" s="53">
        <f t="shared" si="53"/>
        <v>0</v>
      </c>
      <c r="P237">
        <f>VLOOKUP($B237,[1]ბიუჯეტი!$B$59:$K$464,6,FALSE)</f>
        <v>0</v>
      </c>
      <c r="Q237" s="53">
        <f t="shared" si="54"/>
        <v>0</v>
      </c>
      <c r="R237">
        <f>VLOOKUP($B237,[1]ბიუჯეტი!$B$59:$K$464,8,FALSE)</f>
        <v>0</v>
      </c>
      <c r="S237" s="53">
        <f t="shared" si="55"/>
        <v>0</v>
      </c>
      <c r="T237">
        <f>VLOOKUP($B237,[1]ბიუჯეტი!$B$59:$K$464,10,FALSE)</f>
        <v>0</v>
      </c>
      <c r="U237" s="53">
        <f t="shared" si="56"/>
        <v>854.42695550847475</v>
      </c>
    </row>
    <row r="238" spans="1:21" hidden="1" outlineLevel="1" x14ac:dyDescent="0.35">
      <c r="A238" s="29"/>
      <c r="B238" s="7" t="s">
        <v>51</v>
      </c>
      <c r="C238" s="8" t="s">
        <v>12</v>
      </c>
      <c r="D238" s="5">
        <f>D237/4*1.05</f>
        <v>4.0716730687500009</v>
      </c>
      <c r="E238" s="5">
        <f>281.5/1.18</f>
        <v>238.55932203389833</v>
      </c>
      <c r="F238" s="5">
        <f t="shared" si="60"/>
        <v>971.33556682468247</v>
      </c>
      <c r="G238" s="5"/>
      <c r="H238" s="5">
        <f>D238*G238</f>
        <v>0</v>
      </c>
      <c r="I238" s="5"/>
      <c r="J238" s="5"/>
      <c r="K238" s="5">
        <f t="shared" si="57"/>
        <v>971.33556682468247</v>
      </c>
      <c r="L238">
        <f>VLOOKUP($B238,[1]ბიუჯეტი!$B$59:$K$464,3,FALSE)</f>
        <v>0</v>
      </c>
      <c r="M238" s="53">
        <f t="shared" si="52"/>
        <v>4.0716730687500009</v>
      </c>
      <c r="N238">
        <f>VLOOKUP($B238,[1]ბიუჯეტი!$B$59:$K$464,4,FALSE)</f>
        <v>238.55932203389833</v>
      </c>
      <c r="O238" s="53">
        <f t="shared" si="53"/>
        <v>0</v>
      </c>
      <c r="P238">
        <f>VLOOKUP($B238,[1]ბიუჯეტი!$B$59:$K$464,6,FALSE)</f>
        <v>0</v>
      </c>
      <c r="Q238" s="53">
        <f t="shared" si="54"/>
        <v>0</v>
      </c>
      <c r="R238">
        <f>VLOOKUP($B238,[1]ბიუჯეტი!$B$59:$K$464,8,FALSE)</f>
        <v>0</v>
      </c>
      <c r="S238" s="53">
        <f t="shared" si="55"/>
        <v>0</v>
      </c>
      <c r="T238">
        <f>VLOOKUP($B238,[1]ბიუჯეტი!$B$59:$K$464,10,FALSE)</f>
        <v>0</v>
      </c>
      <c r="U238" s="53">
        <f t="shared" si="56"/>
        <v>971.33556682468247</v>
      </c>
    </row>
    <row r="239" spans="1:21" hidden="1" outlineLevel="1" x14ac:dyDescent="0.35">
      <c r="A239" s="29"/>
      <c r="B239" s="7" t="s">
        <v>14</v>
      </c>
      <c r="C239" s="8" t="s">
        <v>10</v>
      </c>
      <c r="D239" s="5">
        <f>D234</f>
        <v>492.41700000000003</v>
      </c>
      <c r="E239" s="5">
        <f>0.8/1.18</f>
        <v>0.67796610169491534</v>
      </c>
      <c r="F239" s="5">
        <f t="shared" si="60"/>
        <v>333.84203389830515</v>
      </c>
      <c r="G239" s="5"/>
      <c r="H239" s="5">
        <f>D239*G239</f>
        <v>0</v>
      </c>
      <c r="I239" s="5"/>
      <c r="J239" s="5"/>
      <c r="K239" s="5">
        <f t="shared" si="57"/>
        <v>333.84203389830515</v>
      </c>
      <c r="L239">
        <f>VLOOKUP($B239,[1]ბიუჯეტი!$B$59:$K$464,3,FALSE)</f>
        <v>0</v>
      </c>
      <c r="M239" s="53">
        <f t="shared" si="52"/>
        <v>492.41700000000003</v>
      </c>
      <c r="N239">
        <f>VLOOKUP($B239,[1]ბიუჯეტი!$B$59:$K$464,4,FALSE)</f>
        <v>0.84745762711864414</v>
      </c>
      <c r="O239" s="53">
        <f t="shared" si="53"/>
        <v>-0.16949152542372881</v>
      </c>
      <c r="P239">
        <f>VLOOKUP($B239,[1]ბიუჯეტი!$B$59:$K$464,6,FALSE)</f>
        <v>0</v>
      </c>
      <c r="Q239" s="53">
        <f t="shared" si="54"/>
        <v>0</v>
      </c>
      <c r="R239">
        <f>VLOOKUP($B239,[1]ბიუჯეტი!$B$59:$K$464,8,FALSE)</f>
        <v>0</v>
      </c>
      <c r="S239" s="53">
        <f t="shared" si="55"/>
        <v>0</v>
      </c>
      <c r="T239">
        <f>VLOOKUP($B239,[1]ბიუჯეტი!$B$59:$K$464,10,FALSE)</f>
        <v>0</v>
      </c>
      <c r="U239" s="53">
        <f t="shared" si="56"/>
        <v>333.84203389830515</v>
      </c>
    </row>
    <row r="240" spans="1:21" collapsed="1" x14ac:dyDescent="0.35">
      <c r="A240" s="55">
        <v>28</v>
      </c>
      <c r="B240" s="56" t="s">
        <v>85</v>
      </c>
      <c r="C240" s="57" t="s">
        <v>10</v>
      </c>
      <c r="D240" s="58">
        <f>SUM(D241,D246,D251)</f>
        <v>384.41160000000002</v>
      </c>
      <c r="E240" s="58">
        <f>SUM(K242:K245,K247:K250,K252:K255)/D240</f>
        <v>15.953519597457628</v>
      </c>
      <c r="F240" s="58">
        <f t="shared" si="60"/>
        <v>6132.7179940900432</v>
      </c>
      <c r="G240" s="58">
        <f>SUM(H241:H255)/D240</f>
        <v>23.90625</v>
      </c>
      <c r="H240" s="58">
        <f>G240*D240</f>
        <v>9189.8398125000003</v>
      </c>
      <c r="I240" s="58">
        <v>0</v>
      </c>
      <c r="J240" s="58">
        <v>0</v>
      </c>
      <c r="K240" s="58">
        <f t="shared" si="57"/>
        <v>15322.557806590044</v>
      </c>
      <c r="L240">
        <f>VLOOKUP($B240,[1]ბიუჯეტი!$B$59:$K$464,3,FALSE)</f>
        <v>467.60309999999998</v>
      </c>
      <c r="M240" s="53">
        <f t="shared" si="52"/>
        <v>-83.191499999999962</v>
      </c>
      <c r="N240">
        <f>VLOOKUP($B240,[1]ბიუჯეტი!$B$59:$K$464,4,FALSE)</f>
        <v>15.953519597457628</v>
      </c>
      <c r="O240" s="53">
        <f t="shared" si="53"/>
        <v>0</v>
      </c>
      <c r="P240">
        <f>VLOOKUP($B240,[1]ბიუჯეტი!$B$59:$K$464,6,FALSE)</f>
        <v>23.90625</v>
      </c>
      <c r="Q240" s="53">
        <f t="shared" si="54"/>
        <v>0</v>
      </c>
      <c r="R240">
        <f>VLOOKUP($B240,[1]ბიუჯეტი!$B$59:$K$464,8,FALSE)</f>
        <v>0</v>
      </c>
      <c r="S240" s="53">
        <f t="shared" si="55"/>
        <v>0</v>
      </c>
      <c r="T240">
        <f>VLOOKUP($B240,[1]ბიუჯეტი!$B$59:$K$464,10,FALSE)</f>
        <v>18638.551829056938</v>
      </c>
      <c r="U240" s="53">
        <f t="shared" si="56"/>
        <v>-3315.9940224668935</v>
      </c>
    </row>
    <row r="241" spans="1:21" hidden="1" outlineLevel="1" x14ac:dyDescent="0.35">
      <c r="A241" s="29">
        <v>2</v>
      </c>
      <c r="B241" s="30" t="s">
        <v>210</v>
      </c>
      <c r="C241" s="8" t="s">
        <v>10</v>
      </c>
      <c r="D241" s="5">
        <v>0</v>
      </c>
      <c r="E241" s="5"/>
      <c r="F241" s="5">
        <f t="shared" si="60"/>
        <v>0</v>
      </c>
      <c r="G241" s="5">
        <f>1.5*1.275*12.5</f>
        <v>23.90625</v>
      </c>
      <c r="H241" s="5">
        <f>G241*D241</f>
        <v>0</v>
      </c>
      <c r="I241" s="5"/>
      <c r="J241" s="5"/>
      <c r="K241" s="5">
        <f t="shared" si="57"/>
        <v>0</v>
      </c>
      <c r="L241">
        <f>VLOOKUP($B241,[1]ბიუჯეტი!$B$59:$K$464,3,FALSE)</f>
        <v>0</v>
      </c>
      <c r="M241" s="53">
        <f t="shared" si="52"/>
        <v>0</v>
      </c>
      <c r="N241">
        <f>VLOOKUP($B241,[1]ბიუჯეტი!$B$59:$K$464,4,FALSE)</f>
        <v>0</v>
      </c>
      <c r="O241" s="53">
        <f t="shared" si="53"/>
        <v>0</v>
      </c>
      <c r="P241">
        <f>VLOOKUP($B241,[1]ბიუჯეტი!$B$59:$K$464,6,FALSE)</f>
        <v>23.90625</v>
      </c>
      <c r="Q241" s="53">
        <f t="shared" si="54"/>
        <v>0</v>
      </c>
      <c r="R241">
        <f>VLOOKUP($B241,[1]ბიუჯეტი!$B$59:$K$464,8,FALSE)</f>
        <v>0</v>
      </c>
      <c r="S241" s="53">
        <f t="shared" si="55"/>
        <v>0</v>
      </c>
      <c r="T241">
        <f>VLOOKUP($B241,[1]ბიუჯეტი!$B$59:$K$464,10,FALSE)</f>
        <v>0</v>
      </c>
      <c r="U241" s="53">
        <f t="shared" si="56"/>
        <v>0</v>
      </c>
    </row>
    <row r="242" spans="1:21" hidden="1" outlineLevel="1" x14ac:dyDescent="0.35">
      <c r="A242" s="29"/>
      <c r="B242" s="7" t="s">
        <v>84</v>
      </c>
      <c r="C242" s="8" t="s">
        <v>49</v>
      </c>
      <c r="D242" s="5">
        <f>D241*13</f>
        <v>0</v>
      </c>
      <c r="E242" s="5">
        <f>1.05/1.18</f>
        <v>0.88983050847457634</v>
      </c>
      <c r="F242" s="5">
        <f t="shared" si="60"/>
        <v>0</v>
      </c>
      <c r="G242" s="5"/>
      <c r="H242" s="5"/>
      <c r="I242" s="5"/>
      <c r="J242" s="5"/>
      <c r="K242" s="5">
        <f t="shared" si="57"/>
        <v>0</v>
      </c>
      <c r="L242">
        <f>VLOOKUP($B242,[1]ბიუჯეტი!$B$59:$K$464,3,FALSE)</f>
        <v>1818.7260000000001</v>
      </c>
      <c r="M242" s="53">
        <f t="shared" si="52"/>
        <v>-1818.7260000000001</v>
      </c>
      <c r="N242">
        <f>VLOOKUP($B242,[1]ბიუჯეტი!$B$59:$K$464,4,FALSE)</f>
        <v>0.88983050847457634</v>
      </c>
      <c r="O242" s="53">
        <f t="shared" si="53"/>
        <v>0</v>
      </c>
      <c r="P242">
        <f>VLOOKUP($B242,[1]ბიუჯეტი!$B$59:$K$464,6,FALSE)</f>
        <v>0</v>
      </c>
      <c r="Q242" s="53">
        <f t="shared" si="54"/>
        <v>0</v>
      </c>
      <c r="R242">
        <f>VLOOKUP($B242,[1]ბიუჯეტი!$B$59:$K$464,8,FALSE)</f>
        <v>0</v>
      </c>
      <c r="S242" s="53">
        <f t="shared" si="55"/>
        <v>0</v>
      </c>
      <c r="T242">
        <f>VLOOKUP($B242,[1]ბიუჯეტი!$B$59:$K$464,10,FALSE)</f>
        <v>1618.3578813559325</v>
      </c>
      <c r="U242" s="53">
        <f t="shared" si="56"/>
        <v>-1618.3578813559325</v>
      </c>
    </row>
    <row r="243" spans="1:21" hidden="1" outlineLevel="1" x14ac:dyDescent="0.35">
      <c r="A243" s="29"/>
      <c r="B243" s="7" t="s">
        <v>50</v>
      </c>
      <c r="C243" s="8" t="s">
        <v>9</v>
      </c>
      <c r="D243" s="5">
        <f>0.03*D241*1.05</f>
        <v>0</v>
      </c>
      <c r="E243" s="5">
        <f>65/1.18</f>
        <v>55.084745762711869</v>
      </c>
      <c r="F243" s="5">
        <f t="shared" si="60"/>
        <v>0</v>
      </c>
      <c r="G243" s="5"/>
      <c r="H243" s="5"/>
      <c r="I243" s="5"/>
      <c r="J243" s="5"/>
      <c r="K243" s="5">
        <f t="shared" si="57"/>
        <v>0</v>
      </c>
      <c r="L243">
        <f>VLOOKUP($B243,[1]ბიუჯეტი!$B$59:$K$464,3,FALSE)</f>
        <v>0</v>
      </c>
      <c r="M243" s="53">
        <f t="shared" si="52"/>
        <v>0</v>
      </c>
      <c r="N243">
        <f>VLOOKUP($B243,[1]ბიუჯეტი!$B$59:$K$464,4,FALSE)</f>
        <v>55.084745762711869</v>
      </c>
      <c r="O243" s="53">
        <f t="shared" si="53"/>
        <v>0</v>
      </c>
      <c r="P243">
        <f>VLOOKUP($B243,[1]ბიუჯეტი!$B$59:$K$464,6,FALSE)</f>
        <v>0</v>
      </c>
      <c r="Q243" s="53">
        <f t="shared" si="54"/>
        <v>0</v>
      </c>
      <c r="R243">
        <f>VLOOKUP($B243,[1]ბიუჯეტი!$B$59:$K$464,8,FALSE)</f>
        <v>0</v>
      </c>
      <c r="S243" s="53">
        <f t="shared" si="55"/>
        <v>0</v>
      </c>
      <c r="T243">
        <f>VLOOKUP($B243,[1]ბიუჯეტი!$B$59:$K$464,10,FALSE)</f>
        <v>0</v>
      </c>
      <c r="U243" s="53">
        <f t="shared" si="56"/>
        <v>0</v>
      </c>
    </row>
    <row r="244" spans="1:21" hidden="1" outlineLevel="1" x14ac:dyDescent="0.35">
      <c r="A244" s="29"/>
      <c r="B244" s="7" t="s">
        <v>51</v>
      </c>
      <c r="C244" s="8" t="s">
        <v>12</v>
      </c>
      <c r="D244" s="5">
        <f>D243/4*1.05</f>
        <v>0</v>
      </c>
      <c r="E244" s="5">
        <f>281.5/1.18</f>
        <v>238.55932203389833</v>
      </c>
      <c r="F244" s="5">
        <f t="shared" si="60"/>
        <v>0</v>
      </c>
      <c r="G244" s="5"/>
      <c r="H244" s="5">
        <f>D244*G244</f>
        <v>0</v>
      </c>
      <c r="I244" s="5"/>
      <c r="J244" s="5"/>
      <c r="K244" s="5">
        <f t="shared" si="57"/>
        <v>0</v>
      </c>
      <c r="L244">
        <f>VLOOKUP($B244,[1]ბიუჯეტი!$B$59:$K$464,3,FALSE)</f>
        <v>0</v>
      </c>
      <c r="M244" s="53">
        <f t="shared" si="52"/>
        <v>0</v>
      </c>
      <c r="N244">
        <f>VLOOKUP($B244,[1]ბიუჯეტი!$B$59:$K$464,4,FALSE)</f>
        <v>238.55932203389833</v>
      </c>
      <c r="O244" s="53">
        <f t="shared" si="53"/>
        <v>0</v>
      </c>
      <c r="P244">
        <f>VLOOKUP($B244,[1]ბიუჯეტი!$B$59:$K$464,6,FALSE)</f>
        <v>0</v>
      </c>
      <c r="Q244" s="53">
        <f t="shared" si="54"/>
        <v>0</v>
      </c>
      <c r="R244">
        <f>VLOOKUP($B244,[1]ბიუჯეტი!$B$59:$K$464,8,FALSE)</f>
        <v>0</v>
      </c>
      <c r="S244" s="53">
        <f t="shared" si="55"/>
        <v>0</v>
      </c>
      <c r="T244">
        <f>VLOOKUP($B244,[1]ბიუჯეტი!$B$59:$K$464,10,FALSE)</f>
        <v>0</v>
      </c>
      <c r="U244" s="53">
        <f t="shared" si="56"/>
        <v>0</v>
      </c>
    </row>
    <row r="245" spans="1:21" hidden="1" outlineLevel="1" x14ac:dyDescent="0.35">
      <c r="A245" s="29"/>
      <c r="B245" s="7" t="s">
        <v>14</v>
      </c>
      <c r="C245" s="8" t="s">
        <v>10</v>
      </c>
      <c r="D245" s="5">
        <f>D241</f>
        <v>0</v>
      </c>
      <c r="E245" s="5">
        <f>0.8/1.18</f>
        <v>0.67796610169491534</v>
      </c>
      <c r="F245" s="5">
        <f t="shared" si="60"/>
        <v>0</v>
      </c>
      <c r="G245" s="5"/>
      <c r="H245" s="5"/>
      <c r="I245" s="5"/>
      <c r="J245" s="5"/>
      <c r="K245" s="5">
        <f t="shared" si="57"/>
        <v>0</v>
      </c>
      <c r="L245">
        <f>VLOOKUP($B245,[1]ბიუჯეტი!$B$59:$K$464,3,FALSE)</f>
        <v>0</v>
      </c>
      <c r="M245" s="53">
        <f t="shared" si="52"/>
        <v>0</v>
      </c>
      <c r="N245">
        <f>VLOOKUP($B245,[1]ბიუჯეტი!$B$59:$K$464,4,FALSE)</f>
        <v>0.84745762711864414</v>
      </c>
      <c r="O245" s="53">
        <f t="shared" si="53"/>
        <v>-0.16949152542372881</v>
      </c>
      <c r="P245">
        <f>VLOOKUP($B245,[1]ბიუჯეტი!$B$59:$K$464,6,FALSE)</f>
        <v>0</v>
      </c>
      <c r="Q245" s="53">
        <f t="shared" si="54"/>
        <v>0</v>
      </c>
      <c r="R245">
        <f>VLOOKUP($B245,[1]ბიუჯეტი!$B$59:$K$464,8,FALSE)</f>
        <v>0</v>
      </c>
      <c r="S245" s="53">
        <f t="shared" si="55"/>
        <v>0</v>
      </c>
      <c r="T245">
        <f>VLOOKUP($B245,[1]ბიუჯეტი!$B$59:$K$464,10,FALSE)</f>
        <v>0</v>
      </c>
      <c r="U245" s="53">
        <f t="shared" si="56"/>
        <v>0</v>
      </c>
    </row>
    <row r="246" spans="1:21" hidden="1" outlineLevel="1" x14ac:dyDescent="0.35">
      <c r="A246" s="29">
        <v>3</v>
      </c>
      <c r="B246" s="30" t="s">
        <v>86</v>
      </c>
      <c r="C246" s="8" t="s">
        <v>10</v>
      </c>
      <c r="D246" s="5">
        <f>სამუშაო!E33+სამუშაო!F33+სამუშაო!G33</f>
        <v>92.88</v>
      </c>
      <c r="E246" s="5"/>
      <c r="F246" s="5">
        <f t="shared" si="60"/>
        <v>0</v>
      </c>
      <c r="G246" s="5">
        <f>1.5*1.275*12.5</f>
        <v>23.90625</v>
      </c>
      <c r="H246" s="5">
        <f>G246*D246</f>
        <v>2220.4124999999999</v>
      </c>
      <c r="I246" s="5"/>
      <c r="J246" s="5"/>
      <c r="K246" s="5">
        <f t="shared" si="57"/>
        <v>2220.4124999999999</v>
      </c>
      <c r="L246">
        <f>VLOOKUP($B246,[1]ბიუჯეტი!$B$59:$K$464,3,FALSE)</f>
        <v>52.410499999999999</v>
      </c>
      <c r="M246" s="53">
        <f t="shared" si="52"/>
        <v>40.469499999999996</v>
      </c>
      <c r="N246">
        <f>VLOOKUP($B246,[1]ბიუჯეტი!$B$59:$K$464,4,FALSE)</f>
        <v>0</v>
      </c>
      <c r="O246" s="53">
        <f t="shared" si="53"/>
        <v>0</v>
      </c>
      <c r="P246">
        <f>VLOOKUP($B246,[1]ბიუჯეტი!$B$59:$K$464,6,FALSE)</f>
        <v>23.90625</v>
      </c>
      <c r="Q246" s="53">
        <f t="shared" si="54"/>
        <v>0</v>
      </c>
      <c r="R246">
        <f>VLOOKUP($B246,[1]ბიუჯეტი!$B$59:$K$464,8,FALSE)</f>
        <v>0</v>
      </c>
      <c r="S246" s="53">
        <f t="shared" si="55"/>
        <v>0</v>
      </c>
      <c r="T246">
        <f>VLOOKUP($B246,[1]ბიუჯეტი!$B$59:$K$464,10,FALSE)</f>
        <v>1252.938515625</v>
      </c>
      <c r="U246" s="53">
        <f t="shared" si="56"/>
        <v>967.47398437499987</v>
      </c>
    </row>
    <row r="247" spans="1:21" hidden="1" outlineLevel="1" x14ac:dyDescent="0.35">
      <c r="A247" s="29"/>
      <c r="B247" s="7" t="s">
        <v>84</v>
      </c>
      <c r="C247" s="8" t="s">
        <v>49</v>
      </c>
      <c r="D247" s="5">
        <f>D246*13</f>
        <v>1207.44</v>
      </c>
      <c r="E247" s="5">
        <f>1.05/1.18</f>
        <v>0.88983050847457634</v>
      </c>
      <c r="F247" s="5">
        <f t="shared" si="60"/>
        <v>1074.4169491525424</v>
      </c>
      <c r="G247" s="5"/>
      <c r="H247" s="5"/>
      <c r="I247" s="5"/>
      <c r="J247" s="5"/>
      <c r="K247" s="5">
        <f t="shared" si="57"/>
        <v>1074.4169491525424</v>
      </c>
      <c r="L247">
        <f>VLOOKUP($B247,[1]ბიუჯეტი!$B$59:$K$464,3,FALSE)</f>
        <v>1818.7260000000001</v>
      </c>
      <c r="M247" s="53">
        <f t="shared" si="52"/>
        <v>-611.28600000000006</v>
      </c>
      <c r="N247">
        <f>VLOOKUP($B247,[1]ბიუჯეტი!$B$59:$K$464,4,FALSE)</f>
        <v>0.88983050847457634</v>
      </c>
      <c r="O247" s="53">
        <f t="shared" si="53"/>
        <v>0</v>
      </c>
      <c r="P247">
        <f>VLOOKUP($B247,[1]ბიუჯეტი!$B$59:$K$464,6,FALSE)</f>
        <v>0</v>
      </c>
      <c r="Q247" s="53">
        <f t="shared" si="54"/>
        <v>0</v>
      </c>
      <c r="R247">
        <f>VLOOKUP($B247,[1]ბიუჯეტი!$B$59:$K$464,8,FALSE)</f>
        <v>0</v>
      </c>
      <c r="S247" s="53">
        <f t="shared" si="55"/>
        <v>0</v>
      </c>
      <c r="T247">
        <f>VLOOKUP($B247,[1]ბიუჯეტი!$B$59:$K$464,10,FALSE)</f>
        <v>1618.3578813559325</v>
      </c>
      <c r="U247" s="53">
        <f t="shared" si="56"/>
        <v>-543.94093220339005</v>
      </c>
    </row>
    <row r="248" spans="1:21" hidden="1" outlineLevel="1" x14ac:dyDescent="0.35">
      <c r="A248" s="29"/>
      <c r="B248" s="7" t="s">
        <v>50</v>
      </c>
      <c r="C248" s="8" t="s">
        <v>9</v>
      </c>
      <c r="D248" s="5">
        <f>0.03*D246*1.05</f>
        <v>2.9257199999999997</v>
      </c>
      <c r="E248" s="5">
        <f>65/1.18</f>
        <v>55.084745762711869</v>
      </c>
      <c r="F248" s="5">
        <f t="shared" si="60"/>
        <v>161.16254237288135</v>
      </c>
      <c r="G248" s="5"/>
      <c r="H248" s="5"/>
      <c r="I248" s="5"/>
      <c r="J248" s="5"/>
      <c r="K248" s="5">
        <f t="shared" si="57"/>
        <v>161.16254237288135</v>
      </c>
      <c r="L248">
        <f>VLOOKUP($B248,[1]ბიუჯეტი!$B$59:$K$464,3,FALSE)</f>
        <v>0</v>
      </c>
      <c r="M248" s="53">
        <f t="shared" si="52"/>
        <v>2.9257199999999997</v>
      </c>
      <c r="N248">
        <f>VLOOKUP($B248,[1]ბიუჯეტი!$B$59:$K$464,4,FALSE)</f>
        <v>55.084745762711869</v>
      </c>
      <c r="O248" s="53">
        <f t="shared" si="53"/>
        <v>0</v>
      </c>
      <c r="P248">
        <f>VLOOKUP($B248,[1]ბიუჯეტი!$B$59:$K$464,6,FALSE)</f>
        <v>0</v>
      </c>
      <c r="Q248" s="53">
        <f t="shared" si="54"/>
        <v>0</v>
      </c>
      <c r="R248">
        <f>VLOOKUP($B248,[1]ბიუჯეტი!$B$59:$K$464,8,FALSE)</f>
        <v>0</v>
      </c>
      <c r="S248" s="53">
        <f t="shared" si="55"/>
        <v>0</v>
      </c>
      <c r="T248">
        <f>VLOOKUP($B248,[1]ბიუჯეტი!$B$59:$K$464,10,FALSE)</f>
        <v>0</v>
      </c>
      <c r="U248" s="53">
        <f t="shared" si="56"/>
        <v>161.16254237288135</v>
      </c>
    </row>
    <row r="249" spans="1:21" hidden="1" outlineLevel="1" x14ac:dyDescent="0.35">
      <c r="A249" s="29"/>
      <c r="B249" s="7" t="s">
        <v>51</v>
      </c>
      <c r="C249" s="8" t="s">
        <v>12</v>
      </c>
      <c r="D249" s="5">
        <f>D248/4*1.05</f>
        <v>0.76800149999999989</v>
      </c>
      <c r="E249" s="5">
        <f>281.5/1.18</f>
        <v>238.55932203389833</v>
      </c>
      <c r="F249" s="5">
        <f t="shared" si="60"/>
        <v>183.21391716101695</v>
      </c>
      <c r="G249" s="5"/>
      <c r="H249" s="5">
        <f>D249*G249</f>
        <v>0</v>
      </c>
      <c r="I249" s="5"/>
      <c r="J249" s="5"/>
      <c r="K249" s="5">
        <f t="shared" si="57"/>
        <v>183.21391716101695</v>
      </c>
      <c r="L249">
        <f>VLOOKUP($B249,[1]ბიუჯეტი!$B$59:$K$464,3,FALSE)</f>
        <v>0</v>
      </c>
      <c r="M249" s="53">
        <f t="shared" si="52"/>
        <v>0.76800149999999989</v>
      </c>
      <c r="N249">
        <f>VLOOKUP($B249,[1]ბიუჯეტი!$B$59:$K$464,4,FALSE)</f>
        <v>238.55932203389833</v>
      </c>
      <c r="O249" s="53">
        <f t="shared" si="53"/>
        <v>0</v>
      </c>
      <c r="P249">
        <f>VLOOKUP($B249,[1]ბიუჯეტი!$B$59:$K$464,6,FALSE)</f>
        <v>0</v>
      </c>
      <c r="Q249" s="53">
        <f t="shared" si="54"/>
        <v>0</v>
      </c>
      <c r="R249">
        <f>VLOOKUP($B249,[1]ბიუჯეტი!$B$59:$K$464,8,FALSE)</f>
        <v>0</v>
      </c>
      <c r="S249" s="53">
        <f t="shared" si="55"/>
        <v>0</v>
      </c>
      <c r="T249">
        <f>VLOOKUP($B249,[1]ბიუჯეტი!$B$59:$K$464,10,FALSE)</f>
        <v>0</v>
      </c>
      <c r="U249" s="53">
        <f t="shared" si="56"/>
        <v>183.21391716101695</v>
      </c>
    </row>
    <row r="250" spans="1:21" hidden="1" outlineLevel="1" x14ac:dyDescent="0.35">
      <c r="A250" s="29"/>
      <c r="B250" s="7" t="s">
        <v>14</v>
      </c>
      <c r="C250" s="8" t="s">
        <v>10</v>
      </c>
      <c r="D250" s="5">
        <f>D246</f>
        <v>92.88</v>
      </c>
      <c r="E250" s="5">
        <f>0.8/1.18</f>
        <v>0.67796610169491534</v>
      </c>
      <c r="F250" s="5">
        <f t="shared" si="60"/>
        <v>62.969491525423734</v>
      </c>
      <c r="G250" s="5"/>
      <c r="H250" s="5"/>
      <c r="I250" s="5"/>
      <c r="J250" s="5"/>
      <c r="K250" s="5">
        <f t="shared" si="57"/>
        <v>62.969491525423734</v>
      </c>
      <c r="L250">
        <f>VLOOKUP($B250,[1]ბიუჯეტი!$B$59:$K$464,3,FALSE)</f>
        <v>0</v>
      </c>
      <c r="M250" s="53">
        <f t="shared" si="52"/>
        <v>92.88</v>
      </c>
      <c r="N250">
        <f>VLOOKUP($B250,[1]ბიუჯეტი!$B$59:$K$464,4,FALSE)</f>
        <v>0.84745762711864414</v>
      </c>
      <c r="O250" s="53">
        <f t="shared" si="53"/>
        <v>-0.16949152542372881</v>
      </c>
      <c r="P250">
        <f>VLOOKUP($B250,[1]ბიუჯეტი!$B$59:$K$464,6,FALSE)</f>
        <v>0</v>
      </c>
      <c r="Q250" s="53">
        <f t="shared" si="54"/>
        <v>0</v>
      </c>
      <c r="R250">
        <f>VLOOKUP($B250,[1]ბიუჯეტი!$B$59:$K$464,8,FALSE)</f>
        <v>0</v>
      </c>
      <c r="S250" s="53">
        <f t="shared" si="55"/>
        <v>0</v>
      </c>
      <c r="T250">
        <f>VLOOKUP($B250,[1]ბიუჯეტი!$B$59:$K$464,10,FALSE)</f>
        <v>0</v>
      </c>
      <c r="U250" s="53">
        <f t="shared" si="56"/>
        <v>62.969491525423734</v>
      </c>
    </row>
    <row r="251" spans="1:21" hidden="1" outlineLevel="1" x14ac:dyDescent="0.35">
      <c r="A251" s="29">
        <v>4</v>
      </c>
      <c r="B251" s="30" t="s">
        <v>188</v>
      </c>
      <c r="C251" s="8" t="s">
        <v>10</v>
      </c>
      <c r="D251" s="5">
        <f>სამუშაო!E34+სამუშაო!E35+სამუშაო!E36+სამუშაო!F34+სამუშაო!F35+სამუშაო!F36+სამუშაო!G34+სამუშაო!G35+სამუშაო!G36</f>
        <v>291.53160000000003</v>
      </c>
      <c r="E251" s="5"/>
      <c r="F251" s="5">
        <f t="shared" si="60"/>
        <v>0</v>
      </c>
      <c r="G251" s="5">
        <f>1.5*1.275*12.5</f>
        <v>23.90625</v>
      </c>
      <c r="H251" s="5">
        <f>G251*D251</f>
        <v>6969.4273125000009</v>
      </c>
      <c r="I251" s="5"/>
      <c r="J251" s="5"/>
      <c r="K251" s="5">
        <f t="shared" si="57"/>
        <v>6969.4273125000009</v>
      </c>
      <c r="L251">
        <f>VLOOKUP($B251,[1]ბიუჯეტი!$B$59:$K$464,3,FALSE)</f>
        <v>415.19259999999997</v>
      </c>
      <c r="M251" s="53">
        <f t="shared" si="52"/>
        <v>-123.66099999999994</v>
      </c>
      <c r="N251">
        <f>VLOOKUP($B251,[1]ბიუჯეტი!$B$59:$K$464,4,FALSE)</f>
        <v>0</v>
      </c>
      <c r="O251" s="53">
        <f t="shared" si="53"/>
        <v>0</v>
      </c>
      <c r="P251">
        <f>VLOOKUP($B251,[1]ბიუჯეტი!$B$59:$K$464,6,FALSE)</f>
        <v>23.90625</v>
      </c>
      <c r="Q251" s="53">
        <f t="shared" si="54"/>
        <v>0</v>
      </c>
      <c r="R251">
        <f>VLOOKUP($B251,[1]ბიუჯეტი!$B$59:$K$464,8,FALSE)</f>
        <v>0</v>
      </c>
      <c r="S251" s="53">
        <f t="shared" si="55"/>
        <v>0</v>
      </c>
      <c r="T251">
        <f>VLOOKUP($B251,[1]ბიუჯეტი!$B$59:$K$464,10,FALSE)</f>
        <v>9925.6980937499993</v>
      </c>
      <c r="U251" s="53">
        <f t="shared" si="56"/>
        <v>-2956.2707812499984</v>
      </c>
    </row>
    <row r="252" spans="1:21" hidden="1" outlineLevel="1" x14ac:dyDescent="0.35">
      <c r="A252" s="29"/>
      <c r="B252" s="7" t="s">
        <v>84</v>
      </c>
      <c r="C252" s="8" t="s">
        <v>49</v>
      </c>
      <c r="D252" s="5">
        <f>D251*13</f>
        <v>3789.9108000000006</v>
      </c>
      <c r="E252" s="5">
        <f>1.05/1.18</f>
        <v>0.88983050847457634</v>
      </c>
      <c r="F252" s="5">
        <f t="shared" si="60"/>
        <v>3372.3782542372887</v>
      </c>
      <c r="G252" s="5"/>
      <c r="H252" s="5"/>
      <c r="I252" s="5"/>
      <c r="J252" s="5"/>
      <c r="K252" s="5">
        <f t="shared" si="57"/>
        <v>3372.3782542372887</v>
      </c>
      <c r="L252">
        <f>VLOOKUP($B252,[1]ბიუჯეტი!$B$59:$K$464,3,FALSE)</f>
        <v>1818.7260000000001</v>
      </c>
      <c r="M252" s="53">
        <f t="shared" si="52"/>
        <v>1971.1848000000005</v>
      </c>
      <c r="N252">
        <f>VLOOKUP($B252,[1]ბიუჯეტი!$B$59:$K$464,4,FALSE)</f>
        <v>0.88983050847457634</v>
      </c>
      <c r="O252" s="53">
        <f t="shared" si="53"/>
        <v>0</v>
      </c>
      <c r="P252">
        <f>VLOOKUP($B252,[1]ბიუჯეტი!$B$59:$K$464,6,FALSE)</f>
        <v>0</v>
      </c>
      <c r="Q252" s="53">
        <f t="shared" si="54"/>
        <v>0</v>
      </c>
      <c r="R252">
        <f>VLOOKUP($B252,[1]ბიუჯეტი!$B$59:$K$464,8,FALSE)</f>
        <v>0</v>
      </c>
      <c r="S252" s="53">
        <f t="shared" si="55"/>
        <v>0</v>
      </c>
      <c r="T252">
        <f>VLOOKUP($B252,[1]ბიუჯეტი!$B$59:$K$464,10,FALSE)</f>
        <v>1618.3578813559325</v>
      </c>
      <c r="U252" s="53">
        <f t="shared" si="56"/>
        <v>1754.0203728813563</v>
      </c>
    </row>
    <row r="253" spans="1:21" hidden="1" outlineLevel="1" x14ac:dyDescent="0.35">
      <c r="A253" s="29"/>
      <c r="B253" s="7" t="s">
        <v>50</v>
      </c>
      <c r="C253" s="8" t="s">
        <v>9</v>
      </c>
      <c r="D253" s="5">
        <f>0.03*D251*1.05</f>
        <v>9.1832454000000006</v>
      </c>
      <c r="E253" s="5">
        <f>65/1.18</f>
        <v>55.084745762711869</v>
      </c>
      <c r="F253" s="5">
        <f t="shared" si="60"/>
        <v>505.85673813559328</v>
      </c>
      <c r="G253" s="5"/>
      <c r="H253" s="5"/>
      <c r="I253" s="5"/>
      <c r="J253" s="5"/>
      <c r="K253" s="5">
        <f t="shared" si="57"/>
        <v>505.85673813559328</v>
      </c>
      <c r="L253">
        <f>VLOOKUP($B253,[1]ბიუჯეტი!$B$59:$K$464,3,FALSE)</f>
        <v>0</v>
      </c>
      <c r="M253" s="53">
        <f t="shared" ref="M253:M316" si="63">D253-L253</f>
        <v>9.1832454000000006</v>
      </c>
      <c r="N253">
        <f>VLOOKUP($B253,[1]ბიუჯეტი!$B$59:$K$464,4,FALSE)</f>
        <v>55.084745762711869</v>
      </c>
      <c r="O253" s="53">
        <f t="shared" ref="O253:O316" si="64">E253-N253</f>
        <v>0</v>
      </c>
      <c r="P253">
        <f>VLOOKUP($B253,[1]ბიუჯეტი!$B$59:$K$464,6,FALSE)</f>
        <v>0</v>
      </c>
      <c r="Q253" s="53">
        <f t="shared" ref="Q253:Q316" si="65">G253-P253</f>
        <v>0</v>
      </c>
      <c r="R253">
        <f>VLOOKUP($B253,[1]ბიუჯეტი!$B$59:$K$464,8,FALSE)</f>
        <v>0</v>
      </c>
      <c r="S253" s="53">
        <f t="shared" ref="S253:S316" si="66">I253-R253</f>
        <v>0</v>
      </c>
      <c r="T253">
        <f>VLOOKUP($B253,[1]ბიუჯეტი!$B$59:$K$464,10,FALSE)</f>
        <v>0</v>
      </c>
      <c r="U253" s="53">
        <f t="shared" ref="U253:U316" si="67">K253-T253</f>
        <v>505.85673813559328</v>
      </c>
    </row>
    <row r="254" spans="1:21" hidden="1" outlineLevel="1" x14ac:dyDescent="0.35">
      <c r="A254" s="29"/>
      <c r="B254" s="7" t="s">
        <v>51</v>
      </c>
      <c r="C254" s="8" t="s">
        <v>12</v>
      </c>
      <c r="D254" s="5">
        <f>D253/4*1.05</f>
        <v>2.4106019175000002</v>
      </c>
      <c r="E254" s="5">
        <f>281.5/1.18</f>
        <v>238.55932203389833</v>
      </c>
      <c r="F254" s="5">
        <f t="shared" si="60"/>
        <v>575.07155913241536</v>
      </c>
      <c r="G254" s="5"/>
      <c r="H254" s="5">
        <f>D254*G254</f>
        <v>0</v>
      </c>
      <c r="I254" s="5"/>
      <c r="J254" s="5"/>
      <c r="K254" s="5">
        <f t="shared" si="57"/>
        <v>575.07155913241536</v>
      </c>
      <c r="L254">
        <f>VLOOKUP($B254,[1]ბიუჯეტი!$B$59:$K$464,3,FALSE)</f>
        <v>0</v>
      </c>
      <c r="M254" s="53">
        <f t="shared" si="63"/>
        <v>2.4106019175000002</v>
      </c>
      <c r="N254">
        <f>VLOOKUP($B254,[1]ბიუჯეტი!$B$59:$K$464,4,FALSE)</f>
        <v>238.55932203389833</v>
      </c>
      <c r="O254" s="53">
        <f t="shared" si="64"/>
        <v>0</v>
      </c>
      <c r="P254">
        <f>VLOOKUP($B254,[1]ბიუჯეტი!$B$59:$K$464,6,FALSE)</f>
        <v>0</v>
      </c>
      <c r="Q254" s="53">
        <f t="shared" si="65"/>
        <v>0</v>
      </c>
      <c r="R254">
        <f>VLOOKUP($B254,[1]ბიუჯეტი!$B$59:$K$464,8,FALSE)</f>
        <v>0</v>
      </c>
      <c r="S254" s="53">
        <f t="shared" si="66"/>
        <v>0</v>
      </c>
      <c r="T254">
        <f>VLOOKUP($B254,[1]ბიუჯეტი!$B$59:$K$464,10,FALSE)</f>
        <v>0</v>
      </c>
      <c r="U254" s="53">
        <f t="shared" si="67"/>
        <v>575.07155913241536</v>
      </c>
    </row>
    <row r="255" spans="1:21" hidden="1" outlineLevel="1" x14ac:dyDescent="0.35">
      <c r="A255" s="29"/>
      <c r="B255" s="7" t="s">
        <v>14</v>
      </c>
      <c r="C255" s="8" t="s">
        <v>10</v>
      </c>
      <c r="D255" s="5">
        <f>D251</f>
        <v>291.53160000000003</v>
      </c>
      <c r="E255" s="5">
        <f>0.8/1.18</f>
        <v>0.67796610169491534</v>
      </c>
      <c r="F255" s="5">
        <f t="shared" si="60"/>
        <v>197.64854237288139</v>
      </c>
      <c r="G255" s="5"/>
      <c r="H255" s="5"/>
      <c r="I255" s="5"/>
      <c r="J255" s="5"/>
      <c r="K255" s="5">
        <f t="shared" si="57"/>
        <v>197.64854237288139</v>
      </c>
      <c r="L255">
        <f>VLOOKUP($B255,[1]ბიუჯეტი!$B$59:$K$464,3,FALSE)</f>
        <v>0</v>
      </c>
      <c r="M255" s="53">
        <f t="shared" si="63"/>
        <v>291.53160000000003</v>
      </c>
      <c r="N255">
        <f>VLOOKUP($B255,[1]ბიუჯეტი!$B$59:$K$464,4,FALSE)</f>
        <v>0.84745762711864414</v>
      </c>
      <c r="O255" s="53">
        <f t="shared" si="64"/>
        <v>-0.16949152542372881</v>
      </c>
      <c r="P255">
        <f>VLOOKUP($B255,[1]ბიუჯეტი!$B$59:$K$464,6,FALSE)</f>
        <v>0</v>
      </c>
      <c r="Q255" s="53">
        <f t="shared" si="65"/>
        <v>0</v>
      </c>
      <c r="R255">
        <f>VLOOKUP($B255,[1]ბიუჯეტი!$B$59:$K$464,8,FALSE)</f>
        <v>0</v>
      </c>
      <c r="S255" s="53">
        <f t="shared" si="66"/>
        <v>0</v>
      </c>
      <c r="T255">
        <f>VLOOKUP($B255,[1]ბიუჯეტი!$B$59:$K$464,10,FALSE)</f>
        <v>0</v>
      </c>
      <c r="U255" s="53">
        <f t="shared" si="67"/>
        <v>197.64854237288139</v>
      </c>
    </row>
    <row r="256" spans="1:21" collapsed="1" x14ac:dyDescent="0.35">
      <c r="A256" s="29">
        <v>31</v>
      </c>
      <c r="B256" s="30" t="s">
        <v>189</v>
      </c>
      <c r="C256" s="8" t="s">
        <v>10</v>
      </c>
      <c r="D256" s="5">
        <v>850</v>
      </c>
      <c r="E256" s="5">
        <f>SUM(F257:F268)/D256</f>
        <v>96.53022532402791</v>
      </c>
      <c r="F256" s="5">
        <f>D256*E256</f>
        <v>82050.691525423725</v>
      </c>
      <c r="G256" s="5">
        <f>SUM(H257:H268)/D256</f>
        <v>72.206999999999994</v>
      </c>
      <c r="H256" s="5">
        <f>G256*D256</f>
        <v>61375.95</v>
      </c>
      <c r="I256" s="5">
        <v>0</v>
      </c>
      <c r="J256" s="5">
        <f>I256*D256</f>
        <v>0</v>
      </c>
      <c r="K256" s="5">
        <f>J256+H256+F256</f>
        <v>143426.64152542374</v>
      </c>
      <c r="L256">
        <f>VLOOKUP($B256,[1]ბიუჯეტი!$B$59:$K$464,3,FALSE)</f>
        <v>850</v>
      </c>
      <c r="M256" s="53">
        <f t="shared" si="63"/>
        <v>0</v>
      </c>
      <c r="N256">
        <f>VLOOKUP($B256,[1]ბიუჯეტი!$B$59:$K$464,4,FALSE)</f>
        <v>90.102707876370886</v>
      </c>
      <c r="O256" s="53">
        <f t="shared" si="64"/>
        <v>6.4275174476570243</v>
      </c>
      <c r="P256">
        <f>VLOOKUP($B256,[1]ბიუჯეტი!$B$59:$K$464,6,FALSE)</f>
        <v>66.45</v>
      </c>
      <c r="Q256" s="53">
        <f t="shared" si="65"/>
        <v>5.7569999999999908</v>
      </c>
      <c r="R256">
        <f>VLOOKUP($B256,[1]ბიუჯეტი!$B$59:$K$464,8,FALSE)</f>
        <v>0</v>
      </c>
      <c r="S256" s="53">
        <f t="shared" si="66"/>
        <v>0</v>
      </c>
      <c r="T256">
        <f>VLOOKUP($B256,[1]ბიუჯეტი!$B$59:$K$464,10,FALSE)</f>
        <v>133069.80169491525</v>
      </c>
      <c r="U256" s="53">
        <f t="shared" si="67"/>
        <v>10356.839830508485</v>
      </c>
    </row>
    <row r="257" spans="1:21" hidden="1" outlineLevel="1" x14ac:dyDescent="0.35">
      <c r="A257" s="29">
        <v>1</v>
      </c>
      <c r="B257" s="30" t="s">
        <v>303</v>
      </c>
      <c r="C257" s="8" t="s">
        <v>10</v>
      </c>
      <c r="D257" s="5">
        <f>(470+69)*1.05</f>
        <v>565.95000000000005</v>
      </c>
      <c r="E257" s="5"/>
      <c r="F257" s="5">
        <f t="shared" ref="F257:F327" si="68">D257*E257</f>
        <v>0</v>
      </c>
      <c r="G257" s="5">
        <f>40*1.275</f>
        <v>51</v>
      </c>
      <c r="H257" s="5">
        <f>D257*G257</f>
        <v>28863.45</v>
      </c>
      <c r="I257" s="5"/>
      <c r="J257" s="5"/>
      <c r="K257" s="5">
        <f t="shared" si="57"/>
        <v>28863.45</v>
      </c>
      <c r="L257" t="e">
        <f>VLOOKUP($B257,[1]ბიუჯეტი!$B$59:$K$464,3,FALSE)</f>
        <v>#N/A</v>
      </c>
      <c r="M257" s="53" t="e">
        <f t="shared" si="63"/>
        <v>#N/A</v>
      </c>
      <c r="N257" t="e">
        <f>VLOOKUP($B257,[1]ბიუჯეტი!$B$59:$K$464,4,FALSE)</f>
        <v>#N/A</v>
      </c>
      <c r="O257" s="53" t="e">
        <f t="shared" si="64"/>
        <v>#N/A</v>
      </c>
      <c r="P257" t="e">
        <f>VLOOKUP($B257,[1]ბიუჯეტი!$B$59:$K$464,6,FALSE)</f>
        <v>#N/A</v>
      </c>
      <c r="Q257" s="53" t="e">
        <f t="shared" si="65"/>
        <v>#N/A</v>
      </c>
      <c r="R257" t="e">
        <f>VLOOKUP($B257,[1]ბიუჯეტი!$B$59:$K$464,8,FALSE)</f>
        <v>#N/A</v>
      </c>
      <c r="S257" s="53" t="e">
        <f t="shared" si="66"/>
        <v>#N/A</v>
      </c>
      <c r="T257" t="e">
        <f>VLOOKUP($B257,[1]ბიუჯეტი!$B$59:$K$464,10,FALSE)</f>
        <v>#N/A</v>
      </c>
      <c r="U257" s="53" t="e">
        <f t="shared" si="67"/>
        <v>#N/A</v>
      </c>
    </row>
    <row r="258" spans="1:21" hidden="1" outlineLevel="1" x14ac:dyDescent="0.35">
      <c r="A258" s="29">
        <v>2</v>
      </c>
      <c r="B258" s="30" t="s">
        <v>270</v>
      </c>
      <c r="C258" s="8" t="s">
        <v>10</v>
      </c>
      <c r="D258" s="5">
        <v>850</v>
      </c>
      <c r="E258" s="5"/>
      <c r="F258" s="5">
        <f t="shared" ref="F258" si="69">D258*E258</f>
        <v>0</v>
      </c>
      <c r="G258" s="5">
        <f>30*1.275</f>
        <v>38.25</v>
      </c>
      <c r="H258" s="5">
        <f>D258*G258</f>
        <v>32512.5</v>
      </c>
      <c r="I258" s="5"/>
      <c r="J258" s="5"/>
      <c r="K258" s="5">
        <f t="shared" ref="K258" si="70">F258+H258</f>
        <v>32512.5</v>
      </c>
      <c r="L258">
        <f>VLOOKUP($B258,[1]ბიუჯეტი!$B$59:$K$464,3,FALSE)</f>
        <v>850</v>
      </c>
      <c r="M258" s="53">
        <f t="shared" si="63"/>
        <v>0</v>
      </c>
      <c r="N258">
        <f>VLOOKUP($B258,[1]ბიუჯეტი!$B$59:$K$464,4,FALSE)</f>
        <v>0</v>
      </c>
      <c r="O258" s="53">
        <f t="shared" si="64"/>
        <v>0</v>
      </c>
      <c r="P258">
        <f>VLOOKUP($B258,[1]ბიუჯეტი!$B$59:$K$464,6,FALSE)</f>
        <v>38.25</v>
      </c>
      <c r="Q258" s="53">
        <f t="shared" si="65"/>
        <v>0</v>
      </c>
      <c r="R258">
        <f>VLOOKUP($B258,[1]ბიუჯეტი!$B$59:$K$464,8,FALSE)</f>
        <v>0</v>
      </c>
      <c r="S258" s="53">
        <f t="shared" si="66"/>
        <v>0</v>
      </c>
      <c r="T258">
        <f>VLOOKUP($B258,[1]ბიუჯეტი!$B$59:$K$464,10,FALSE)</f>
        <v>32512.5</v>
      </c>
      <c r="U258" s="53">
        <f t="shared" si="67"/>
        <v>0</v>
      </c>
    </row>
    <row r="259" spans="1:21" hidden="1" outlineLevel="1" x14ac:dyDescent="0.35">
      <c r="A259" s="29"/>
      <c r="B259" s="7" t="s">
        <v>87</v>
      </c>
      <c r="C259" s="8" t="s">
        <v>10</v>
      </c>
      <c r="D259" s="5">
        <f>D257</f>
        <v>565.95000000000005</v>
      </c>
      <c r="E259" s="5">
        <f>28/1.18</f>
        <v>23.728813559322035</v>
      </c>
      <c r="F259" s="5">
        <f t="shared" si="68"/>
        <v>13429.322033898306</v>
      </c>
      <c r="G259" s="5"/>
      <c r="H259" s="5">
        <v>0</v>
      </c>
      <c r="I259" s="5"/>
      <c r="J259" s="5"/>
      <c r="K259" s="5">
        <f t="shared" si="57"/>
        <v>13429.322033898306</v>
      </c>
      <c r="L259">
        <f>VLOOKUP($B259,[1]ბიუჯეტი!$B$59:$K$464,3,FALSE)</f>
        <v>470</v>
      </c>
      <c r="M259" s="53">
        <f t="shared" si="63"/>
        <v>95.950000000000045</v>
      </c>
      <c r="N259">
        <f>VLOOKUP($B259,[1]ბიუჯეტი!$B$59:$K$464,4,FALSE)</f>
        <v>23.728813559322035</v>
      </c>
      <c r="O259" s="53">
        <f t="shared" si="64"/>
        <v>0</v>
      </c>
      <c r="P259">
        <f>VLOOKUP($B259,[1]ბიუჯეტი!$B$59:$K$464,6,FALSE)</f>
        <v>0</v>
      </c>
      <c r="Q259" s="53">
        <f t="shared" si="65"/>
        <v>0</v>
      </c>
      <c r="R259">
        <f>VLOOKUP($B259,[1]ბიუჯეტი!$B$59:$K$464,8,FALSE)</f>
        <v>0</v>
      </c>
      <c r="S259" s="53">
        <f t="shared" si="66"/>
        <v>0</v>
      </c>
      <c r="T259">
        <f>VLOOKUP($B259,[1]ბიუჯეტი!$B$59:$K$464,10,FALSE)</f>
        <v>11152.542372881357</v>
      </c>
      <c r="U259" s="53">
        <f t="shared" si="67"/>
        <v>2276.7796610169498</v>
      </c>
    </row>
    <row r="260" spans="1:21" hidden="1" outlineLevel="1" x14ac:dyDescent="0.35">
      <c r="A260" s="29"/>
      <c r="B260" s="7" t="s">
        <v>88</v>
      </c>
      <c r="C260" s="8" t="s">
        <v>10</v>
      </c>
      <c r="D260" s="5">
        <f>D256-30</f>
        <v>820</v>
      </c>
      <c r="E260" s="5">
        <f>2.9/1.18</f>
        <v>2.4576271186440679</v>
      </c>
      <c r="F260" s="5">
        <f t="shared" si="68"/>
        <v>2015.2542372881358</v>
      </c>
      <c r="G260" s="5"/>
      <c r="H260" s="5">
        <f t="shared" ref="H260:H266" si="71">D260*G260</f>
        <v>0</v>
      </c>
      <c r="I260" s="5"/>
      <c r="J260" s="5"/>
      <c r="K260" s="5">
        <f t="shared" si="57"/>
        <v>2015.2542372881358</v>
      </c>
      <c r="L260">
        <f>VLOOKUP($B260,[1]ბიუჯეტი!$B$59:$K$464,3,FALSE)</f>
        <v>820</v>
      </c>
      <c r="M260" s="53">
        <f t="shared" si="63"/>
        <v>0</v>
      </c>
      <c r="N260">
        <f>VLOOKUP($B260,[1]ბიუჯეტი!$B$59:$K$464,4,FALSE)</f>
        <v>2.4576271186440679</v>
      </c>
      <c r="O260" s="53">
        <f t="shared" si="64"/>
        <v>0</v>
      </c>
      <c r="P260">
        <f>VLOOKUP($B260,[1]ბიუჯეტი!$B$59:$K$464,6,FALSE)</f>
        <v>0</v>
      </c>
      <c r="Q260" s="53">
        <f t="shared" si="65"/>
        <v>0</v>
      </c>
      <c r="R260">
        <f>VLOOKUP($B260,[1]ბიუჯეტი!$B$59:$K$464,8,FALSE)</f>
        <v>0</v>
      </c>
      <c r="S260" s="53">
        <f t="shared" si="66"/>
        <v>0</v>
      </c>
      <c r="T260">
        <f>VLOOKUP($B260,[1]ბიუჯეტი!$B$59:$K$464,10,FALSE)</f>
        <v>2015.2542372881358</v>
      </c>
      <c r="U260" s="53">
        <f t="shared" si="67"/>
        <v>0</v>
      </c>
    </row>
    <row r="261" spans="1:21" hidden="1" outlineLevel="1" x14ac:dyDescent="0.35">
      <c r="A261" s="29"/>
      <c r="B261" s="7" t="s">
        <v>266</v>
      </c>
      <c r="C261" s="8" t="s">
        <v>10</v>
      </c>
      <c r="D261" s="5">
        <f>D260+30</f>
        <v>850</v>
      </c>
      <c r="E261" s="5">
        <f>40/1.18</f>
        <v>33.898305084745765</v>
      </c>
      <c r="F261" s="5">
        <f t="shared" si="68"/>
        <v>28813.5593220339</v>
      </c>
      <c r="G261" s="5"/>
      <c r="H261" s="5">
        <f t="shared" si="71"/>
        <v>0</v>
      </c>
      <c r="I261" s="5"/>
      <c r="J261" s="5"/>
      <c r="K261" s="5">
        <f t="shared" si="57"/>
        <v>28813.5593220339</v>
      </c>
      <c r="L261">
        <f>VLOOKUP($B261,[1]ბიუჯეტი!$B$59:$K$464,3,FALSE)</f>
        <v>850</v>
      </c>
      <c r="M261" s="53">
        <f t="shared" si="63"/>
        <v>0</v>
      </c>
      <c r="N261">
        <f>VLOOKUP($B261,[1]ბიუჯეტი!$B$59:$K$464,4,FALSE)</f>
        <v>33.898305084745765</v>
      </c>
      <c r="O261" s="53">
        <f t="shared" si="64"/>
        <v>0</v>
      </c>
      <c r="P261">
        <f>VLOOKUP($B261,[1]ბიუჯეტი!$B$59:$K$464,6,FALSE)</f>
        <v>0</v>
      </c>
      <c r="Q261" s="53">
        <f t="shared" si="65"/>
        <v>0</v>
      </c>
      <c r="R261">
        <f>VLOOKUP($B261,[1]ბიუჯეტი!$B$59:$K$464,8,FALSE)</f>
        <v>0</v>
      </c>
      <c r="S261" s="53">
        <f t="shared" si="66"/>
        <v>0</v>
      </c>
      <c r="T261">
        <f>VLOOKUP($B261,[1]ბიუჯეტი!$B$59:$K$464,10,FALSE)</f>
        <v>28813.5593220339</v>
      </c>
      <c r="U261" s="53">
        <f t="shared" si="67"/>
        <v>0</v>
      </c>
    </row>
    <row r="262" spans="1:21" hidden="1" outlineLevel="1" x14ac:dyDescent="0.35">
      <c r="A262" s="29"/>
      <c r="B262" s="7" t="s">
        <v>215</v>
      </c>
      <c r="C262" s="8" t="s">
        <v>10</v>
      </c>
      <c r="D262" s="5">
        <f>D260</f>
        <v>820</v>
      </c>
      <c r="E262" s="5">
        <f>3.25/1.18</f>
        <v>2.7542372881355934</v>
      </c>
      <c r="F262" s="5">
        <f t="shared" si="68"/>
        <v>2258.4745762711868</v>
      </c>
      <c r="G262" s="5"/>
      <c r="H262" s="5">
        <f t="shared" si="71"/>
        <v>0</v>
      </c>
      <c r="I262" s="5"/>
      <c r="J262" s="5"/>
      <c r="K262" s="5">
        <f t="shared" ref="K262:K268" si="72">F262+H262</f>
        <v>2258.4745762711868</v>
      </c>
      <c r="L262">
        <f>VLOOKUP($B262,[1]ბიუჯეტი!$B$59:$K$464,3,FALSE)</f>
        <v>820</v>
      </c>
      <c r="M262" s="53">
        <f t="shared" si="63"/>
        <v>0</v>
      </c>
      <c r="N262">
        <f>VLOOKUP($B262,[1]ბიუჯეტი!$B$59:$K$464,4,FALSE)</f>
        <v>2.7542372881355934</v>
      </c>
      <c r="O262" s="53">
        <f t="shared" si="64"/>
        <v>0</v>
      </c>
      <c r="P262">
        <f>VLOOKUP($B262,[1]ბიუჯეტი!$B$59:$K$464,6,FALSE)</f>
        <v>0</v>
      </c>
      <c r="Q262" s="53">
        <f t="shared" si="65"/>
        <v>0</v>
      </c>
      <c r="R262">
        <f>VLOOKUP($B262,[1]ბიუჯეტი!$B$59:$K$464,8,FALSE)</f>
        <v>0</v>
      </c>
      <c r="S262" s="53">
        <f t="shared" si="66"/>
        <v>0</v>
      </c>
      <c r="T262">
        <f>VLOOKUP($B262,[1]ბიუჯეტი!$B$59:$K$464,10,FALSE)</f>
        <v>2258.4745762711868</v>
      </c>
      <c r="U262" s="53">
        <f t="shared" si="67"/>
        <v>0</v>
      </c>
    </row>
    <row r="263" spans="1:21" hidden="1" outlineLevel="1" x14ac:dyDescent="0.35">
      <c r="A263" s="29"/>
      <c r="B263" s="7" t="s">
        <v>216</v>
      </c>
      <c r="C263" s="8" t="s">
        <v>10</v>
      </c>
      <c r="D263" s="5">
        <f>40.6*17.4</f>
        <v>706.43999999999994</v>
      </c>
      <c r="E263" s="5">
        <f>9.2/1.18</f>
        <v>7.7966101694915251</v>
      </c>
      <c r="F263" s="5">
        <f t="shared" si="68"/>
        <v>5507.8372881355926</v>
      </c>
      <c r="G263" s="5"/>
      <c r="H263" s="5">
        <f t="shared" si="71"/>
        <v>0</v>
      </c>
      <c r="I263" s="5"/>
      <c r="J263" s="5"/>
      <c r="K263" s="5">
        <f t="shared" si="72"/>
        <v>5507.8372881355926</v>
      </c>
      <c r="L263">
        <f>VLOOKUP($B263,[1]ბიუჯეტი!$B$59:$K$464,3,FALSE)</f>
        <v>706.43999999999994</v>
      </c>
      <c r="M263" s="53">
        <f t="shared" si="63"/>
        <v>0</v>
      </c>
      <c r="N263">
        <f>VLOOKUP($B263,[1]ბიუჯეტი!$B$59:$K$464,4,FALSE)</f>
        <v>7.7966101694915251</v>
      </c>
      <c r="O263" s="53">
        <f t="shared" si="64"/>
        <v>0</v>
      </c>
      <c r="P263">
        <f>VLOOKUP($B263,[1]ბიუჯეტი!$B$59:$K$464,6,FALSE)</f>
        <v>0</v>
      </c>
      <c r="Q263" s="53">
        <f t="shared" si="65"/>
        <v>0</v>
      </c>
      <c r="R263">
        <f>VLOOKUP($B263,[1]ბიუჯეტი!$B$59:$K$464,8,FALSE)</f>
        <v>0</v>
      </c>
      <c r="S263" s="53">
        <f t="shared" si="66"/>
        <v>0</v>
      </c>
      <c r="T263">
        <f>VLOOKUP($B263,[1]ბიუჯეტი!$B$59:$K$464,10,FALSE)</f>
        <v>5507.8372881355926</v>
      </c>
      <c r="U263" s="53">
        <f t="shared" si="67"/>
        <v>0</v>
      </c>
    </row>
    <row r="264" spans="1:21" hidden="1" outlineLevel="1" x14ac:dyDescent="0.35">
      <c r="A264" s="29"/>
      <c r="B264" s="7" t="s">
        <v>217</v>
      </c>
      <c r="C264" s="8" t="s">
        <v>10</v>
      </c>
      <c r="D264" s="5">
        <f>D263</f>
        <v>706.43999999999994</v>
      </c>
      <c r="E264" s="5">
        <f>17.2/1.18</f>
        <v>14.576271186440678</v>
      </c>
      <c r="F264" s="5">
        <f t="shared" si="68"/>
        <v>10297.261016949153</v>
      </c>
      <c r="G264" s="5"/>
      <c r="H264" s="5">
        <f t="shared" si="71"/>
        <v>0</v>
      </c>
      <c r="I264" s="5"/>
      <c r="J264" s="5"/>
      <c r="K264" s="5">
        <f t="shared" si="72"/>
        <v>10297.261016949153</v>
      </c>
      <c r="L264">
        <f>VLOOKUP($B264,[1]ბიუჯეტი!$B$59:$K$464,3,FALSE)</f>
        <v>706.43999999999994</v>
      </c>
      <c r="M264" s="53">
        <f t="shared" si="63"/>
        <v>0</v>
      </c>
      <c r="N264">
        <f>VLOOKUP($B264,[1]ბიუჯეტი!$B$59:$K$464,4,FALSE)</f>
        <v>14.576271186440678</v>
      </c>
      <c r="O264" s="53">
        <f t="shared" si="64"/>
        <v>0</v>
      </c>
      <c r="P264">
        <f>VLOOKUP($B264,[1]ბიუჯეტი!$B$59:$K$464,6,FALSE)</f>
        <v>0</v>
      </c>
      <c r="Q264" s="53">
        <f t="shared" si="65"/>
        <v>0</v>
      </c>
      <c r="R264">
        <f>VLOOKUP($B264,[1]ბიუჯეტი!$B$59:$K$464,8,FALSE)</f>
        <v>0</v>
      </c>
      <c r="S264" s="53">
        <f t="shared" si="66"/>
        <v>0</v>
      </c>
      <c r="T264">
        <f>VLOOKUP($B264,[1]ბიუჯეტი!$B$59:$K$464,10,FALSE)</f>
        <v>10297.261016949153</v>
      </c>
      <c r="U264" s="53">
        <f t="shared" si="67"/>
        <v>0</v>
      </c>
    </row>
    <row r="265" spans="1:21" hidden="1" outlineLevel="1" x14ac:dyDescent="0.35">
      <c r="A265" s="29"/>
      <c r="B265" s="7" t="s">
        <v>267</v>
      </c>
      <c r="C265" s="8" t="s">
        <v>268</v>
      </c>
      <c r="D265" s="5">
        <v>11.5</v>
      </c>
      <c r="E265" s="5">
        <f>800/1.18</f>
        <v>677.96610169491532</v>
      </c>
      <c r="F265" s="5">
        <f t="shared" si="68"/>
        <v>7796.610169491526</v>
      </c>
      <c r="G265" s="5"/>
      <c r="H265" s="5">
        <f t="shared" si="71"/>
        <v>0</v>
      </c>
      <c r="I265" s="5"/>
      <c r="J265" s="5"/>
      <c r="K265" s="5">
        <f t="shared" si="72"/>
        <v>7796.610169491526</v>
      </c>
      <c r="L265">
        <f>VLOOKUP($B265,[1]ბიუჯეტი!$B$59:$K$464,3,FALSE)</f>
        <v>9</v>
      </c>
      <c r="M265" s="53">
        <f t="shared" si="63"/>
        <v>2.5</v>
      </c>
      <c r="N265">
        <f>VLOOKUP($B265,[1]ბიუჯეტი!$B$59:$K$464,4,FALSE)</f>
        <v>677.96610169491532</v>
      </c>
      <c r="O265" s="53">
        <f t="shared" si="64"/>
        <v>0</v>
      </c>
      <c r="P265">
        <f>VLOOKUP($B265,[1]ბიუჯეტი!$B$59:$K$464,6,FALSE)</f>
        <v>0</v>
      </c>
      <c r="Q265" s="53">
        <f t="shared" si="65"/>
        <v>0</v>
      </c>
      <c r="R265">
        <f>VLOOKUP($B265,[1]ბიუჯეტი!$B$59:$K$464,8,FALSE)</f>
        <v>0</v>
      </c>
      <c r="S265" s="53">
        <f t="shared" si="66"/>
        <v>0</v>
      </c>
      <c r="T265">
        <f>VLOOKUP($B265,[1]ბიუჯეტი!$B$59:$K$464,10,FALSE)</f>
        <v>6101.6949152542384</v>
      </c>
      <c r="U265" s="53">
        <f t="shared" si="67"/>
        <v>1694.9152542372876</v>
      </c>
    </row>
    <row r="266" spans="1:21" hidden="1" outlineLevel="1" x14ac:dyDescent="0.35">
      <c r="A266" s="29"/>
      <c r="B266" s="7" t="s">
        <v>269</v>
      </c>
      <c r="C266" s="8" t="s">
        <v>209</v>
      </c>
      <c r="D266" s="5">
        <v>45</v>
      </c>
      <c r="E266" s="5">
        <f>45/1.18</f>
        <v>38.135593220338983</v>
      </c>
      <c r="F266" s="5">
        <f t="shared" si="68"/>
        <v>1716.1016949152543</v>
      </c>
      <c r="G266" s="5"/>
      <c r="H266" s="5">
        <f t="shared" si="71"/>
        <v>0</v>
      </c>
      <c r="I266" s="5"/>
      <c r="J266" s="5"/>
      <c r="K266" s="5">
        <f t="shared" si="72"/>
        <v>1716.1016949152543</v>
      </c>
      <c r="L266">
        <f>VLOOKUP($B266,[1]ბიუჯეტი!$B$59:$K$464,3,FALSE)</f>
        <v>40</v>
      </c>
      <c r="M266" s="53">
        <f t="shared" si="63"/>
        <v>5</v>
      </c>
      <c r="N266">
        <f>VLOOKUP($B266,[1]ბიუჯეტი!$B$59:$K$464,4,FALSE)</f>
        <v>38.135593220338983</v>
      </c>
      <c r="O266" s="53">
        <f t="shared" si="64"/>
        <v>0</v>
      </c>
      <c r="P266">
        <f>VLOOKUP($B266,[1]ბიუჯეტი!$B$59:$K$464,6,FALSE)</f>
        <v>0</v>
      </c>
      <c r="Q266" s="53">
        <f t="shared" si="65"/>
        <v>0</v>
      </c>
      <c r="R266">
        <f>VLOOKUP($B266,[1]ბიუჯეტი!$B$59:$K$464,8,FALSE)</f>
        <v>0</v>
      </c>
      <c r="S266" s="53">
        <f t="shared" si="66"/>
        <v>0</v>
      </c>
      <c r="T266">
        <f>VLOOKUP($B266,[1]ბიუჯეტი!$B$59:$K$464,10,FALSE)</f>
        <v>1525.4237288135594</v>
      </c>
      <c r="U266" s="53">
        <f t="shared" si="67"/>
        <v>190.67796610169489</v>
      </c>
    </row>
    <row r="267" spans="1:21" hidden="1" outlineLevel="1" x14ac:dyDescent="0.35">
      <c r="A267" s="29"/>
      <c r="B267" s="7" t="s">
        <v>65</v>
      </c>
      <c r="C267" s="8" t="s">
        <v>49</v>
      </c>
      <c r="D267" s="5">
        <v>200</v>
      </c>
      <c r="E267" s="5">
        <f>15/1.18</f>
        <v>12.711864406779661</v>
      </c>
      <c r="F267" s="5">
        <f t="shared" si="68"/>
        <v>2542.3728813559323</v>
      </c>
      <c r="G267" s="5"/>
      <c r="H267" s="5">
        <v>0</v>
      </c>
      <c r="I267" s="5"/>
      <c r="J267" s="5"/>
      <c r="K267" s="5">
        <f t="shared" si="72"/>
        <v>2542.3728813559323</v>
      </c>
      <c r="L267">
        <f>VLOOKUP($B267,[1]ბიუჯეტი!$B$59:$K$464,3,FALSE)</f>
        <v>45</v>
      </c>
      <c r="M267" s="53">
        <f t="shared" si="63"/>
        <v>155</v>
      </c>
      <c r="N267">
        <f>VLOOKUP($B267,[1]ბიუჯეტი!$B$59:$K$464,4,FALSE)</f>
        <v>29.661016949152543</v>
      </c>
      <c r="O267" s="53">
        <f t="shared" si="64"/>
        <v>-16.949152542372882</v>
      </c>
      <c r="P267">
        <f>VLOOKUP($B267,[1]ბიუჯეტი!$B$59:$K$464,6,FALSE)</f>
        <v>0</v>
      </c>
      <c r="Q267" s="53">
        <f t="shared" si="65"/>
        <v>0</v>
      </c>
      <c r="R267">
        <f>VLOOKUP($B267,[1]ბიუჯეტი!$B$59:$K$464,8,FALSE)</f>
        <v>0</v>
      </c>
      <c r="S267" s="53">
        <f t="shared" si="66"/>
        <v>0</v>
      </c>
      <c r="T267">
        <f>VLOOKUP($B267,[1]ბიუჯეტი!$B$59:$K$464,10,FALSE)</f>
        <v>1334.7457627118645</v>
      </c>
      <c r="U267" s="53">
        <f t="shared" si="67"/>
        <v>1207.6271186440679</v>
      </c>
    </row>
    <row r="268" spans="1:21" hidden="1" outlineLevel="1" x14ac:dyDescent="0.35">
      <c r="A268" s="29"/>
      <c r="B268" s="7" t="s">
        <v>14</v>
      </c>
      <c r="C268" s="8" t="s">
        <v>10</v>
      </c>
      <c r="D268" s="5">
        <f>D257</f>
        <v>565.95000000000005</v>
      </c>
      <c r="E268" s="5">
        <f>16/1.18</f>
        <v>13.559322033898306</v>
      </c>
      <c r="F268" s="5">
        <f t="shared" si="68"/>
        <v>7673.8983050847473</v>
      </c>
      <c r="G268" s="5"/>
      <c r="H268" s="5">
        <v>0</v>
      </c>
      <c r="I268" s="5"/>
      <c r="J268" s="5"/>
      <c r="K268" s="5">
        <f t="shared" si="72"/>
        <v>7673.8983050847473</v>
      </c>
      <c r="L268">
        <f>VLOOKUP($B268,[1]ბიუჯეტი!$B$59:$K$464,3,FALSE)</f>
        <v>0</v>
      </c>
      <c r="M268" s="53">
        <f t="shared" si="63"/>
        <v>565.95000000000005</v>
      </c>
      <c r="N268">
        <f>VLOOKUP($B268,[1]ბიუჯეტი!$B$59:$K$464,4,FALSE)</f>
        <v>0.84745762711864414</v>
      </c>
      <c r="O268" s="53">
        <f t="shared" si="64"/>
        <v>12.711864406779663</v>
      </c>
      <c r="P268">
        <f>VLOOKUP($B268,[1]ბიუჯეტი!$B$59:$K$464,6,FALSE)</f>
        <v>0</v>
      </c>
      <c r="Q268" s="53">
        <f t="shared" si="65"/>
        <v>0</v>
      </c>
      <c r="R268">
        <f>VLOOKUP($B268,[1]ბიუჯეტი!$B$59:$K$464,8,FALSE)</f>
        <v>0</v>
      </c>
      <c r="S268" s="53">
        <f t="shared" si="66"/>
        <v>0</v>
      </c>
      <c r="T268">
        <f>VLOOKUP($B268,[1]ბიუჯეტი!$B$59:$K$464,10,FALSE)</f>
        <v>0</v>
      </c>
      <c r="U268" s="53">
        <f t="shared" si="67"/>
        <v>7673.8983050847473</v>
      </c>
    </row>
    <row r="269" spans="1:21" collapsed="1" x14ac:dyDescent="0.35">
      <c r="A269" s="29">
        <v>32</v>
      </c>
      <c r="B269" s="30" t="s">
        <v>89</v>
      </c>
      <c r="C269" s="8" t="s">
        <v>10</v>
      </c>
      <c r="D269" s="5">
        <f>D270+D274</f>
        <v>175.18</v>
      </c>
      <c r="E269" s="5">
        <f>SUM(F270:F277)/D269</f>
        <v>42.491525423728817</v>
      </c>
      <c r="F269" s="5">
        <f t="shared" si="68"/>
        <v>7443.6654237288139</v>
      </c>
      <c r="G269" s="5">
        <f>SUM(H270:H277)/D269</f>
        <v>38.25</v>
      </c>
      <c r="H269" s="5">
        <f>G269*D269</f>
        <v>6700.6350000000002</v>
      </c>
      <c r="I269" s="5">
        <v>0</v>
      </c>
      <c r="J269" s="5">
        <v>0</v>
      </c>
      <c r="K269" s="5">
        <f>F269+H269</f>
        <v>14144.300423728815</v>
      </c>
      <c r="L269">
        <f>VLOOKUP($B269,[1]ბიუჯეტი!$B$59:$K$464,3,FALSE)</f>
        <v>224.00000000000003</v>
      </c>
      <c r="M269" s="53">
        <f t="shared" si="63"/>
        <v>-48.820000000000022</v>
      </c>
      <c r="N269">
        <f>VLOOKUP($B269,[1]ბიუჯეტი!$B$59:$K$464,4,FALSE)</f>
        <v>42.49152542372881</v>
      </c>
      <c r="O269" s="53">
        <f t="shared" si="64"/>
        <v>0</v>
      </c>
      <c r="P269">
        <f>VLOOKUP($B269,[1]ბიუჯეტი!$B$59:$K$464,6,FALSE)</f>
        <v>38.249999999999993</v>
      </c>
      <c r="Q269" s="53">
        <f t="shared" si="65"/>
        <v>0</v>
      </c>
      <c r="R269">
        <f>VLOOKUP($B269,[1]ბიუჯეტი!$B$59:$K$464,8,FALSE)</f>
        <v>0</v>
      </c>
      <c r="S269" s="53">
        <f t="shared" si="66"/>
        <v>0</v>
      </c>
      <c r="T269">
        <f>VLOOKUP($B269,[1]ბიუჯეტი!$B$59:$K$464,10,FALSE)</f>
        <v>18086.101694915254</v>
      </c>
      <c r="U269" s="53">
        <f t="shared" si="67"/>
        <v>-3941.8012711864394</v>
      </c>
    </row>
    <row r="270" spans="1:21" hidden="1" outlineLevel="1" x14ac:dyDescent="0.35">
      <c r="A270" s="29">
        <v>1</v>
      </c>
      <c r="B270" s="30" t="s">
        <v>90</v>
      </c>
      <c r="C270" s="8" t="s">
        <v>10</v>
      </c>
      <c r="D270" s="5">
        <f>სამუშაო!E69</f>
        <v>0</v>
      </c>
      <c r="E270" s="5"/>
      <c r="F270" s="5">
        <f t="shared" si="68"/>
        <v>0</v>
      </c>
      <c r="G270" s="5">
        <f>30*1.275</f>
        <v>38.25</v>
      </c>
      <c r="H270" s="5">
        <f>G270*D270</f>
        <v>0</v>
      </c>
      <c r="I270" s="5"/>
      <c r="J270" s="5"/>
      <c r="K270" s="5">
        <f t="shared" ref="K270:K299" si="73">F270+H270</f>
        <v>0</v>
      </c>
      <c r="L270">
        <f>VLOOKUP($B270,[1]ბიუჯეტი!$B$59:$K$464,3,FALSE)</f>
        <v>18.8</v>
      </c>
      <c r="M270" s="53">
        <f t="shared" si="63"/>
        <v>-18.8</v>
      </c>
      <c r="N270">
        <f>VLOOKUP($B270,[1]ბიუჯეტი!$B$59:$K$464,4,FALSE)</f>
        <v>0</v>
      </c>
      <c r="O270" s="53">
        <f t="shared" si="64"/>
        <v>0</v>
      </c>
      <c r="P270">
        <f>VLOOKUP($B270,[1]ბიუჯეტი!$B$59:$K$464,6,FALSE)</f>
        <v>38.25</v>
      </c>
      <c r="Q270" s="53">
        <f t="shared" si="65"/>
        <v>0</v>
      </c>
      <c r="R270">
        <f>VLOOKUP($B270,[1]ბიუჯეტი!$B$59:$K$464,8,FALSE)</f>
        <v>0</v>
      </c>
      <c r="S270" s="53">
        <f t="shared" si="66"/>
        <v>0</v>
      </c>
      <c r="T270">
        <f>VLOOKUP($B270,[1]ბიუჯეტი!$B$59:$K$464,10,FALSE)</f>
        <v>719.1</v>
      </c>
      <c r="U270" s="53">
        <f t="shared" si="67"/>
        <v>-719.1</v>
      </c>
    </row>
    <row r="271" spans="1:21" hidden="1" outlineLevel="1" x14ac:dyDescent="0.35">
      <c r="A271" s="29"/>
      <c r="B271" s="7" t="s">
        <v>91</v>
      </c>
      <c r="C271" s="8" t="s">
        <v>10</v>
      </c>
      <c r="D271" s="5">
        <f>D270*1.05</f>
        <v>0</v>
      </c>
      <c r="E271" s="5">
        <f>45/1.18</f>
        <v>38.135593220338983</v>
      </c>
      <c r="F271" s="5">
        <f t="shared" si="68"/>
        <v>0</v>
      </c>
      <c r="G271" s="5"/>
      <c r="H271" s="5"/>
      <c r="I271" s="5"/>
      <c r="J271" s="5"/>
      <c r="K271" s="5">
        <f t="shared" si="73"/>
        <v>0</v>
      </c>
      <c r="L271">
        <f>VLOOKUP($B271,[1]ბიუჯეტი!$B$59:$K$464,3,FALSE)</f>
        <v>19.740000000000002</v>
      </c>
      <c r="M271" s="53">
        <f t="shared" si="63"/>
        <v>-19.740000000000002</v>
      </c>
      <c r="N271">
        <f>VLOOKUP($B271,[1]ბიუჯეტი!$B$59:$K$464,4,FALSE)</f>
        <v>38.135593220338983</v>
      </c>
      <c r="O271" s="53">
        <f t="shared" si="64"/>
        <v>0</v>
      </c>
      <c r="P271">
        <f>VLOOKUP($B271,[1]ბიუჯეტი!$B$59:$K$464,6,FALSE)</f>
        <v>0</v>
      </c>
      <c r="Q271" s="53">
        <f t="shared" si="65"/>
        <v>0</v>
      </c>
      <c r="R271">
        <f>VLOOKUP($B271,[1]ბიუჯეტი!$B$59:$K$464,8,FALSE)</f>
        <v>0</v>
      </c>
      <c r="S271" s="53">
        <f t="shared" si="66"/>
        <v>0</v>
      </c>
      <c r="T271">
        <f>VLOOKUP($B271,[1]ბიუჯეტი!$B$59:$K$464,10,FALSE)</f>
        <v>752.7966101694916</v>
      </c>
      <c r="U271" s="53">
        <f t="shared" si="67"/>
        <v>-752.7966101694916</v>
      </c>
    </row>
    <row r="272" spans="1:21" hidden="1" outlineLevel="1" x14ac:dyDescent="0.35">
      <c r="A272" s="29"/>
      <c r="B272" s="7" t="s">
        <v>65</v>
      </c>
      <c r="C272" s="8" t="s">
        <v>49</v>
      </c>
      <c r="D272" s="5">
        <f>D270*3/25*1.05</f>
        <v>0</v>
      </c>
      <c r="E272" s="5">
        <f>15/1.18</f>
        <v>12.711864406779661</v>
      </c>
      <c r="F272" s="5">
        <f t="shared" si="68"/>
        <v>0</v>
      </c>
      <c r="G272" s="5"/>
      <c r="H272" s="5"/>
      <c r="I272" s="5"/>
      <c r="J272" s="5"/>
      <c r="K272" s="5">
        <f t="shared" si="73"/>
        <v>0</v>
      </c>
      <c r="L272">
        <f>VLOOKUP($B272,[1]ბიუჯეტი!$B$59:$K$464,3,FALSE)</f>
        <v>45</v>
      </c>
      <c r="M272" s="53">
        <f t="shared" si="63"/>
        <v>-45</v>
      </c>
      <c r="N272">
        <f>VLOOKUP($B272,[1]ბიუჯეტი!$B$59:$K$464,4,FALSE)</f>
        <v>29.661016949152543</v>
      </c>
      <c r="O272" s="53">
        <f t="shared" si="64"/>
        <v>-16.949152542372882</v>
      </c>
      <c r="P272">
        <f>VLOOKUP($B272,[1]ბიუჯეტი!$B$59:$K$464,6,FALSE)</f>
        <v>0</v>
      </c>
      <c r="Q272" s="53">
        <f t="shared" si="65"/>
        <v>0</v>
      </c>
      <c r="R272">
        <f>VLOOKUP($B272,[1]ბიუჯეტი!$B$59:$K$464,8,FALSE)</f>
        <v>0</v>
      </c>
      <c r="S272" s="53">
        <f t="shared" si="66"/>
        <v>0</v>
      </c>
      <c r="T272">
        <f>VLOOKUP($B272,[1]ბიუჯეტი!$B$59:$K$464,10,FALSE)</f>
        <v>1334.7457627118645</v>
      </c>
      <c r="U272" s="53">
        <f t="shared" si="67"/>
        <v>-1334.7457627118645</v>
      </c>
    </row>
    <row r="273" spans="1:21" hidden="1" outlineLevel="1" x14ac:dyDescent="0.35">
      <c r="A273" s="29"/>
      <c r="B273" s="7" t="s">
        <v>14</v>
      </c>
      <c r="C273" s="8" t="s">
        <v>211</v>
      </c>
      <c r="D273" s="5">
        <f>D270</f>
        <v>0</v>
      </c>
      <c r="E273" s="5">
        <f>1/1.18</f>
        <v>0.84745762711864414</v>
      </c>
      <c r="F273" s="5">
        <f t="shared" ref="F273" si="74">D273*E273</f>
        <v>0</v>
      </c>
      <c r="G273" s="5"/>
      <c r="H273" s="5"/>
      <c r="I273" s="5"/>
      <c r="J273" s="5"/>
      <c r="K273" s="5">
        <f t="shared" ref="K273" si="75">F273+H273</f>
        <v>0</v>
      </c>
      <c r="L273">
        <f>VLOOKUP($B273,[1]ბიუჯეტი!$B$59:$K$464,3,FALSE)</f>
        <v>0</v>
      </c>
      <c r="M273" s="53">
        <f t="shared" si="63"/>
        <v>0</v>
      </c>
      <c r="N273">
        <f>VLOOKUP($B273,[1]ბიუჯეტი!$B$59:$K$464,4,FALSE)</f>
        <v>0.84745762711864414</v>
      </c>
      <c r="O273" s="53">
        <f t="shared" si="64"/>
        <v>0</v>
      </c>
      <c r="P273">
        <f>VLOOKUP($B273,[1]ბიუჯეტი!$B$59:$K$464,6,FALSE)</f>
        <v>0</v>
      </c>
      <c r="Q273" s="53">
        <f t="shared" si="65"/>
        <v>0</v>
      </c>
      <c r="R273">
        <f>VLOOKUP($B273,[1]ბიუჯეტი!$B$59:$K$464,8,FALSE)</f>
        <v>0</v>
      </c>
      <c r="S273" s="53">
        <f t="shared" si="66"/>
        <v>0</v>
      </c>
      <c r="T273">
        <f>VLOOKUP($B273,[1]ბიუჯეტი!$B$59:$K$464,10,FALSE)</f>
        <v>0</v>
      </c>
      <c r="U273" s="53">
        <f t="shared" si="67"/>
        <v>0</v>
      </c>
    </row>
    <row r="274" spans="1:21" hidden="1" outlineLevel="1" x14ac:dyDescent="0.35">
      <c r="A274" s="29">
        <v>2</v>
      </c>
      <c r="B274" s="30" t="s">
        <v>190</v>
      </c>
      <c r="C274" s="8" t="s">
        <v>10</v>
      </c>
      <c r="D274" s="5">
        <f>სამუშაო!E70+სამუშაო!E71+სამუშაო!E72</f>
        <v>175.18</v>
      </c>
      <c r="E274" s="5"/>
      <c r="F274" s="5">
        <f t="shared" si="68"/>
        <v>0</v>
      </c>
      <c r="G274" s="5">
        <f>30*1.275</f>
        <v>38.25</v>
      </c>
      <c r="H274" s="5">
        <f>G274*D274</f>
        <v>6700.6350000000002</v>
      </c>
      <c r="I274" s="5"/>
      <c r="J274" s="5"/>
      <c r="K274" s="5">
        <f t="shared" si="73"/>
        <v>6700.6350000000002</v>
      </c>
      <c r="L274">
        <f>VLOOKUP($B274,[1]ბიუჯეტი!$B$59:$K$464,3,FALSE)</f>
        <v>205.20000000000002</v>
      </c>
      <c r="M274" s="53">
        <f t="shared" si="63"/>
        <v>-30.02000000000001</v>
      </c>
      <c r="N274">
        <f>VLOOKUP($B274,[1]ბიუჯეტი!$B$59:$K$464,4,FALSE)</f>
        <v>0</v>
      </c>
      <c r="O274" s="53">
        <f t="shared" si="64"/>
        <v>0</v>
      </c>
      <c r="P274">
        <f>VLOOKUP($B274,[1]ბიუჯეტი!$B$59:$K$464,6,FALSE)</f>
        <v>38.25</v>
      </c>
      <c r="Q274" s="53">
        <f t="shared" si="65"/>
        <v>0</v>
      </c>
      <c r="R274">
        <f>VLOOKUP($B274,[1]ბიუჯეტი!$B$59:$K$464,8,FALSE)</f>
        <v>0</v>
      </c>
      <c r="S274" s="53">
        <f t="shared" si="66"/>
        <v>0</v>
      </c>
      <c r="T274">
        <f>VLOOKUP($B274,[1]ბიუჯეტი!$B$59:$K$464,10,FALSE)</f>
        <v>7848.9000000000005</v>
      </c>
      <c r="U274" s="53">
        <f t="shared" si="67"/>
        <v>-1148.2650000000003</v>
      </c>
    </row>
    <row r="275" spans="1:21" hidden="1" outlineLevel="1" x14ac:dyDescent="0.35">
      <c r="A275" s="29"/>
      <c r="B275" s="7" t="s">
        <v>91</v>
      </c>
      <c r="C275" s="8" t="s">
        <v>10</v>
      </c>
      <c r="D275" s="5">
        <f>D274*1.05</f>
        <v>183.93900000000002</v>
      </c>
      <c r="E275" s="5">
        <f>45/1.18</f>
        <v>38.135593220338983</v>
      </c>
      <c r="F275" s="5">
        <f t="shared" si="68"/>
        <v>7014.6228813559328</v>
      </c>
      <c r="G275" s="5"/>
      <c r="H275" s="5"/>
      <c r="I275" s="5"/>
      <c r="J275" s="5"/>
      <c r="K275" s="5">
        <f t="shared" si="73"/>
        <v>7014.6228813559328</v>
      </c>
      <c r="L275">
        <f>VLOOKUP($B275,[1]ბიუჯეტი!$B$59:$K$464,3,FALSE)</f>
        <v>19.740000000000002</v>
      </c>
      <c r="M275" s="53">
        <f t="shared" si="63"/>
        <v>164.19900000000001</v>
      </c>
      <c r="N275">
        <f>VLOOKUP($B275,[1]ბიუჯეტი!$B$59:$K$464,4,FALSE)</f>
        <v>38.135593220338983</v>
      </c>
      <c r="O275" s="53">
        <f t="shared" si="64"/>
        <v>0</v>
      </c>
      <c r="P275">
        <f>VLOOKUP($B275,[1]ბიუჯეტი!$B$59:$K$464,6,FALSE)</f>
        <v>0</v>
      </c>
      <c r="Q275" s="53">
        <f t="shared" si="65"/>
        <v>0</v>
      </c>
      <c r="R275">
        <f>VLOOKUP($B275,[1]ბიუჯეტი!$B$59:$K$464,8,FALSE)</f>
        <v>0</v>
      </c>
      <c r="S275" s="53">
        <f t="shared" si="66"/>
        <v>0</v>
      </c>
      <c r="T275">
        <f>VLOOKUP($B275,[1]ბიუჯეტი!$B$59:$K$464,10,FALSE)</f>
        <v>752.7966101694916</v>
      </c>
      <c r="U275" s="53">
        <f t="shared" si="67"/>
        <v>6261.8262711864409</v>
      </c>
    </row>
    <row r="276" spans="1:21" hidden="1" outlineLevel="1" x14ac:dyDescent="0.35">
      <c r="A276" s="29"/>
      <c r="B276" s="7" t="s">
        <v>65</v>
      </c>
      <c r="C276" s="8" t="s">
        <v>49</v>
      </c>
      <c r="D276" s="5">
        <f>D274*3/25*1.05</f>
        <v>22.072680000000002</v>
      </c>
      <c r="E276" s="5">
        <f>15/1.18</f>
        <v>12.711864406779661</v>
      </c>
      <c r="F276" s="5">
        <f t="shared" si="68"/>
        <v>280.58491525423733</v>
      </c>
      <c r="G276" s="5"/>
      <c r="H276" s="5"/>
      <c r="I276" s="5"/>
      <c r="J276" s="5"/>
      <c r="K276" s="5">
        <f t="shared" si="73"/>
        <v>280.58491525423733</v>
      </c>
      <c r="L276">
        <f>VLOOKUP($B276,[1]ბიუჯეტი!$B$59:$K$464,3,FALSE)</f>
        <v>45</v>
      </c>
      <c r="M276" s="53">
        <f t="shared" si="63"/>
        <v>-22.927319999999998</v>
      </c>
      <c r="N276">
        <f>VLOOKUP($B276,[1]ბიუჯეტი!$B$59:$K$464,4,FALSE)</f>
        <v>29.661016949152543</v>
      </c>
      <c r="O276" s="53">
        <f t="shared" si="64"/>
        <v>-16.949152542372882</v>
      </c>
      <c r="P276">
        <f>VLOOKUP($B276,[1]ბიუჯეტი!$B$59:$K$464,6,FALSE)</f>
        <v>0</v>
      </c>
      <c r="Q276" s="53">
        <f t="shared" si="65"/>
        <v>0</v>
      </c>
      <c r="R276">
        <f>VLOOKUP($B276,[1]ბიუჯეტი!$B$59:$K$464,8,FALSE)</f>
        <v>0</v>
      </c>
      <c r="S276" s="53">
        <f t="shared" si="66"/>
        <v>0</v>
      </c>
      <c r="T276">
        <f>VLOOKUP($B276,[1]ბიუჯეტი!$B$59:$K$464,10,FALSE)</f>
        <v>1334.7457627118645</v>
      </c>
      <c r="U276" s="53">
        <f t="shared" si="67"/>
        <v>-1054.1608474576271</v>
      </c>
    </row>
    <row r="277" spans="1:21" hidden="1" outlineLevel="1" x14ac:dyDescent="0.35">
      <c r="A277" s="29"/>
      <c r="B277" s="7" t="s">
        <v>14</v>
      </c>
      <c r="C277" s="8" t="s">
        <v>211</v>
      </c>
      <c r="D277" s="5">
        <f>D274</f>
        <v>175.18</v>
      </c>
      <c r="E277" s="5">
        <f>1/1.18</f>
        <v>0.84745762711864414</v>
      </c>
      <c r="F277" s="5">
        <f t="shared" si="68"/>
        <v>148.4576271186441</v>
      </c>
      <c r="G277" s="5"/>
      <c r="H277" s="5"/>
      <c r="I277" s="5"/>
      <c r="J277" s="5"/>
      <c r="K277" s="5">
        <f t="shared" si="73"/>
        <v>148.4576271186441</v>
      </c>
      <c r="L277">
        <f>VLOOKUP($B277,[1]ბიუჯეტი!$B$59:$K$464,3,FALSE)</f>
        <v>0</v>
      </c>
      <c r="M277" s="53">
        <f t="shared" si="63"/>
        <v>175.18</v>
      </c>
      <c r="N277">
        <f>VLOOKUP($B277,[1]ბიუჯეტი!$B$59:$K$464,4,FALSE)</f>
        <v>0.84745762711864414</v>
      </c>
      <c r="O277" s="53">
        <f t="shared" si="64"/>
        <v>0</v>
      </c>
      <c r="P277">
        <f>VLOOKUP($B277,[1]ბიუჯეტი!$B$59:$K$464,6,FALSE)</f>
        <v>0</v>
      </c>
      <c r="Q277" s="53">
        <f t="shared" si="65"/>
        <v>0</v>
      </c>
      <c r="R277">
        <f>VLOOKUP($B277,[1]ბიუჯეტი!$B$59:$K$464,8,FALSE)</f>
        <v>0</v>
      </c>
      <c r="S277" s="53">
        <f t="shared" si="66"/>
        <v>0</v>
      </c>
      <c r="T277">
        <f>VLOOKUP($B277,[1]ბიუჯეტი!$B$59:$K$464,10,FALSE)</f>
        <v>0</v>
      </c>
      <c r="U277" s="53">
        <f t="shared" si="67"/>
        <v>148.4576271186441</v>
      </c>
    </row>
    <row r="278" spans="1:21" collapsed="1" x14ac:dyDescent="0.35">
      <c r="A278" s="29">
        <v>33</v>
      </c>
      <c r="B278" s="30" t="s">
        <v>92</v>
      </c>
      <c r="C278" s="8" t="s">
        <v>10</v>
      </c>
      <c r="D278" s="5">
        <f>SUM(D279,D282,D286)</f>
        <v>206.44</v>
      </c>
      <c r="E278" s="5">
        <f>SUM(F279:F289)/D278</f>
        <v>43.415173777253784</v>
      </c>
      <c r="F278" s="5">
        <f t="shared" si="68"/>
        <v>8962.6284745762714</v>
      </c>
      <c r="G278" s="5">
        <f>SUM(H279:H289)/D278</f>
        <v>38.25</v>
      </c>
      <c r="H278" s="5">
        <f>G278*D278</f>
        <v>7896.33</v>
      </c>
      <c r="I278" s="5">
        <v>0</v>
      </c>
      <c r="J278" s="5">
        <v>0</v>
      </c>
      <c r="K278" s="5">
        <f t="shared" si="73"/>
        <v>16858.95847457627</v>
      </c>
      <c r="L278">
        <f>VLOOKUP($B278,[1]ბიუჯეტი!$B$59:$K$464,3,FALSE)</f>
        <v>242.85999999999999</v>
      </c>
      <c r="M278" s="53">
        <f t="shared" si="63"/>
        <v>-36.419999999999987</v>
      </c>
      <c r="N278">
        <f>VLOOKUP($B278,[1]ბიუჯეტი!$B$59:$K$464,4,FALSE)</f>
        <v>42.674776009614241</v>
      </c>
      <c r="O278" s="53">
        <f t="shared" si="64"/>
        <v>0.74039776763954279</v>
      </c>
      <c r="P278">
        <f>VLOOKUP($B278,[1]ბიუჯეტი!$B$59:$K$464,6,FALSE)</f>
        <v>38.250000000000007</v>
      </c>
      <c r="Q278" s="53">
        <f t="shared" si="65"/>
        <v>0</v>
      </c>
      <c r="R278">
        <f>VLOOKUP($B278,[1]ბიუჯეტი!$B$59:$K$464,8,FALSE)</f>
        <v>0</v>
      </c>
      <c r="S278" s="53">
        <f t="shared" si="66"/>
        <v>0</v>
      </c>
      <c r="T278">
        <f>VLOOKUP($B278,[1]ბიუჯეტი!$B$59:$K$464,10,FALSE)</f>
        <v>19653.391101694913</v>
      </c>
      <c r="U278" s="53">
        <f t="shared" si="67"/>
        <v>-2794.4326271186437</v>
      </c>
    </row>
    <row r="279" spans="1:21" hidden="1" outlineLevel="1" x14ac:dyDescent="0.35">
      <c r="A279" s="29">
        <v>2</v>
      </c>
      <c r="B279" s="30" t="s">
        <v>191</v>
      </c>
      <c r="C279" s="8" t="s">
        <v>10</v>
      </c>
      <c r="D279" s="5">
        <v>0</v>
      </c>
      <c r="E279" s="5"/>
      <c r="F279" s="5">
        <f t="shared" si="68"/>
        <v>0</v>
      </c>
      <c r="G279" s="5">
        <f>30*1.275</f>
        <v>38.25</v>
      </c>
      <c r="H279" s="5">
        <f>G279*D279</f>
        <v>0</v>
      </c>
      <c r="I279" s="5"/>
      <c r="J279" s="5"/>
      <c r="K279" s="5">
        <f t="shared" si="73"/>
        <v>0</v>
      </c>
      <c r="L279">
        <f>VLOOKUP($B279,[1]ბიუჯეტი!$B$59:$K$464,3,FALSE)</f>
        <v>0</v>
      </c>
      <c r="M279" s="53">
        <f t="shared" si="63"/>
        <v>0</v>
      </c>
      <c r="N279">
        <f>VLOOKUP($B279,[1]ბიუჯეტი!$B$59:$K$464,4,FALSE)</f>
        <v>0</v>
      </c>
      <c r="O279" s="53">
        <f t="shared" si="64"/>
        <v>0</v>
      </c>
      <c r="P279">
        <f>VLOOKUP($B279,[1]ბიუჯეტი!$B$59:$K$464,6,FALSE)</f>
        <v>38.25</v>
      </c>
      <c r="Q279" s="53">
        <f t="shared" si="65"/>
        <v>0</v>
      </c>
      <c r="R279">
        <f>VLOOKUP($B279,[1]ბიუჯეტი!$B$59:$K$464,8,FALSE)</f>
        <v>0</v>
      </c>
      <c r="S279" s="53">
        <f t="shared" si="66"/>
        <v>0</v>
      </c>
      <c r="T279">
        <f>VLOOKUP($B279,[1]ბიუჯეტი!$B$59:$K$464,10,FALSE)</f>
        <v>0</v>
      </c>
      <c r="U279" s="53">
        <f t="shared" si="67"/>
        <v>0</v>
      </c>
    </row>
    <row r="280" spans="1:21" hidden="1" outlineLevel="1" x14ac:dyDescent="0.35">
      <c r="A280" s="29"/>
      <c r="B280" s="7" t="s">
        <v>91</v>
      </c>
      <c r="C280" s="8" t="s">
        <v>10</v>
      </c>
      <c r="D280" s="5">
        <f>D279*1.05</f>
        <v>0</v>
      </c>
      <c r="E280" s="5">
        <f>45/1.18</f>
        <v>38.135593220338983</v>
      </c>
      <c r="F280" s="5">
        <f t="shared" si="68"/>
        <v>0</v>
      </c>
      <c r="G280" s="5"/>
      <c r="H280" s="5"/>
      <c r="I280" s="5"/>
      <c r="J280" s="5"/>
      <c r="K280" s="5">
        <f t="shared" si="73"/>
        <v>0</v>
      </c>
      <c r="L280">
        <f>VLOOKUP($B280,[1]ბიუჯეტი!$B$59:$K$464,3,FALSE)</f>
        <v>19.740000000000002</v>
      </c>
      <c r="M280" s="53">
        <f t="shared" si="63"/>
        <v>-19.740000000000002</v>
      </c>
      <c r="N280">
        <f>VLOOKUP($B280,[1]ბიუჯეტი!$B$59:$K$464,4,FALSE)</f>
        <v>38.135593220338983</v>
      </c>
      <c r="O280" s="53">
        <f t="shared" si="64"/>
        <v>0</v>
      </c>
      <c r="P280">
        <f>VLOOKUP($B280,[1]ბიუჯეტი!$B$59:$K$464,6,FALSE)</f>
        <v>0</v>
      </c>
      <c r="Q280" s="53">
        <f t="shared" si="65"/>
        <v>0</v>
      </c>
      <c r="R280">
        <f>VLOOKUP($B280,[1]ბიუჯეტი!$B$59:$K$464,8,FALSE)</f>
        <v>0</v>
      </c>
      <c r="S280" s="53">
        <f t="shared" si="66"/>
        <v>0</v>
      </c>
      <c r="T280">
        <f>VLOOKUP($B280,[1]ბიუჯეტი!$B$59:$K$464,10,FALSE)</f>
        <v>752.7966101694916</v>
      </c>
      <c r="U280" s="53">
        <f t="shared" si="67"/>
        <v>-752.7966101694916</v>
      </c>
    </row>
    <row r="281" spans="1:21" hidden="1" outlineLevel="1" x14ac:dyDescent="0.35">
      <c r="A281" s="29"/>
      <c r="B281" s="7" t="s">
        <v>65</v>
      </c>
      <c r="C281" s="8" t="s">
        <v>49</v>
      </c>
      <c r="D281" s="5">
        <f>D279*3/25*1.05</f>
        <v>0</v>
      </c>
      <c r="E281" s="5">
        <f>15/1.18</f>
        <v>12.711864406779661</v>
      </c>
      <c r="F281" s="5">
        <f t="shared" si="68"/>
        <v>0</v>
      </c>
      <c r="G281" s="5"/>
      <c r="H281" s="5"/>
      <c r="I281" s="5"/>
      <c r="J281" s="5"/>
      <c r="K281" s="5">
        <f t="shared" si="73"/>
        <v>0</v>
      </c>
      <c r="L281">
        <f>VLOOKUP($B281,[1]ბიუჯეტი!$B$59:$K$464,3,FALSE)</f>
        <v>45</v>
      </c>
      <c r="M281" s="53">
        <f t="shared" si="63"/>
        <v>-45</v>
      </c>
      <c r="N281">
        <f>VLOOKUP($B281,[1]ბიუჯეტი!$B$59:$K$464,4,FALSE)</f>
        <v>29.661016949152543</v>
      </c>
      <c r="O281" s="53">
        <f t="shared" si="64"/>
        <v>-16.949152542372882</v>
      </c>
      <c r="P281">
        <f>VLOOKUP($B281,[1]ბიუჯეტი!$B$59:$K$464,6,FALSE)</f>
        <v>0</v>
      </c>
      <c r="Q281" s="53">
        <f t="shared" si="65"/>
        <v>0</v>
      </c>
      <c r="R281">
        <f>VLOOKUP($B281,[1]ბიუჯეტი!$B$59:$K$464,8,FALSE)</f>
        <v>0</v>
      </c>
      <c r="S281" s="53">
        <f t="shared" si="66"/>
        <v>0</v>
      </c>
      <c r="T281">
        <f>VLOOKUP($B281,[1]ბიუჯეტი!$B$59:$K$464,10,FALSE)</f>
        <v>1334.7457627118645</v>
      </c>
      <c r="U281" s="53">
        <f t="shared" si="67"/>
        <v>-1334.7457627118645</v>
      </c>
    </row>
    <row r="282" spans="1:21" hidden="1" outlineLevel="1" x14ac:dyDescent="0.35">
      <c r="A282" s="29">
        <v>3</v>
      </c>
      <c r="B282" s="30" t="s">
        <v>90</v>
      </c>
      <c r="C282" s="8" t="s">
        <v>10</v>
      </c>
      <c r="D282" s="5">
        <f>სამუშაო!D69</f>
        <v>0</v>
      </c>
      <c r="E282" s="5"/>
      <c r="F282" s="5">
        <f t="shared" si="68"/>
        <v>0</v>
      </c>
      <c r="G282" s="5">
        <f>30*1.275</f>
        <v>38.25</v>
      </c>
      <c r="H282" s="5">
        <f>G282*D282</f>
        <v>0</v>
      </c>
      <c r="I282" s="5"/>
      <c r="J282" s="5"/>
      <c r="K282" s="5">
        <f t="shared" si="73"/>
        <v>0</v>
      </c>
      <c r="L282">
        <f>VLOOKUP($B282,[1]ბიუჯეტი!$B$59:$K$464,3,FALSE)</f>
        <v>18.8</v>
      </c>
      <c r="M282" s="53">
        <f t="shared" si="63"/>
        <v>-18.8</v>
      </c>
      <c r="N282">
        <f>VLOOKUP($B282,[1]ბიუჯეტი!$B$59:$K$464,4,FALSE)</f>
        <v>0</v>
      </c>
      <c r="O282" s="53">
        <f t="shared" si="64"/>
        <v>0</v>
      </c>
      <c r="P282">
        <f>VLOOKUP($B282,[1]ბიუჯეტი!$B$59:$K$464,6,FALSE)</f>
        <v>38.25</v>
      </c>
      <c r="Q282" s="53">
        <f t="shared" si="65"/>
        <v>0</v>
      </c>
      <c r="R282">
        <f>VLOOKUP($B282,[1]ბიუჯეტი!$B$59:$K$464,8,FALSE)</f>
        <v>0</v>
      </c>
      <c r="S282" s="53">
        <f t="shared" si="66"/>
        <v>0</v>
      </c>
      <c r="T282">
        <f>VLOOKUP($B282,[1]ბიუჯეტი!$B$59:$K$464,10,FALSE)</f>
        <v>719.1</v>
      </c>
      <c r="U282" s="53">
        <f t="shared" si="67"/>
        <v>-719.1</v>
      </c>
    </row>
    <row r="283" spans="1:21" hidden="1" outlineLevel="1" x14ac:dyDescent="0.35">
      <c r="A283" s="29"/>
      <c r="B283" s="7" t="s">
        <v>91</v>
      </c>
      <c r="C283" s="8" t="s">
        <v>10</v>
      </c>
      <c r="D283" s="5">
        <f>D282+5</f>
        <v>5</v>
      </c>
      <c r="E283" s="5">
        <f>45/1.18</f>
        <v>38.135593220338983</v>
      </c>
      <c r="F283" s="5">
        <f t="shared" si="68"/>
        <v>190.67796610169492</v>
      </c>
      <c r="G283" s="5"/>
      <c r="H283" s="5"/>
      <c r="I283" s="5"/>
      <c r="J283" s="5"/>
      <c r="K283" s="5">
        <f t="shared" si="73"/>
        <v>190.67796610169492</v>
      </c>
      <c r="L283">
        <f>VLOOKUP($B283,[1]ბიუჯეტი!$B$59:$K$464,3,FALSE)</f>
        <v>19.740000000000002</v>
      </c>
      <c r="M283" s="53">
        <f t="shared" si="63"/>
        <v>-14.740000000000002</v>
      </c>
      <c r="N283">
        <f>VLOOKUP($B283,[1]ბიუჯეტი!$B$59:$K$464,4,FALSE)</f>
        <v>38.135593220338983</v>
      </c>
      <c r="O283" s="53">
        <f t="shared" si="64"/>
        <v>0</v>
      </c>
      <c r="P283">
        <f>VLOOKUP($B283,[1]ბიუჯეტი!$B$59:$K$464,6,FALSE)</f>
        <v>0</v>
      </c>
      <c r="Q283" s="53">
        <f t="shared" si="65"/>
        <v>0</v>
      </c>
      <c r="R283">
        <f>VLOOKUP($B283,[1]ბიუჯეტი!$B$59:$K$464,8,FALSE)</f>
        <v>0</v>
      </c>
      <c r="S283" s="53">
        <f t="shared" si="66"/>
        <v>0</v>
      </c>
      <c r="T283">
        <f>VLOOKUP($B283,[1]ბიუჯეტი!$B$59:$K$464,10,FALSE)</f>
        <v>752.7966101694916</v>
      </c>
      <c r="U283" s="53">
        <f t="shared" si="67"/>
        <v>-562.11864406779671</v>
      </c>
    </row>
    <row r="284" spans="1:21" hidden="1" outlineLevel="1" x14ac:dyDescent="0.35">
      <c r="A284" s="29"/>
      <c r="B284" s="7" t="s">
        <v>65</v>
      </c>
      <c r="C284" s="8" t="s">
        <v>49</v>
      </c>
      <c r="D284" s="5">
        <f>D282*3/25*1.05</f>
        <v>0</v>
      </c>
      <c r="E284" s="5">
        <f>15/1.18</f>
        <v>12.711864406779661</v>
      </c>
      <c r="F284" s="5">
        <f t="shared" si="68"/>
        <v>0</v>
      </c>
      <c r="G284" s="5"/>
      <c r="H284" s="5"/>
      <c r="I284" s="5"/>
      <c r="J284" s="5"/>
      <c r="K284" s="5">
        <f t="shared" si="73"/>
        <v>0</v>
      </c>
      <c r="L284">
        <f>VLOOKUP($B284,[1]ბიუჯეტი!$B$59:$K$464,3,FALSE)</f>
        <v>45</v>
      </c>
      <c r="M284" s="53">
        <f t="shared" si="63"/>
        <v>-45</v>
      </c>
      <c r="N284">
        <f>VLOOKUP($B284,[1]ბიუჯეტი!$B$59:$K$464,4,FALSE)</f>
        <v>29.661016949152543</v>
      </c>
      <c r="O284" s="53">
        <f t="shared" si="64"/>
        <v>-16.949152542372882</v>
      </c>
      <c r="P284">
        <f>VLOOKUP($B284,[1]ბიუჯეტი!$B$59:$K$464,6,FALSE)</f>
        <v>0</v>
      </c>
      <c r="Q284" s="53">
        <f t="shared" si="65"/>
        <v>0</v>
      </c>
      <c r="R284">
        <f>VLOOKUP($B284,[1]ბიუჯეტი!$B$59:$K$464,8,FALSE)</f>
        <v>0</v>
      </c>
      <c r="S284" s="53">
        <f t="shared" si="66"/>
        <v>0</v>
      </c>
      <c r="T284">
        <f>VLOOKUP($B284,[1]ბიუჯეტი!$B$59:$K$464,10,FALSE)</f>
        <v>1334.7457627118645</v>
      </c>
      <c r="U284" s="53">
        <f t="shared" si="67"/>
        <v>-1334.7457627118645</v>
      </c>
    </row>
    <row r="285" spans="1:21" hidden="1" outlineLevel="1" x14ac:dyDescent="0.35">
      <c r="A285" s="29"/>
      <c r="B285" s="7" t="s">
        <v>14</v>
      </c>
      <c r="C285" s="8" t="s">
        <v>211</v>
      </c>
      <c r="D285" s="5">
        <f>D282</f>
        <v>0</v>
      </c>
      <c r="E285" s="5">
        <f>1/1.18</f>
        <v>0.84745762711864414</v>
      </c>
      <c r="F285" s="5">
        <f t="shared" si="68"/>
        <v>0</v>
      </c>
      <c r="G285" s="5"/>
      <c r="H285" s="5"/>
      <c r="I285" s="5"/>
      <c r="J285" s="5"/>
      <c r="K285" s="5">
        <f t="shared" si="73"/>
        <v>0</v>
      </c>
      <c r="L285">
        <f>VLOOKUP($B285,[1]ბიუჯეტი!$B$59:$K$464,3,FALSE)</f>
        <v>0</v>
      </c>
      <c r="M285" s="53">
        <f t="shared" si="63"/>
        <v>0</v>
      </c>
      <c r="N285">
        <f>VLOOKUP($B285,[1]ბიუჯეტი!$B$59:$K$464,4,FALSE)</f>
        <v>0.84745762711864414</v>
      </c>
      <c r="O285" s="53">
        <f t="shared" si="64"/>
        <v>0</v>
      </c>
      <c r="P285">
        <f>VLOOKUP($B285,[1]ბიუჯეტი!$B$59:$K$464,6,FALSE)</f>
        <v>0</v>
      </c>
      <c r="Q285" s="53">
        <f t="shared" si="65"/>
        <v>0</v>
      </c>
      <c r="R285">
        <f>VLOOKUP($B285,[1]ბიუჯეტი!$B$59:$K$464,8,FALSE)</f>
        <v>0</v>
      </c>
      <c r="S285" s="53">
        <f t="shared" si="66"/>
        <v>0</v>
      </c>
      <c r="T285">
        <f>VLOOKUP($B285,[1]ბიუჯეტი!$B$59:$K$464,10,FALSE)</f>
        <v>0</v>
      </c>
      <c r="U285" s="53">
        <f t="shared" si="67"/>
        <v>0</v>
      </c>
    </row>
    <row r="286" spans="1:21" hidden="1" outlineLevel="1" x14ac:dyDescent="0.35">
      <c r="A286" s="29">
        <v>4</v>
      </c>
      <c r="B286" s="30" t="s">
        <v>190</v>
      </c>
      <c r="C286" s="8" t="s">
        <v>10</v>
      </c>
      <c r="D286" s="5">
        <f>სამუშაო!D70+სამუშაო!D71+სამუშაო!D72</f>
        <v>206.44</v>
      </c>
      <c r="E286" s="5"/>
      <c r="F286" s="5">
        <f t="shared" si="68"/>
        <v>0</v>
      </c>
      <c r="G286" s="5">
        <f>30*1.275</f>
        <v>38.25</v>
      </c>
      <c r="H286" s="5">
        <f>G286*D286</f>
        <v>7896.33</v>
      </c>
      <c r="I286" s="5"/>
      <c r="J286" s="5"/>
      <c r="K286" s="5">
        <f t="shared" si="73"/>
        <v>7896.33</v>
      </c>
      <c r="L286">
        <f>VLOOKUP($B286,[1]ბიუჯეტი!$B$59:$K$464,3,FALSE)</f>
        <v>205.20000000000002</v>
      </c>
      <c r="M286" s="53">
        <f t="shared" si="63"/>
        <v>1.2399999999999807</v>
      </c>
      <c r="N286">
        <f>VLOOKUP($B286,[1]ბიუჯეტი!$B$59:$K$464,4,FALSE)</f>
        <v>0</v>
      </c>
      <c r="O286" s="53">
        <f t="shared" si="64"/>
        <v>0</v>
      </c>
      <c r="P286">
        <f>VLOOKUP($B286,[1]ბიუჯეტი!$B$59:$K$464,6,FALSE)</f>
        <v>38.25</v>
      </c>
      <c r="Q286" s="53">
        <f t="shared" si="65"/>
        <v>0</v>
      </c>
      <c r="R286">
        <f>VLOOKUP($B286,[1]ბიუჯეტი!$B$59:$K$464,8,FALSE)</f>
        <v>0</v>
      </c>
      <c r="S286" s="53">
        <f t="shared" si="66"/>
        <v>0</v>
      </c>
      <c r="T286">
        <f>VLOOKUP($B286,[1]ბიუჯეტი!$B$59:$K$464,10,FALSE)</f>
        <v>7848.9000000000005</v>
      </c>
      <c r="U286" s="53">
        <f t="shared" si="67"/>
        <v>47.429999999999382</v>
      </c>
    </row>
    <row r="287" spans="1:21" hidden="1" outlineLevel="1" x14ac:dyDescent="0.35">
      <c r="A287" s="29"/>
      <c r="B287" s="7" t="s">
        <v>91</v>
      </c>
      <c r="C287" s="8" t="s">
        <v>10</v>
      </c>
      <c r="D287" s="5">
        <f>D286*1.05</f>
        <v>216.762</v>
      </c>
      <c r="E287" s="5">
        <f>45/1.18</f>
        <v>38.135593220338983</v>
      </c>
      <c r="F287" s="5">
        <f t="shared" si="68"/>
        <v>8266.3474576271183</v>
      </c>
      <c r="G287" s="5"/>
      <c r="H287" s="5"/>
      <c r="I287" s="5"/>
      <c r="J287" s="5"/>
      <c r="K287" s="5">
        <f t="shared" si="73"/>
        <v>8266.3474576271183</v>
      </c>
      <c r="L287">
        <f>VLOOKUP($B287,[1]ბიუჯეტი!$B$59:$K$464,3,FALSE)</f>
        <v>19.740000000000002</v>
      </c>
      <c r="M287" s="53">
        <f t="shared" si="63"/>
        <v>197.02199999999999</v>
      </c>
      <c r="N287">
        <f>VLOOKUP($B287,[1]ბიუჯეტი!$B$59:$K$464,4,FALSE)</f>
        <v>38.135593220338983</v>
      </c>
      <c r="O287" s="53">
        <f t="shared" si="64"/>
        <v>0</v>
      </c>
      <c r="P287">
        <f>VLOOKUP($B287,[1]ბიუჯეტი!$B$59:$K$464,6,FALSE)</f>
        <v>0</v>
      </c>
      <c r="Q287" s="53">
        <f t="shared" si="65"/>
        <v>0</v>
      </c>
      <c r="R287">
        <f>VLOOKUP($B287,[1]ბიუჯეტი!$B$59:$K$464,8,FALSE)</f>
        <v>0</v>
      </c>
      <c r="S287" s="53">
        <f t="shared" si="66"/>
        <v>0</v>
      </c>
      <c r="T287">
        <f>VLOOKUP($B287,[1]ბიუჯეტი!$B$59:$K$464,10,FALSE)</f>
        <v>752.7966101694916</v>
      </c>
      <c r="U287" s="53">
        <f t="shared" si="67"/>
        <v>7513.5508474576263</v>
      </c>
    </row>
    <row r="288" spans="1:21" hidden="1" outlineLevel="1" x14ac:dyDescent="0.35">
      <c r="A288" s="29"/>
      <c r="B288" s="7" t="s">
        <v>65</v>
      </c>
      <c r="C288" s="8" t="s">
        <v>49</v>
      </c>
      <c r="D288" s="5">
        <f>D286*3/25*1.05</f>
        <v>26.011439999999997</v>
      </c>
      <c r="E288" s="5">
        <f>15/1.18</f>
        <v>12.711864406779661</v>
      </c>
      <c r="F288" s="5">
        <f t="shared" si="68"/>
        <v>330.65389830508468</v>
      </c>
      <c r="G288" s="5"/>
      <c r="H288" s="5"/>
      <c r="I288" s="5"/>
      <c r="J288" s="5"/>
      <c r="K288" s="5">
        <f t="shared" si="73"/>
        <v>330.65389830508468</v>
      </c>
      <c r="L288">
        <f>VLOOKUP($B288,[1]ბიუჯეტი!$B$59:$K$464,3,FALSE)</f>
        <v>45</v>
      </c>
      <c r="M288" s="53">
        <f t="shared" si="63"/>
        <v>-18.988560000000003</v>
      </c>
      <c r="N288">
        <f>VLOOKUP($B288,[1]ბიუჯეტი!$B$59:$K$464,4,FALSE)</f>
        <v>29.661016949152543</v>
      </c>
      <c r="O288" s="53">
        <f t="shared" si="64"/>
        <v>-16.949152542372882</v>
      </c>
      <c r="P288">
        <f>VLOOKUP($B288,[1]ბიუჯეტი!$B$59:$K$464,6,FALSE)</f>
        <v>0</v>
      </c>
      <c r="Q288" s="53">
        <f t="shared" si="65"/>
        <v>0</v>
      </c>
      <c r="R288">
        <f>VLOOKUP($B288,[1]ბიუჯეტი!$B$59:$K$464,8,FALSE)</f>
        <v>0</v>
      </c>
      <c r="S288" s="53">
        <f t="shared" si="66"/>
        <v>0</v>
      </c>
      <c r="T288">
        <f>VLOOKUP($B288,[1]ბიუჯეტი!$B$59:$K$464,10,FALSE)</f>
        <v>1334.7457627118645</v>
      </c>
      <c r="U288" s="53">
        <f t="shared" si="67"/>
        <v>-1004.0918644067798</v>
      </c>
    </row>
    <row r="289" spans="1:21" hidden="1" outlineLevel="1" x14ac:dyDescent="0.35">
      <c r="A289" s="29"/>
      <c r="B289" s="7" t="s">
        <v>14</v>
      </c>
      <c r="C289" s="8" t="s">
        <v>211</v>
      </c>
      <c r="D289" s="5">
        <f>D286</f>
        <v>206.44</v>
      </c>
      <c r="E289" s="5">
        <f>1/1.18</f>
        <v>0.84745762711864414</v>
      </c>
      <c r="F289" s="5">
        <f t="shared" si="68"/>
        <v>174.9491525423729</v>
      </c>
      <c r="G289" s="5"/>
      <c r="H289" s="5"/>
      <c r="I289" s="5"/>
      <c r="J289" s="5"/>
      <c r="K289" s="5">
        <f t="shared" si="73"/>
        <v>174.9491525423729</v>
      </c>
      <c r="L289">
        <f>VLOOKUP($B289,[1]ბიუჯეტი!$B$59:$K$464,3,FALSE)</f>
        <v>0</v>
      </c>
      <c r="M289" s="53">
        <f t="shared" si="63"/>
        <v>206.44</v>
      </c>
      <c r="N289">
        <f>VLOOKUP($B289,[1]ბიუჯეტი!$B$59:$K$464,4,FALSE)</f>
        <v>0.84745762711864414</v>
      </c>
      <c r="O289" s="53">
        <f t="shared" si="64"/>
        <v>0</v>
      </c>
      <c r="P289">
        <f>VLOOKUP($B289,[1]ბიუჯეტი!$B$59:$K$464,6,FALSE)</f>
        <v>0</v>
      </c>
      <c r="Q289" s="53">
        <f t="shared" si="65"/>
        <v>0</v>
      </c>
      <c r="R289">
        <f>VLOOKUP($B289,[1]ბიუჯეტი!$B$59:$K$464,8,FALSE)</f>
        <v>0</v>
      </c>
      <c r="S289" s="53">
        <f t="shared" si="66"/>
        <v>0</v>
      </c>
      <c r="T289">
        <f>VLOOKUP($B289,[1]ბიუჯეტი!$B$59:$K$464,10,FALSE)</f>
        <v>0</v>
      </c>
      <c r="U289" s="53">
        <f t="shared" si="67"/>
        <v>174.9491525423729</v>
      </c>
    </row>
    <row r="290" spans="1:21" collapsed="1" x14ac:dyDescent="0.35">
      <c r="A290" s="29">
        <v>34</v>
      </c>
      <c r="B290" s="30" t="s">
        <v>93</v>
      </c>
      <c r="C290" s="8" t="s">
        <v>40</v>
      </c>
      <c r="D290" s="5">
        <f>SUM(D291,D294,D297)</f>
        <v>607.62</v>
      </c>
      <c r="E290" s="5">
        <f>SUM(F291:F299)/D290</f>
        <v>39.737288135593218</v>
      </c>
      <c r="F290" s="5">
        <f>D290*E290</f>
        <v>24145.171016949153</v>
      </c>
      <c r="G290" s="5">
        <f>SUM(H291:H299)/D290</f>
        <v>15.299999999999999</v>
      </c>
      <c r="H290" s="5">
        <f>G290*D290</f>
        <v>9296.5859999999993</v>
      </c>
      <c r="I290" s="5">
        <v>0</v>
      </c>
      <c r="J290" s="5">
        <v>0</v>
      </c>
      <c r="K290" s="5">
        <f t="shared" si="73"/>
        <v>33441.757016949152</v>
      </c>
      <c r="L290">
        <f>VLOOKUP($B290,[1]ბიუჯეტი!$B$59:$K$464,3,FALSE)</f>
        <v>846</v>
      </c>
      <c r="M290" s="53">
        <f t="shared" si="63"/>
        <v>-238.38</v>
      </c>
      <c r="N290">
        <f>VLOOKUP($B290,[1]ბიუჯეტი!$B$59:$K$464,4,FALSE)</f>
        <v>39.737288135593225</v>
      </c>
      <c r="O290" s="53">
        <f t="shared" si="64"/>
        <v>0</v>
      </c>
      <c r="P290">
        <f>VLOOKUP($B290,[1]ბიუჯეტი!$B$59:$K$464,6,FALSE)</f>
        <v>15.299999999999999</v>
      </c>
      <c r="Q290" s="53">
        <f t="shared" si="65"/>
        <v>0</v>
      </c>
      <c r="R290">
        <f>VLOOKUP($B290,[1]ბიუჯეტი!$B$59:$K$464,8,FALSE)</f>
        <v>0</v>
      </c>
      <c r="S290" s="53">
        <f t="shared" si="66"/>
        <v>0</v>
      </c>
      <c r="T290">
        <f>VLOOKUP($B290,[1]ბიუჯეტი!$B$59:$K$464,10,FALSE)</f>
        <v>46561.545762711874</v>
      </c>
      <c r="U290" s="53">
        <f t="shared" si="67"/>
        <v>-13119.788745762722</v>
      </c>
    </row>
    <row r="291" spans="1:21" hidden="1" outlineLevel="1" x14ac:dyDescent="0.35">
      <c r="A291" s="29">
        <v>2</v>
      </c>
      <c r="B291" s="30" t="s">
        <v>192</v>
      </c>
      <c r="C291" s="8" t="s">
        <v>40</v>
      </c>
      <c r="D291" s="5">
        <v>0</v>
      </c>
      <c r="E291" s="5"/>
      <c r="F291" s="5">
        <f t="shared" si="68"/>
        <v>0</v>
      </c>
      <c r="G291" s="5">
        <f>12*1.275</f>
        <v>15.299999999999999</v>
      </c>
      <c r="H291" s="5">
        <f>G291*D291</f>
        <v>0</v>
      </c>
      <c r="I291" s="5"/>
      <c r="J291" s="5"/>
      <c r="K291" s="5">
        <f t="shared" si="73"/>
        <v>0</v>
      </c>
      <c r="L291">
        <f>VLOOKUP($B291,[1]ბიუჯეტი!$B$59:$K$464,3,FALSE)</f>
        <v>0</v>
      </c>
      <c r="M291" s="53">
        <f t="shared" si="63"/>
        <v>0</v>
      </c>
      <c r="N291">
        <f>VLOOKUP($B291,[1]ბიუჯეტი!$B$59:$K$464,4,FALSE)</f>
        <v>0</v>
      </c>
      <c r="O291" s="53">
        <f t="shared" si="64"/>
        <v>0</v>
      </c>
      <c r="P291">
        <f>VLOOKUP($B291,[1]ბიუჯეტი!$B$59:$K$464,6,FALSE)</f>
        <v>15.299999999999999</v>
      </c>
      <c r="Q291" s="53">
        <f t="shared" si="65"/>
        <v>0</v>
      </c>
      <c r="R291">
        <f>VLOOKUP($B291,[1]ბიუჯეტი!$B$59:$K$464,8,FALSE)</f>
        <v>0</v>
      </c>
      <c r="S291" s="53">
        <f t="shared" si="66"/>
        <v>0</v>
      </c>
      <c r="T291">
        <f>VLOOKUP($B291,[1]ბიუჯეტი!$B$59:$K$464,10,FALSE)</f>
        <v>0</v>
      </c>
      <c r="U291" s="53">
        <f t="shared" si="67"/>
        <v>0</v>
      </c>
    </row>
    <row r="292" spans="1:21" hidden="1" outlineLevel="1" x14ac:dyDescent="0.35">
      <c r="A292" s="29"/>
      <c r="B292" s="7" t="s">
        <v>91</v>
      </c>
      <c r="C292" s="8" t="s">
        <v>10</v>
      </c>
      <c r="D292" s="5">
        <f>D291</f>
        <v>0</v>
      </c>
      <c r="E292" s="5">
        <f>45/1.18</f>
        <v>38.135593220338983</v>
      </c>
      <c r="F292" s="5">
        <f t="shared" si="68"/>
        <v>0</v>
      </c>
      <c r="G292" s="5"/>
      <c r="H292" s="5"/>
      <c r="I292" s="5"/>
      <c r="J292" s="5"/>
      <c r="K292" s="5">
        <f t="shared" si="73"/>
        <v>0</v>
      </c>
      <c r="L292">
        <f>VLOOKUP($B292,[1]ბიუჯეტი!$B$59:$K$464,3,FALSE)</f>
        <v>19.740000000000002</v>
      </c>
      <c r="M292" s="53">
        <f t="shared" si="63"/>
        <v>-19.740000000000002</v>
      </c>
      <c r="N292">
        <f>VLOOKUP($B292,[1]ბიუჯეტი!$B$59:$K$464,4,FALSE)</f>
        <v>38.135593220338983</v>
      </c>
      <c r="O292" s="53">
        <f t="shared" si="64"/>
        <v>0</v>
      </c>
      <c r="P292">
        <f>VLOOKUP($B292,[1]ბიუჯეტი!$B$59:$K$464,6,FALSE)</f>
        <v>0</v>
      </c>
      <c r="Q292" s="53">
        <f t="shared" si="65"/>
        <v>0</v>
      </c>
      <c r="R292">
        <f>VLOOKUP($B292,[1]ბიუჯეტი!$B$59:$K$464,8,FALSE)</f>
        <v>0</v>
      </c>
      <c r="S292" s="53">
        <f t="shared" si="66"/>
        <v>0</v>
      </c>
      <c r="T292">
        <f>VLOOKUP($B292,[1]ბიუჯეტი!$B$59:$K$464,10,FALSE)</f>
        <v>752.7966101694916</v>
      </c>
      <c r="U292" s="53">
        <f t="shared" si="67"/>
        <v>-752.7966101694916</v>
      </c>
    </row>
    <row r="293" spans="1:21" hidden="1" outlineLevel="1" x14ac:dyDescent="0.35">
      <c r="A293" s="29"/>
      <c r="B293" s="7" t="s">
        <v>65</v>
      </c>
      <c r="C293" s="8" t="s">
        <v>49</v>
      </c>
      <c r="D293" s="5">
        <f>D292*3*1.05/25</f>
        <v>0</v>
      </c>
      <c r="E293" s="5">
        <f>15/1.18</f>
        <v>12.711864406779661</v>
      </c>
      <c r="F293" s="5">
        <f t="shared" si="68"/>
        <v>0</v>
      </c>
      <c r="G293" s="5"/>
      <c r="H293" s="5"/>
      <c r="I293" s="5"/>
      <c r="J293" s="5"/>
      <c r="K293" s="5">
        <f t="shared" si="73"/>
        <v>0</v>
      </c>
      <c r="L293">
        <f>VLOOKUP($B293,[1]ბიუჯეტი!$B$59:$K$464,3,FALSE)</f>
        <v>45</v>
      </c>
      <c r="M293" s="53">
        <f t="shared" si="63"/>
        <v>-45</v>
      </c>
      <c r="N293">
        <f>VLOOKUP($B293,[1]ბიუჯეტი!$B$59:$K$464,4,FALSE)</f>
        <v>29.661016949152543</v>
      </c>
      <c r="O293" s="53">
        <f t="shared" si="64"/>
        <v>-16.949152542372882</v>
      </c>
      <c r="P293">
        <f>VLOOKUP($B293,[1]ბიუჯეტი!$B$59:$K$464,6,FALSE)</f>
        <v>0</v>
      </c>
      <c r="Q293" s="53">
        <f t="shared" si="65"/>
        <v>0</v>
      </c>
      <c r="R293">
        <f>VLOOKUP($B293,[1]ბიუჯეტი!$B$59:$K$464,8,FALSE)</f>
        <v>0</v>
      </c>
      <c r="S293" s="53">
        <f t="shared" si="66"/>
        <v>0</v>
      </c>
      <c r="T293">
        <f>VLOOKUP($B293,[1]ბიუჯეტი!$B$59:$K$464,10,FALSE)</f>
        <v>1334.7457627118645</v>
      </c>
      <c r="U293" s="53">
        <f t="shared" si="67"/>
        <v>-1334.7457627118645</v>
      </c>
    </row>
    <row r="294" spans="1:21" hidden="1" outlineLevel="1" x14ac:dyDescent="0.35">
      <c r="A294" s="29">
        <v>3</v>
      </c>
      <c r="B294" s="30" t="s">
        <v>94</v>
      </c>
      <c r="C294" s="8" t="s">
        <v>40</v>
      </c>
      <c r="D294" s="5">
        <f>სამუშაო!F69</f>
        <v>0</v>
      </c>
      <c r="E294" s="5"/>
      <c r="F294" s="5">
        <f t="shared" si="68"/>
        <v>0</v>
      </c>
      <c r="G294" s="5">
        <f>12*1.275</f>
        <v>15.299999999999999</v>
      </c>
      <c r="H294" s="5">
        <f>G294*D294</f>
        <v>0</v>
      </c>
      <c r="I294" s="5"/>
      <c r="J294" s="5"/>
      <c r="K294" s="5">
        <f t="shared" si="73"/>
        <v>0</v>
      </c>
      <c r="L294">
        <f>VLOOKUP($B294,[1]ბიუჯეტი!$B$59:$K$464,3,FALSE)</f>
        <v>211.5</v>
      </c>
      <c r="M294" s="53">
        <f t="shared" si="63"/>
        <v>-211.5</v>
      </c>
      <c r="N294">
        <f>VLOOKUP($B294,[1]ბიუჯეტი!$B$59:$K$464,4,FALSE)</f>
        <v>0</v>
      </c>
      <c r="O294" s="53">
        <f t="shared" si="64"/>
        <v>0</v>
      </c>
      <c r="P294">
        <f>VLOOKUP($B294,[1]ბიუჯეტი!$B$59:$K$464,6,FALSE)</f>
        <v>15.299999999999999</v>
      </c>
      <c r="Q294" s="53">
        <f t="shared" si="65"/>
        <v>0</v>
      </c>
      <c r="R294">
        <f>VLOOKUP($B294,[1]ბიუჯეტი!$B$59:$K$464,8,FALSE)</f>
        <v>0</v>
      </c>
      <c r="S294" s="53">
        <f t="shared" si="66"/>
        <v>0</v>
      </c>
      <c r="T294">
        <f>VLOOKUP($B294,[1]ბიუჯეტი!$B$59:$K$464,10,FALSE)</f>
        <v>3235.95</v>
      </c>
      <c r="U294" s="53">
        <f t="shared" si="67"/>
        <v>-3235.95</v>
      </c>
    </row>
    <row r="295" spans="1:21" hidden="1" outlineLevel="1" x14ac:dyDescent="0.35">
      <c r="A295" s="29"/>
      <c r="B295" s="7" t="s">
        <v>91</v>
      </c>
      <c r="C295" s="8" t="s">
        <v>10</v>
      </c>
      <c r="D295" s="5">
        <f>D294</f>
        <v>0</v>
      </c>
      <c r="E295" s="5">
        <f>45/1.18</f>
        <v>38.135593220338983</v>
      </c>
      <c r="F295" s="5">
        <f t="shared" si="68"/>
        <v>0</v>
      </c>
      <c r="G295" s="5"/>
      <c r="H295" s="5"/>
      <c r="I295" s="5"/>
      <c r="J295" s="5"/>
      <c r="K295" s="5">
        <f t="shared" si="73"/>
        <v>0</v>
      </c>
      <c r="L295">
        <f>VLOOKUP($B295,[1]ბიუჯეტი!$B$59:$K$464,3,FALSE)</f>
        <v>19.740000000000002</v>
      </c>
      <c r="M295" s="53">
        <f t="shared" si="63"/>
        <v>-19.740000000000002</v>
      </c>
      <c r="N295">
        <f>VLOOKUP($B295,[1]ბიუჯეტი!$B$59:$K$464,4,FALSE)</f>
        <v>38.135593220338983</v>
      </c>
      <c r="O295" s="53">
        <f t="shared" si="64"/>
        <v>0</v>
      </c>
      <c r="P295">
        <f>VLOOKUP($B295,[1]ბიუჯეტი!$B$59:$K$464,6,FALSE)</f>
        <v>0</v>
      </c>
      <c r="Q295" s="53">
        <f t="shared" si="65"/>
        <v>0</v>
      </c>
      <c r="R295">
        <f>VLOOKUP($B295,[1]ბიუჯეტი!$B$59:$K$464,8,FALSE)</f>
        <v>0</v>
      </c>
      <c r="S295" s="53">
        <f t="shared" si="66"/>
        <v>0</v>
      </c>
      <c r="T295">
        <f>VLOOKUP($B295,[1]ბიუჯეტი!$B$59:$K$464,10,FALSE)</f>
        <v>752.7966101694916</v>
      </c>
      <c r="U295" s="53">
        <f t="shared" si="67"/>
        <v>-752.7966101694916</v>
      </c>
    </row>
    <row r="296" spans="1:21" hidden="1" outlineLevel="1" x14ac:dyDescent="0.35">
      <c r="A296" s="29"/>
      <c r="B296" s="7" t="s">
        <v>65</v>
      </c>
      <c r="C296" s="8" t="s">
        <v>49</v>
      </c>
      <c r="D296" s="5">
        <f>D295*3*1.05/25</f>
        <v>0</v>
      </c>
      <c r="E296" s="5">
        <f>15/1.18</f>
        <v>12.711864406779661</v>
      </c>
      <c r="F296" s="5">
        <f t="shared" si="68"/>
        <v>0</v>
      </c>
      <c r="G296" s="5"/>
      <c r="H296" s="5"/>
      <c r="I296" s="5"/>
      <c r="J296" s="5"/>
      <c r="K296" s="5">
        <f t="shared" si="73"/>
        <v>0</v>
      </c>
      <c r="L296">
        <f>VLOOKUP($B296,[1]ბიუჯეტი!$B$59:$K$464,3,FALSE)</f>
        <v>45</v>
      </c>
      <c r="M296" s="53">
        <f t="shared" si="63"/>
        <v>-45</v>
      </c>
      <c r="N296">
        <f>VLOOKUP($B296,[1]ბიუჯეტი!$B$59:$K$464,4,FALSE)</f>
        <v>29.661016949152543</v>
      </c>
      <c r="O296" s="53">
        <f t="shared" si="64"/>
        <v>-16.949152542372882</v>
      </c>
      <c r="P296">
        <f>VLOOKUP($B296,[1]ბიუჯეტი!$B$59:$K$464,6,FALSE)</f>
        <v>0</v>
      </c>
      <c r="Q296" s="53">
        <f t="shared" si="65"/>
        <v>0</v>
      </c>
      <c r="R296">
        <f>VLOOKUP($B296,[1]ბიუჯეტი!$B$59:$K$464,8,FALSE)</f>
        <v>0</v>
      </c>
      <c r="S296" s="53">
        <f t="shared" si="66"/>
        <v>0</v>
      </c>
      <c r="T296">
        <f>VLOOKUP($B296,[1]ბიუჯეტი!$B$59:$K$464,10,FALSE)</f>
        <v>1334.7457627118645</v>
      </c>
      <c r="U296" s="53">
        <f t="shared" si="67"/>
        <v>-1334.7457627118645</v>
      </c>
    </row>
    <row r="297" spans="1:21" hidden="1" outlineLevel="1" x14ac:dyDescent="0.35">
      <c r="A297" s="29">
        <v>4</v>
      </c>
      <c r="B297" s="30" t="s">
        <v>193</v>
      </c>
      <c r="C297" s="8" t="s">
        <v>40</v>
      </c>
      <c r="D297" s="5">
        <f>სამუშაო!I70+სამუშაო!I71+სამუშაო!I72</f>
        <v>607.62</v>
      </c>
      <c r="E297" s="5"/>
      <c r="F297" s="5">
        <f t="shared" si="68"/>
        <v>0</v>
      </c>
      <c r="G297" s="5">
        <f>12*1.275</f>
        <v>15.299999999999999</v>
      </c>
      <c r="H297" s="5">
        <f>G297*D297</f>
        <v>9296.5859999999993</v>
      </c>
      <c r="I297" s="5"/>
      <c r="J297" s="5"/>
      <c r="K297" s="5">
        <f t="shared" si="73"/>
        <v>9296.5859999999993</v>
      </c>
      <c r="L297">
        <f>VLOOKUP($B297,[1]ბიუჯეტი!$B$59:$K$464,3,FALSE)</f>
        <v>634.5</v>
      </c>
      <c r="M297" s="53">
        <f t="shared" si="63"/>
        <v>-26.879999999999995</v>
      </c>
      <c r="N297">
        <f>VLOOKUP($B297,[1]ბიუჯეტი!$B$59:$K$464,4,FALSE)</f>
        <v>0</v>
      </c>
      <c r="O297" s="53">
        <f t="shared" si="64"/>
        <v>0</v>
      </c>
      <c r="P297">
        <f>VLOOKUP($B297,[1]ბიუჯეტი!$B$59:$K$464,6,FALSE)</f>
        <v>15.299999999999999</v>
      </c>
      <c r="Q297" s="53">
        <f t="shared" si="65"/>
        <v>0</v>
      </c>
      <c r="R297">
        <f>VLOOKUP($B297,[1]ბიუჯეტი!$B$59:$K$464,8,FALSE)</f>
        <v>0</v>
      </c>
      <c r="S297" s="53">
        <f t="shared" si="66"/>
        <v>0</v>
      </c>
      <c r="T297">
        <f>VLOOKUP($B297,[1]ბიუჯეტი!$B$59:$K$464,10,FALSE)</f>
        <v>9707.8499999999985</v>
      </c>
      <c r="U297" s="53">
        <f t="shared" si="67"/>
        <v>-411.26399999999921</v>
      </c>
    </row>
    <row r="298" spans="1:21" hidden="1" outlineLevel="1" x14ac:dyDescent="0.35">
      <c r="A298" s="29"/>
      <c r="B298" s="7" t="s">
        <v>91</v>
      </c>
      <c r="C298" s="8" t="s">
        <v>10</v>
      </c>
      <c r="D298" s="5">
        <f>D297</f>
        <v>607.62</v>
      </c>
      <c r="E298" s="5">
        <f>45/1.18</f>
        <v>38.135593220338983</v>
      </c>
      <c r="F298" s="5">
        <f t="shared" si="68"/>
        <v>23171.949152542373</v>
      </c>
      <c r="G298" s="5"/>
      <c r="H298" s="5"/>
      <c r="I298" s="5"/>
      <c r="J298" s="5"/>
      <c r="K298" s="5">
        <f t="shared" si="73"/>
        <v>23171.949152542373</v>
      </c>
      <c r="L298">
        <f>VLOOKUP($B298,[1]ბიუჯეტი!$B$59:$K$464,3,FALSE)</f>
        <v>19.740000000000002</v>
      </c>
      <c r="M298" s="53">
        <f t="shared" si="63"/>
        <v>587.88</v>
      </c>
      <c r="N298">
        <f>VLOOKUP($B298,[1]ბიუჯეტი!$B$59:$K$464,4,FALSE)</f>
        <v>38.135593220338983</v>
      </c>
      <c r="O298" s="53">
        <f t="shared" si="64"/>
        <v>0</v>
      </c>
      <c r="P298">
        <f>VLOOKUP($B298,[1]ბიუჯეტი!$B$59:$K$464,6,FALSE)</f>
        <v>0</v>
      </c>
      <c r="Q298" s="53">
        <f t="shared" si="65"/>
        <v>0</v>
      </c>
      <c r="R298">
        <f>VLOOKUP($B298,[1]ბიუჯეტი!$B$59:$K$464,8,FALSE)</f>
        <v>0</v>
      </c>
      <c r="S298" s="53">
        <f t="shared" si="66"/>
        <v>0</v>
      </c>
      <c r="T298">
        <f>VLOOKUP($B298,[1]ბიუჯეტი!$B$59:$K$464,10,FALSE)</f>
        <v>752.7966101694916</v>
      </c>
      <c r="U298" s="53">
        <f t="shared" si="67"/>
        <v>22419.152542372882</v>
      </c>
    </row>
    <row r="299" spans="1:21" hidden="1" outlineLevel="1" x14ac:dyDescent="0.35">
      <c r="A299" s="29"/>
      <c r="B299" s="7" t="s">
        <v>65</v>
      </c>
      <c r="C299" s="8" t="s">
        <v>49</v>
      </c>
      <c r="D299" s="5">
        <f>D298*3*1.05/25</f>
        <v>76.560120000000012</v>
      </c>
      <c r="E299" s="5">
        <f>15/1.18</f>
        <v>12.711864406779661</v>
      </c>
      <c r="F299" s="5">
        <f t="shared" si="68"/>
        <v>973.22186440677979</v>
      </c>
      <c r="G299" s="5"/>
      <c r="H299" s="5"/>
      <c r="I299" s="5"/>
      <c r="J299" s="5"/>
      <c r="K299" s="5">
        <f t="shared" si="73"/>
        <v>973.22186440677979</v>
      </c>
      <c r="L299">
        <f>VLOOKUP($B299,[1]ბიუჯეტი!$B$59:$K$464,3,FALSE)</f>
        <v>45</v>
      </c>
      <c r="M299" s="53">
        <f t="shared" si="63"/>
        <v>31.560120000000012</v>
      </c>
      <c r="N299">
        <f>VLOOKUP($B299,[1]ბიუჯეტი!$B$59:$K$464,4,FALSE)</f>
        <v>29.661016949152543</v>
      </c>
      <c r="O299" s="53">
        <f t="shared" si="64"/>
        <v>-16.949152542372882</v>
      </c>
      <c r="P299">
        <f>VLOOKUP($B299,[1]ბიუჯეტი!$B$59:$K$464,6,FALSE)</f>
        <v>0</v>
      </c>
      <c r="Q299" s="53">
        <f t="shared" si="65"/>
        <v>0</v>
      </c>
      <c r="R299">
        <f>VLOOKUP($B299,[1]ბიუჯეტი!$B$59:$K$464,8,FALSE)</f>
        <v>0</v>
      </c>
      <c r="S299" s="53">
        <f t="shared" si="66"/>
        <v>0</v>
      </c>
      <c r="T299">
        <f>VLOOKUP($B299,[1]ბიუჯეტი!$B$59:$K$464,10,FALSE)</f>
        <v>1334.7457627118645</v>
      </c>
      <c r="U299" s="53">
        <f t="shared" si="67"/>
        <v>-361.52389830508469</v>
      </c>
    </row>
    <row r="300" spans="1:21" collapsed="1" x14ac:dyDescent="0.35">
      <c r="A300" s="29">
        <v>37</v>
      </c>
      <c r="B300" s="30" t="s">
        <v>95</v>
      </c>
      <c r="C300" s="8" t="s">
        <v>10</v>
      </c>
      <c r="D300" s="5">
        <f>SUM(D301,D304,D307)</f>
        <v>2072.0800000000004</v>
      </c>
      <c r="E300" s="5">
        <f>SUM(K302:K303,K305:K306,K308:K309)/D300</f>
        <v>9.6620169491525445</v>
      </c>
      <c r="F300" s="5">
        <f t="shared" si="68"/>
        <v>20020.472080000007</v>
      </c>
      <c r="G300" s="5">
        <v>0</v>
      </c>
      <c r="H300" s="5">
        <f>G300*D300</f>
        <v>0</v>
      </c>
      <c r="I300" s="5">
        <f>SUM(J301:J309)/D300</f>
        <v>10.16949152542373</v>
      </c>
      <c r="J300" s="5">
        <f>I300*D300</f>
        <v>21072.000000000007</v>
      </c>
      <c r="K300" s="5">
        <f>F300+H300+J300</f>
        <v>41092.472080000014</v>
      </c>
      <c r="L300">
        <f>VLOOKUP($B300,[1]ბიუჯეტი!$B$59:$K$464,3,FALSE)</f>
        <v>2714.86</v>
      </c>
      <c r="M300" s="53">
        <f t="shared" si="63"/>
        <v>-642.77999999999975</v>
      </c>
      <c r="N300">
        <f>VLOOKUP($B300,[1]ბიუჯეტი!$B$59:$K$464,4,FALSE)</f>
        <v>8.5052372881355929</v>
      </c>
      <c r="O300" s="53">
        <f t="shared" si="64"/>
        <v>1.1567796610169516</v>
      </c>
      <c r="P300">
        <f>VLOOKUP($B300,[1]ბიუჯეტი!$B$59:$K$464,6,FALSE)</f>
        <v>0</v>
      </c>
      <c r="Q300" s="53">
        <f t="shared" si="65"/>
        <v>0</v>
      </c>
      <c r="R300">
        <f>VLOOKUP($B300,[1]ბიუჯეტი!$B$59:$K$464,8,FALSE)</f>
        <v>10.16949152542373</v>
      </c>
      <c r="S300" s="53">
        <f t="shared" si="66"/>
        <v>0</v>
      </c>
      <c r="T300">
        <f>VLOOKUP($B300,[1]ბიუჯეტი!$B$59:$K$464,10,FALSE)</f>
        <v>50699.27426677967</v>
      </c>
      <c r="U300" s="53">
        <f t="shared" si="67"/>
        <v>-9606.802186779656</v>
      </c>
    </row>
    <row r="301" spans="1:21" hidden="1" outlineLevel="1" x14ac:dyDescent="0.35">
      <c r="A301" s="29">
        <v>1</v>
      </c>
      <c r="B301" s="30" t="s">
        <v>194</v>
      </c>
      <c r="C301" s="8" t="s">
        <v>10</v>
      </c>
      <c r="D301" s="5">
        <f>D279</f>
        <v>0</v>
      </c>
      <c r="E301" s="5"/>
      <c r="F301" s="5">
        <f t="shared" si="68"/>
        <v>0</v>
      </c>
      <c r="G301" s="5"/>
      <c r="H301" s="5">
        <f t="shared" ref="H301:H309" si="76">D301*G301</f>
        <v>0</v>
      </c>
      <c r="I301" s="5">
        <f>12/1.18</f>
        <v>10.16949152542373</v>
      </c>
      <c r="J301" s="5">
        <f>I301*D301</f>
        <v>0</v>
      </c>
      <c r="K301" s="5">
        <f>F301+H301+J301</f>
        <v>0</v>
      </c>
      <c r="L301">
        <f>VLOOKUP($B301,[1]ბიუჯეტი!$B$59:$K$464,3,FALSE)</f>
        <v>0</v>
      </c>
      <c r="M301" s="53">
        <f t="shared" si="63"/>
        <v>0</v>
      </c>
      <c r="N301">
        <f>VLOOKUP($B301,[1]ბიუჯეტი!$B$59:$K$464,4,FALSE)</f>
        <v>0</v>
      </c>
      <c r="O301" s="53">
        <f t="shared" si="64"/>
        <v>0</v>
      </c>
      <c r="P301">
        <f>VLOOKUP($B301,[1]ბიუჯეტი!$B$59:$K$464,6,FALSE)</f>
        <v>0</v>
      </c>
      <c r="Q301" s="53">
        <f t="shared" si="65"/>
        <v>0</v>
      </c>
      <c r="R301">
        <f>VLOOKUP($B301,[1]ბიუჯეტი!$B$59:$K$464,8,FALSE)</f>
        <v>10.16949152542373</v>
      </c>
      <c r="S301" s="53">
        <f t="shared" si="66"/>
        <v>0</v>
      </c>
      <c r="T301">
        <f>VLOOKUP($B301,[1]ბიუჯეტი!$B$59:$K$464,10,FALSE)</f>
        <v>0</v>
      </c>
      <c r="U301" s="53">
        <f t="shared" si="67"/>
        <v>0</v>
      </c>
    </row>
    <row r="302" spans="1:21" hidden="1" outlineLevel="1" x14ac:dyDescent="0.35">
      <c r="A302" s="29"/>
      <c r="B302" s="7" t="s">
        <v>96</v>
      </c>
      <c r="C302" s="8" t="s">
        <v>9</v>
      </c>
      <c r="D302" s="5">
        <f>D301*0.08*1.05</f>
        <v>0</v>
      </c>
      <c r="E302" s="5">
        <f>65/1.18</f>
        <v>55.084745762711869</v>
      </c>
      <c r="F302" s="5">
        <f t="shared" si="68"/>
        <v>0</v>
      </c>
      <c r="G302" s="5"/>
      <c r="H302" s="5">
        <f t="shared" si="76"/>
        <v>0</v>
      </c>
      <c r="I302" s="5"/>
      <c r="J302" s="5"/>
      <c r="K302" s="5">
        <f t="shared" ref="K302:K309" si="77">F302+H302+J302</f>
        <v>0</v>
      </c>
      <c r="L302">
        <f>VLOOKUP($B302,[1]ბიუჯეტი!$B$59:$K$464,3,FALSE)</f>
        <v>0</v>
      </c>
      <c r="M302" s="53">
        <f t="shared" si="63"/>
        <v>0</v>
      </c>
      <c r="N302">
        <f>VLOOKUP($B302,[1]ბიუჯეტი!$B$59:$K$464,4,FALSE)</f>
        <v>55.084745762711869</v>
      </c>
      <c r="O302" s="53">
        <f t="shared" si="64"/>
        <v>0</v>
      </c>
      <c r="P302">
        <f>VLOOKUP($B302,[1]ბიუჯეტი!$B$59:$K$464,6,FALSE)</f>
        <v>0</v>
      </c>
      <c r="Q302" s="53">
        <f t="shared" si="65"/>
        <v>0</v>
      </c>
      <c r="R302">
        <f>VLOOKUP($B302,[1]ბიუჯეტი!$B$59:$K$464,8,FALSE)</f>
        <v>0</v>
      </c>
      <c r="S302" s="53">
        <f t="shared" si="66"/>
        <v>0</v>
      </c>
      <c r="T302">
        <f>VLOOKUP($B302,[1]ბიუჯეტი!$B$59:$K$464,10,FALSE)</f>
        <v>0</v>
      </c>
      <c r="U302" s="53">
        <f t="shared" si="67"/>
        <v>0</v>
      </c>
    </row>
    <row r="303" spans="1:21" hidden="1" outlineLevel="1" x14ac:dyDescent="0.35">
      <c r="A303" s="29"/>
      <c r="B303" s="7" t="s">
        <v>97</v>
      </c>
      <c r="C303" s="8" t="s">
        <v>12</v>
      </c>
      <c r="D303" s="5">
        <f>D301*0.04/3*1.05</f>
        <v>0</v>
      </c>
      <c r="E303" s="5">
        <f>326.87/1.18</f>
        <v>277.00847457627123</v>
      </c>
      <c r="F303" s="5">
        <f t="shared" si="68"/>
        <v>0</v>
      </c>
      <c r="G303" s="5"/>
      <c r="H303" s="5">
        <f t="shared" si="76"/>
        <v>0</v>
      </c>
      <c r="I303" s="5"/>
      <c r="J303" s="5"/>
      <c r="K303" s="5">
        <f t="shared" si="77"/>
        <v>0</v>
      </c>
      <c r="L303">
        <f>VLOOKUP($B303,[1]ბიუჯეტი!$B$59:$K$464,3,FALSE)</f>
        <v>0</v>
      </c>
      <c r="M303" s="53">
        <f t="shared" si="63"/>
        <v>0</v>
      </c>
      <c r="N303">
        <f>VLOOKUP($B303,[1]ბიუჯეტი!$B$59:$K$464,4,FALSE)</f>
        <v>277.00847457627123</v>
      </c>
      <c r="O303" s="53">
        <f t="shared" si="64"/>
        <v>0</v>
      </c>
      <c r="P303">
        <f>VLOOKUP($B303,[1]ბიუჯეტი!$B$59:$K$464,6,FALSE)</f>
        <v>0</v>
      </c>
      <c r="Q303" s="53">
        <f t="shared" si="65"/>
        <v>0</v>
      </c>
      <c r="R303">
        <f>VLOOKUP($B303,[1]ბიუჯეტი!$B$59:$K$464,8,FALSE)</f>
        <v>0</v>
      </c>
      <c r="S303" s="53">
        <f t="shared" si="66"/>
        <v>0</v>
      </c>
      <c r="T303">
        <f>VLOOKUP($B303,[1]ბიუჯეტი!$B$59:$K$464,10,FALSE)</f>
        <v>0</v>
      </c>
      <c r="U303" s="53">
        <f t="shared" si="67"/>
        <v>0</v>
      </c>
    </row>
    <row r="304" spans="1:21" hidden="1" outlineLevel="1" x14ac:dyDescent="0.35">
      <c r="A304" s="29">
        <v>2</v>
      </c>
      <c r="B304" s="30" t="s">
        <v>98</v>
      </c>
      <c r="C304" s="8" t="s">
        <v>10</v>
      </c>
      <c r="D304" s="5">
        <f>სამუშაო!D78+სამუშაო!E78</f>
        <v>0</v>
      </c>
      <c r="E304" s="5"/>
      <c r="F304" s="5">
        <f t="shared" si="68"/>
        <v>0</v>
      </c>
      <c r="G304" s="5"/>
      <c r="H304" s="5">
        <f t="shared" si="76"/>
        <v>0</v>
      </c>
      <c r="I304" s="5">
        <f>12/1.18</f>
        <v>10.16949152542373</v>
      </c>
      <c r="J304" s="5">
        <f>I304*D304</f>
        <v>0</v>
      </c>
      <c r="K304" s="5">
        <f t="shared" si="77"/>
        <v>0</v>
      </c>
      <c r="L304">
        <f>VLOOKUP($B304,[1]ბიუჯეტი!$B$59:$K$464,3,FALSE)</f>
        <v>633.45999999999992</v>
      </c>
      <c r="M304" s="53">
        <f t="shared" si="63"/>
        <v>-633.45999999999992</v>
      </c>
      <c r="N304">
        <f>VLOOKUP($B304,[1]ბიუჯეტი!$B$59:$K$464,4,FALSE)</f>
        <v>0</v>
      </c>
      <c r="O304" s="53">
        <f t="shared" si="64"/>
        <v>0</v>
      </c>
      <c r="P304">
        <f>VLOOKUP($B304,[1]ბიუჯეტი!$B$59:$K$464,6,FALSE)</f>
        <v>0</v>
      </c>
      <c r="Q304" s="53">
        <f t="shared" si="65"/>
        <v>0</v>
      </c>
      <c r="R304">
        <f>VLOOKUP($B304,[1]ბიუჯეტი!$B$59:$K$464,8,FALSE)</f>
        <v>10.16949152542373</v>
      </c>
      <c r="S304" s="53">
        <f t="shared" si="66"/>
        <v>0</v>
      </c>
      <c r="T304">
        <f>VLOOKUP($B304,[1]ბიუჯეტი!$B$59:$K$464,10,FALSE)</f>
        <v>6441.9661016949149</v>
      </c>
      <c r="U304" s="53">
        <f t="shared" si="67"/>
        <v>-6441.9661016949149</v>
      </c>
    </row>
    <row r="305" spans="1:21" hidden="1" outlineLevel="1" x14ac:dyDescent="0.35">
      <c r="A305" s="29"/>
      <c r="B305" s="7" t="s">
        <v>96</v>
      </c>
      <c r="C305" s="8" t="s">
        <v>9</v>
      </c>
      <c r="D305" s="5">
        <f>D304*0.08*1.05</f>
        <v>0</v>
      </c>
      <c r="E305" s="5">
        <f>65/1.18</f>
        <v>55.084745762711869</v>
      </c>
      <c r="F305" s="5">
        <f t="shared" si="68"/>
        <v>0</v>
      </c>
      <c r="G305" s="5"/>
      <c r="H305" s="5">
        <f t="shared" si="76"/>
        <v>0</v>
      </c>
      <c r="I305" s="5"/>
      <c r="J305" s="5"/>
      <c r="K305" s="5">
        <f t="shared" si="77"/>
        <v>0</v>
      </c>
      <c r="L305">
        <f>VLOOKUP($B305,[1]ბიუჯეტი!$B$59:$K$464,3,FALSE)</f>
        <v>0</v>
      </c>
      <c r="M305" s="53">
        <f t="shared" si="63"/>
        <v>0</v>
      </c>
      <c r="N305">
        <f>VLOOKUP($B305,[1]ბიუჯეტი!$B$59:$K$464,4,FALSE)</f>
        <v>55.084745762711869</v>
      </c>
      <c r="O305" s="53">
        <f t="shared" si="64"/>
        <v>0</v>
      </c>
      <c r="P305">
        <f>VLOOKUP($B305,[1]ბიუჯეტი!$B$59:$K$464,6,FALSE)</f>
        <v>0</v>
      </c>
      <c r="Q305" s="53">
        <f t="shared" si="65"/>
        <v>0</v>
      </c>
      <c r="R305">
        <f>VLOOKUP($B305,[1]ბიუჯეტი!$B$59:$K$464,8,FALSE)</f>
        <v>0</v>
      </c>
      <c r="S305" s="53">
        <f t="shared" si="66"/>
        <v>0</v>
      </c>
      <c r="T305">
        <f>VLOOKUP($B305,[1]ბიუჯეტი!$B$59:$K$464,10,FALSE)</f>
        <v>0</v>
      </c>
      <c r="U305" s="53">
        <f t="shared" si="67"/>
        <v>0</v>
      </c>
    </row>
    <row r="306" spans="1:21" hidden="1" outlineLevel="1" x14ac:dyDescent="0.35">
      <c r="A306" s="29"/>
      <c r="B306" s="7" t="s">
        <v>97</v>
      </c>
      <c r="C306" s="8" t="s">
        <v>12</v>
      </c>
      <c r="D306" s="5">
        <f>D304*0.04/3*1.05</f>
        <v>0</v>
      </c>
      <c r="E306" s="5">
        <f>326.87/1.18</f>
        <v>277.00847457627123</v>
      </c>
      <c r="F306" s="5">
        <f t="shared" si="68"/>
        <v>0</v>
      </c>
      <c r="G306" s="5"/>
      <c r="H306" s="5">
        <f t="shared" si="76"/>
        <v>0</v>
      </c>
      <c r="I306" s="5"/>
      <c r="J306" s="5"/>
      <c r="K306" s="5">
        <f t="shared" si="77"/>
        <v>0</v>
      </c>
      <c r="L306">
        <f>VLOOKUP($B306,[1]ბიუჯეტი!$B$59:$K$464,3,FALSE)</f>
        <v>0</v>
      </c>
      <c r="M306" s="53">
        <f t="shared" si="63"/>
        <v>0</v>
      </c>
      <c r="N306">
        <f>VLOOKUP($B306,[1]ბიუჯეტი!$B$59:$K$464,4,FALSE)</f>
        <v>277.00847457627123</v>
      </c>
      <c r="O306" s="53">
        <f t="shared" si="64"/>
        <v>0</v>
      </c>
      <c r="P306">
        <f>VLOOKUP($B306,[1]ბიუჯეტი!$B$59:$K$464,6,FALSE)</f>
        <v>0</v>
      </c>
      <c r="Q306" s="53">
        <f t="shared" si="65"/>
        <v>0</v>
      </c>
      <c r="R306">
        <f>VLOOKUP($B306,[1]ბიუჯეტი!$B$59:$K$464,8,FALSE)</f>
        <v>0</v>
      </c>
      <c r="S306" s="53">
        <f t="shared" si="66"/>
        <v>0</v>
      </c>
      <c r="T306">
        <f>VLOOKUP($B306,[1]ბიუჯეტი!$B$59:$K$464,10,FALSE)</f>
        <v>0</v>
      </c>
      <c r="U306" s="53">
        <f t="shared" si="67"/>
        <v>0</v>
      </c>
    </row>
    <row r="307" spans="1:21" hidden="1" outlineLevel="1" x14ac:dyDescent="0.35">
      <c r="A307" s="29">
        <v>3</v>
      </c>
      <c r="B307" s="30" t="s">
        <v>196</v>
      </c>
      <c r="C307" s="8" t="s">
        <v>10</v>
      </c>
      <c r="D307" s="5">
        <f>სამუშაო!I82</f>
        <v>2072.0800000000004</v>
      </c>
      <c r="E307" s="5"/>
      <c r="F307" s="5">
        <f t="shared" si="68"/>
        <v>0</v>
      </c>
      <c r="G307" s="5"/>
      <c r="H307" s="5">
        <f t="shared" si="76"/>
        <v>0</v>
      </c>
      <c r="I307" s="5">
        <f>12/1.18</f>
        <v>10.16949152542373</v>
      </c>
      <c r="J307" s="5">
        <f>I307*D307</f>
        <v>21072.000000000007</v>
      </c>
      <c r="K307" s="5">
        <f t="shared" si="77"/>
        <v>21072.000000000007</v>
      </c>
      <c r="L307">
        <f>VLOOKUP($B307,[1]ბიუჯეტი!$B$59:$K$464,3,FALSE)</f>
        <v>2081.4</v>
      </c>
      <c r="M307" s="53">
        <f t="shared" si="63"/>
        <v>-9.319999999999709</v>
      </c>
      <c r="N307">
        <f>VLOOKUP($B307,[1]ბიუჯეტი!$B$59:$K$464,4,FALSE)</f>
        <v>0</v>
      </c>
      <c r="O307" s="53">
        <f t="shared" si="64"/>
        <v>0</v>
      </c>
      <c r="P307">
        <f>VLOOKUP($B307,[1]ბიუჯეტი!$B$59:$K$464,6,FALSE)</f>
        <v>0</v>
      </c>
      <c r="Q307" s="53">
        <f t="shared" si="65"/>
        <v>0</v>
      </c>
      <c r="R307">
        <f>VLOOKUP($B307,[1]ბიუჯეტი!$B$59:$K$464,8,FALSE)</f>
        <v>10.16949152542373</v>
      </c>
      <c r="S307" s="53">
        <f t="shared" si="66"/>
        <v>0</v>
      </c>
      <c r="T307">
        <f>VLOOKUP($B307,[1]ბიუჯეტი!$B$59:$K$464,10,FALSE)</f>
        <v>21166.779661016953</v>
      </c>
      <c r="U307" s="53">
        <f t="shared" si="67"/>
        <v>-94.779661016946193</v>
      </c>
    </row>
    <row r="308" spans="1:21" hidden="1" outlineLevel="1" x14ac:dyDescent="0.35">
      <c r="A308" s="29"/>
      <c r="B308" s="7" t="s">
        <v>96</v>
      </c>
      <c r="C308" s="8" t="s">
        <v>9</v>
      </c>
      <c r="D308" s="5">
        <f>D307*0.1*1.05</f>
        <v>217.56840000000005</v>
      </c>
      <c r="E308" s="5">
        <f>65/1.18</f>
        <v>55.084745762711869</v>
      </c>
      <c r="F308" s="5">
        <f t="shared" si="68"/>
        <v>11984.700000000004</v>
      </c>
      <c r="G308" s="5"/>
      <c r="H308" s="5">
        <f t="shared" si="76"/>
        <v>0</v>
      </c>
      <c r="I308" s="5"/>
      <c r="J308" s="5"/>
      <c r="K308" s="5">
        <f t="shared" si="77"/>
        <v>11984.700000000004</v>
      </c>
      <c r="L308">
        <f>VLOOKUP($B308,[1]ბიუჯეტი!$B$59:$K$464,3,FALSE)</f>
        <v>0</v>
      </c>
      <c r="M308" s="53">
        <f t="shared" si="63"/>
        <v>217.56840000000005</v>
      </c>
      <c r="N308">
        <f>VLOOKUP($B308,[1]ბიუჯეტი!$B$59:$K$464,4,FALSE)</f>
        <v>55.084745762711869</v>
      </c>
      <c r="O308" s="53">
        <f t="shared" si="64"/>
        <v>0</v>
      </c>
      <c r="P308">
        <f>VLOOKUP($B308,[1]ბიუჯეტი!$B$59:$K$464,6,FALSE)</f>
        <v>0</v>
      </c>
      <c r="Q308" s="53">
        <f t="shared" si="65"/>
        <v>0</v>
      </c>
      <c r="R308">
        <f>VLOOKUP($B308,[1]ბიუჯეტი!$B$59:$K$464,8,FALSE)</f>
        <v>0</v>
      </c>
      <c r="S308" s="53">
        <f t="shared" si="66"/>
        <v>0</v>
      </c>
      <c r="T308">
        <f>VLOOKUP($B308,[1]ბიუჯეტი!$B$59:$K$464,10,FALSE)</f>
        <v>0</v>
      </c>
      <c r="U308" s="53">
        <f t="shared" si="67"/>
        <v>11984.700000000004</v>
      </c>
    </row>
    <row r="309" spans="1:21" hidden="1" outlineLevel="1" x14ac:dyDescent="0.35">
      <c r="A309" s="29"/>
      <c r="B309" s="7" t="s">
        <v>97</v>
      </c>
      <c r="C309" s="8" t="s">
        <v>12</v>
      </c>
      <c r="D309" s="5">
        <f>D307*0.04/3*1.05</f>
        <v>29.009120000000006</v>
      </c>
      <c r="E309" s="5">
        <f>326.87/1.18</f>
        <v>277.00847457627123</v>
      </c>
      <c r="F309" s="5">
        <f t="shared" si="68"/>
        <v>8035.7720800000034</v>
      </c>
      <c r="G309" s="5"/>
      <c r="H309" s="5">
        <f t="shared" si="76"/>
        <v>0</v>
      </c>
      <c r="I309" s="5"/>
      <c r="J309" s="5"/>
      <c r="K309" s="5">
        <f t="shared" si="77"/>
        <v>8035.7720800000034</v>
      </c>
      <c r="L309">
        <f>VLOOKUP($B309,[1]ბიუჯეტი!$B$59:$K$464,3,FALSE)</f>
        <v>0</v>
      </c>
      <c r="M309" s="53">
        <f t="shared" si="63"/>
        <v>29.009120000000006</v>
      </c>
      <c r="N309">
        <f>VLOOKUP($B309,[1]ბიუჯეტი!$B$59:$K$464,4,FALSE)</f>
        <v>277.00847457627123</v>
      </c>
      <c r="O309" s="53">
        <f t="shared" si="64"/>
        <v>0</v>
      </c>
      <c r="P309">
        <f>VLOOKUP($B309,[1]ბიუჯეტი!$B$59:$K$464,6,FALSE)</f>
        <v>0</v>
      </c>
      <c r="Q309" s="53">
        <f t="shared" si="65"/>
        <v>0</v>
      </c>
      <c r="R309">
        <f>VLOOKUP($B309,[1]ბიუჯეტი!$B$59:$K$464,8,FALSE)</f>
        <v>0</v>
      </c>
      <c r="S309" s="53">
        <f t="shared" si="66"/>
        <v>0</v>
      </c>
      <c r="T309">
        <f>VLOOKUP($B309,[1]ბიუჯეტი!$B$59:$K$464,10,FALSE)</f>
        <v>0</v>
      </c>
      <c r="U309" s="53">
        <f t="shared" si="67"/>
        <v>8035.7720800000034</v>
      </c>
    </row>
    <row r="310" spans="1:21" collapsed="1" x14ac:dyDescent="0.35">
      <c r="A310" s="29">
        <v>38</v>
      </c>
      <c r="B310" s="30" t="s">
        <v>99</v>
      </c>
      <c r="C310" s="8" t="s">
        <v>10</v>
      </c>
      <c r="D310" s="5">
        <f>SUM(D322,D311)</f>
        <v>2893.9680000000003</v>
      </c>
      <c r="E310" s="5">
        <f>SUM(F311:F332)/D310</f>
        <v>25.230706976062518</v>
      </c>
      <c r="F310" s="5">
        <f t="shared" si="68"/>
        <v>73016.858606101698</v>
      </c>
      <c r="G310" s="5">
        <f>SUM(H311:H332)/D310</f>
        <v>20.399999999999999</v>
      </c>
      <c r="H310" s="5">
        <f>G310*D310</f>
        <v>59036.947200000002</v>
      </c>
      <c r="I310" s="5">
        <v>0</v>
      </c>
      <c r="J310" s="5">
        <v>0</v>
      </c>
      <c r="K310" s="5">
        <f t="shared" ref="K310:K355" si="78">F310+H310</f>
        <v>132053.80580610171</v>
      </c>
      <c r="L310">
        <f>VLOOKUP($B310,[1]ბიუჯეტი!$B$59:$K$464,3,FALSE)</f>
        <v>3796.6104000000005</v>
      </c>
      <c r="M310" s="53">
        <f t="shared" si="63"/>
        <v>-902.64240000000018</v>
      </c>
      <c r="N310">
        <f>VLOOKUP($B310,[1]ბიუჯეტი!$B$59:$K$464,4,FALSE)</f>
        <v>25.183659050134992</v>
      </c>
      <c r="O310" s="53">
        <f t="shared" si="64"/>
        <v>4.7047925927525824E-2</v>
      </c>
      <c r="P310">
        <f>VLOOKUP($B310,[1]ბიუჯეტი!$B$59:$K$464,6,FALSE)</f>
        <v>19.125</v>
      </c>
      <c r="Q310" s="53">
        <f t="shared" si="65"/>
        <v>1.2749999999999986</v>
      </c>
      <c r="R310">
        <f>VLOOKUP($B310,[1]ბიუჯეტი!$B$59:$K$464,8,FALSE)</f>
        <v>0</v>
      </c>
      <c r="S310" s="53">
        <f t="shared" si="66"/>
        <v>0</v>
      </c>
      <c r="T310">
        <f>VLOOKUP($B310,[1]ბიუჯეტი!$B$59:$K$464,10,FALSE)</f>
        <v>168222.71575979667</v>
      </c>
      <c r="U310" s="53">
        <f t="shared" si="67"/>
        <v>-36168.909953694965</v>
      </c>
    </row>
    <row r="311" spans="1:21" hidden="1" outlineLevel="1" x14ac:dyDescent="0.35">
      <c r="A311" s="29">
        <v>1</v>
      </c>
      <c r="B311" s="30" t="s">
        <v>100</v>
      </c>
      <c r="C311" s="8" t="s">
        <v>10</v>
      </c>
      <c r="D311" s="5">
        <f>სამუშაო!D87</f>
        <v>0</v>
      </c>
      <c r="E311" s="5"/>
      <c r="F311" s="5">
        <f t="shared" si="68"/>
        <v>0</v>
      </c>
      <c r="G311" s="5">
        <f>16*1.275</f>
        <v>20.399999999999999</v>
      </c>
      <c r="H311" s="5">
        <f t="shared" ref="H311:H332" si="79">D311*G311</f>
        <v>0</v>
      </c>
      <c r="I311" s="5"/>
      <c r="J311" s="5"/>
      <c r="K311" s="5">
        <f t="shared" si="78"/>
        <v>0</v>
      </c>
      <c r="L311">
        <f>VLOOKUP($B311,[1]ბიუჯეტი!$B$59:$K$464,3,FALSE)</f>
        <v>902.64240000000007</v>
      </c>
      <c r="M311" s="53">
        <f t="shared" si="63"/>
        <v>-902.64240000000007</v>
      </c>
      <c r="N311">
        <f>VLOOKUP($B311,[1]ბიუჯეტი!$B$59:$K$464,4,FALSE)</f>
        <v>0</v>
      </c>
      <c r="O311" s="53">
        <f t="shared" si="64"/>
        <v>0</v>
      </c>
      <c r="P311">
        <f>VLOOKUP($B311,[1]ბიუჯეტი!$B$59:$K$464,6,FALSE)</f>
        <v>19.125</v>
      </c>
      <c r="Q311" s="53">
        <f t="shared" si="65"/>
        <v>1.2749999999999986</v>
      </c>
      <c r="R311">
        <f>VLOOKUP($B311,[1]ბიუჯეტი!$B$59:$K$464,8,FALSE)</f>
        <v>0</v>
      </c>
      <c r="S311" s="53">
        <f t="shared" si="66"/>
        <v>0</v>
      </c>
      <c r="T311">
        <f>VLOOKUP($B311,[1]ბიუჯეტი!$B$59:$K$464,10,FALSE)</f>
        <v>17263.035900000003</v>
      </c>
      <c r="U311" s="53">
        <f t="shared" si="67"/>
        <v>-17263.035900000003</v>
      </c>
    </row>
    <row r="312" spans="1:21" hidden="1" outlineLevel="1" x14ac:dyDescent="0.35">
      <c r="A312" s="29">
        <v>1</v>
      </c>
      <c r="B312" s="30" t="s">
        <v>100</v>
      </c>
      <c r="C312" s="8" t="s">
        <v>10</v>
      </c>
      <c r="D312" s="5">
        <f>D311-D89</f>
        <v>0</v>
      </c>
      <c r="E312" s="5"/>
      <c r="F312" s="5">
        <f t="shared" si="68"/>
        <v>0</v>
      </c>
      <c r="G312" s="5">
        <v>0</v>
      </c>
      <c r="H312" s="5">
        <f t="shared" si="79"/>
        <v>0</v>
      </c>
      <c r="I312" s="5"/>
      <c r="J312" s="5"/>
      <c r="K312" s="5">
        <f t="shared" si="78"/>
        <v>0</v>
      </c>
      <c r="L312">
        <f>VLOOKUP($B312,[1]ბიუჯეტი!$B$59:$K$464,3,FALSE)</f>
        <v>902.64240000000007</v>
      </c>
      <c r="M312" s="53">
        <f t="shared" si="63"/>
        <v>-902.64240000000007</v>
      </c>
      <c r="N312">
        <f>VLOOKUP($B312,[1]ბიუჯეტი!$B$59:$K$464,4,FALSE)</f>
        <v>0</v>
      </c>
      <c r="O312" s="53">
        <f t="shared" si="64"/>
        <v>0</v>
      </c>
      <c r="P312">
        <f>VLOOKUP($B312,[1]ბიუჯეტი!$B$59:$K$464,6,FALSE)</f>
        <v>19.125</v>
      </c>
      <c r="Q312" s="53">
        <f t="shared" si="65"/>
        <v>-19.125</v>
      </c>
      <c r="R312">
        <f>VLOOKUP($B312,[1]ბიუჯეტი!$B$59:$K$464,8,FALSE)</f>
        <v>0</v>
      </c>
      <c r="S312" s="53">
        <f t="shared" si="66"/>
        <v>0</v>
      </c>
      <c r="T312">
        <f>VLOOKUP($B312,[1]ბიუჯეტი!$B$59:$K$464,10,FALSE)</f>
        <v>17263.035900000003</v>
      </c>
      <c r="U312" s="53">
        <f t="shared" si="67"/>
        <v>-17263.035900000003</v>
      </c>
    </row>
    <row r="313" spans="1:21" hidden="1" outlineLevel="1" x14ac:dyDescent="0.35">
      <c r="A313" s="29"/>
      <c r="B313" s="7" t="s">
        <v>101</v>
      </c>
      <c r="C313" s="8" t="s">
        <v>49</v>
      </c>
      <c r="D313" s="5">
        <f>D312*2/3*1.05</f>
        <v>0</v>
      </c>
      <c r="E313" s="5">
        <f>17/1.18</f>
        <v>14.40677966101695</v>
      </c>
      <c r="F313" s="5">
        <f t="shared" si="68"/>
        <v>0</v>
      </c>
      <c r="G313" s="5"/>
      <c r="H313" s="5">
        <f t="shared" si="79"/>
        <v>0</v>
      </c>
      <c r="I313" s="5"/>
      <c r="J313" s="5"/>
      <c r="K313" s="5">
        <f t="shared" si="78"/>
        <v>0</v>
      </c>
      <c r="L313">
        <f>VLOOKUP($B313,[1]ბიუჯეტი!$B$59:$K$464,3,FALSE)</f>
        <v>631.84968000000003</v>
      </c>
      <c r="M313" s="53">
        <f t="shared" si="63"/>
        <v>-631.84968000000003</v>
      </c>
      <c r="N313">
        <f>VLOOKUP($B313,[1]ბიუჯეტი!$B$59:$K$464,4,FALSE)</f>
        <v>14.40677966101695</v>
      </c>
      <c r="O313" s="53">
        <f t="shared" si="64"/>
        <v>0</v>
      </c>
      <c r="P313">
        <f>VLOOKUP($B313,[1]ბიუჯეტი!$B$59:$K$464,6,FALSE)</f>
        <v>0</v>
      </c>
      <c r="Q313" s="53">
        <f t="shared" si="65"/>
        <v>0</v>
      </c>
      <c r="R313">
        <f>VLOOKUP($B313,[1]ბიუჯეტი!$B$59:$K$464,8,FALSE)</f>
        <v>0</v>
      </c>
      <c r="S313" s="53">
        <f t="shared" si="66"/>
        <v>0</v>
      </c>
      <c r="T313">
        <f>VLOOKUP($B313,[1]ბიუჯეტი!$B$59:$K$464,10,FALSE)</f>
        <v>9102.9191186440694</v>
      </c>
      <c r="U313" s="53">
        <f t="shared" si="67"/>
        <v>-9102.9191186440694</v>
      </c>
    </row>
    <row r="314" spans="1:21" hidden="1" outlineLevel="1" x14ac:dyDescent="0.35">
      <c r="A314" s="29"/>
      <c r="B314" s="7" t="s">
        <v>102</v>
      </c>
      <c r="C314" s="8" t="s">
        <v>49</v>
      </c>
      <c r="D314" s="5">
        <f>D312*2/3*1.05</f>
        <v>0</v>
      </c>
      <c r="E314" s="5">
        <f>11.1/1.18</f>
        <v>9.4067796610169498</v>
      </c>
      <c r="F314" s="5">
        <f t="shared" si="68"/>
        <v>0</v>
      </c>
      <c r="G314" s="5"/>
      <c r="H314" s="5">
        <f t="shared" si="79"/>
        <v>0</v>
      </c>
      <c r="I314" s="5"/>
      <c r="J314" s="5"/>
      <c r="K314" s="5">
        <f t="shared" si="78"/>
        <v>0</v>
      </c>
      <c r="L314">
        <f>VLOOKUP($B314,[1]ბიუჯეტი!$B$59:$K$464,3,FALSE)</f>
        <v>631.84968000000003</v>
      </c>
      <c r="M314" s="53">
        <f t="shared" si="63"/>
        <v>-631.84968000000003</v>
      </c>
      <c r="N314">
        <f>VLOOKUP($B314,[1]ბიუჯეტი!$B$59:$K$464,4,FALSE)</f>
        <v>9.4067796610169498</v>
      </c>
      <c r="O314" s="53">
        <f t="shared" si="64"/>
        <v>0</v>
      </c>
      <c r="P314">
        <f>VLOOKUP($B314,[1]ბიუჯეტი!$B$59:$K$464,6,FALSE)</f>
        <v>0</v>
      </c>
      <c r="Q314" s="53">
        <f t="shared" si="65"/>
        <v>0</v>
      </c>
      <c r="R314">
        <f>VLOOKUP($B314,[1]ბიუჯეტი!$B$59:$K$464,8,FALSE)</f>
        <v>0</v>
      </c>
      <c r="S314" s="53">
        <f t="shared" si="66"/>
        <v>0</v>
      </c>
      <c r="T314">
        <f>VLOOKUP($B314,[1]ბიუჯეტი!$B$59:$K$464,10,FALSE)</f>
        <v>5943.670718644069</v>
      </c>
      <c r="U314" s="53">
        <f t="shared" si="67"/>
        <v>-5943.670718644069</v>
      </c>
    </row>
    <row r="315" spans="1:21" hidden="1" outlineLevel="1" x14ac:dyDescent="0.35">
      <c r="A315" s="29"/>
      <c r="B315" s="7" t="s">
        <v>103</v>
      </c>
      <c r="C315" s="8" t="s">
        <v>49</v>
      </c>
      <c r="D315" s="5">
        <f>D312*1.4/3*1.05</f>
        <v>0</v>
      </c>
      <c r="E315" s="5">
        <f>8.2/1.18</f>
        <v>6.9491525423728815</v>
      </c>
      <c r="F315" s="5">
        <f t="shared" si="68"/>
        <v>0</v>
      </c>
      <c r="G315" s="5"/>
      <c r="H315" s="5">
        <f t="shared" si="79"/>
        <v>0</v>
      </c>
      <c r="I315" s="5"/>
      <c r="J315" s="5"/>
      <c r="K315" s="5">
        <f t="shared" si="78"/>
        <v>0</v>
      </c>
      <c r="L315">
        <f>VLOOKUP($B315,[1]ბიუჯეტი!$B$59:$K$464,3,FALSE)</f>
        <v>442.29477600000007</v>
      </c>
      <c r="M315" s="53">
        <f t="shared" si="63"/>
        <v>-442.29477600000007</v>
      </c>
      <c r="N315">
        <f>VLOOKUP($B315,[1]ბიუჯეტი!$B$59:$K$464,4,FALSE)</f>
        <v>6.9491525423728815</v>
      </c>
      <c r="O315" s="53">
        <f t="shared" si="64"/>
        <v>0</v>
      </c>
      <c r="P315">
        <f>VLOOKUP($B315,[1]ბიუჯეტი!$B$59:$K$464,6,FALSE)</f>
        <v>0</v>
      </c>
      <c r="Q315" s="53">
        <f t="shared" si="65"/>
        <v>0</v>
      </c>
      <c r="R315">
        <f>VLOOKUP($B315,[1]ბიუჯეტი!$B$59:$K$464,8,FALSE)</f>
        <v>0</v>
      </c>
      <c r="S315" s="53">
        <f t="shared" si="66"/>
        <v>0</v>
      </c>
      <c r="T315">
        <f>VLOOKUP($B315,[1]ბიუჯეტი!$B$59:$K$464,10,FALSE)</f>
        <v>3073.5738671186446</v>
      </c>
      <c r="U315" s="53">
        <f t="shared" si="67"/>
        <v>-3073.5738671186446</v>
      </c>
    </row>
    <row r="316" spans="1:21" hidden="1" outlineLevel="1" x14ac:dyDescent="0.35">
      <c r="A316" s="29"/>
      <c r="B316" s="7" t="s">
        <v>104</v>
      </c>
      <c r="C316" s="8" t="s">
        <v>10</v>
      </c>
      <c r="D316" s="5">
        <f>D312*1.02</f>
        <v>0</v>
      </c>
      <c r="E316" s="5">
        <f>2.7/1.18</f>
        <v>2.2881355932203391</v>
      </c>
      <c r="F316" s="5">
        <f t="shared" si="68"/>
        <v>0</v>
      </c>
      <c r="G316" s="5"/>
      <c r="H316" s="5">
        <f t="shared" si="79"/>
        <v>0</v>
      </c>
      <c r="I316" s="5"/>
      <c r="J316" s="5"/>
      <c r="K316" s="5">
        <f t="shared" si="78"/>
        <v>0</v>
      </c>
      <c r="L316">
        <f>VLOOKUP($B316,[1]ბიუჯეტი!$B$59:$K$464,3,FALSE)</f>
        <v>920.69524800000011</v>
      </c>
      <c r="M316" s="53">
        <f t="shared" si="63"/>
        <v>-920.69524800000011</v>
      </c>
      <c r="N316">
        <f>VLOOKUP($B316,[1]ბიუჯეტი!$B$59:$K$464,4,FALSE)</f>
        <v>2.2033898305084749</v>
      </c>
      <c r="O316" s="53">
        <f t="shared" si="64"/>
        <v>8.4745762711864181E-2</v>
      </c>
      <c r="P316">
        <f>VLOOKUP($B316,[1]ბიუჯეტი!$B$59:$K$464,6,FALSE)</f>
        <v>0</v>
      </c>
      <c r="Q316" s="53">
        <f t="shared" si="65"/>
        <v>0</v>
      </c>
      <c r="R316">
        <f>VLOOKUP($B316,[1]ბიუჯეტი!$B$59:$K$464,8,FALSE)</f>
        <v>0</v>
      </c>
      <c r="S316" s="53">
        <f t="shared" si="66"/>
        <v>0</v>
      </c>
      <c r="T316">
        <f>VLOOKUP($B316,[1]ბიუჯეტი!$B$59:$K$464,10,FALSE)</f>
        <v>2028.6505464406785</v>
      </c>
      <c r="U316" s="53">
        <f t="shared" si="67"/>
        <v>-2028.6505464406785</v>
      </c>
    </row>
    <row r="317" spans="1:21" hidden="1" outlineLevel="1" x14ac:dyDescent="0.35">
      <c r="A317" s="29"/>
      <c r="B317" s="7" t="s">
        <v>105</v>
      </c>
      <c r="C317" s="8" t="s">
        <v>49</v>
      </c>
      <c r="D317" s="5">
        <f>D312*2.5</f>
        <v>0</v>
      </c>
      <c r="E317" s="5">
        <f>0.9/1.18</f>
        <v>0.76271186440677974</v>
      </c>
      <c r="F317" s="5">
        <f>E317*D317</f>
        <v>0</v>
      </c>
      <c r="G317" s="5"/>
      <c r="H317" s="5">
        <f t="shared" si="79"/>
        <v>0</v>
      </c>
      <c r="I317" s="5"/>
      <c r="J317" s="5"/>
      <c r="K317" s="5">
        <f t="shared" si="78"/>
        <v>0</v>
      </c>
      <c r="L317">
        <f>VLOOKUP($B317,[1]ბიუჯეტი!$B$59:$K$464,3,FALSE)</f>
        <v>2256.6060000000002</v>
      </c>
      <c r="M317" s="53">
        <f t="shared" ref="M317:M380" si="80">D317-L317</f>
        <v>-2256.6060000000002</v>
      </c>
      <c r="N317">
        <f>VLOOKUP($B317,[1]ბიუჯეტი!$B$59:$K$464,4,FALSE)</f>
        <v>0.76271186440677974</v>
      </c>
      <c r="O317" s="53">
        <f t="shared" ref="O317:O380" si="81">E317-N317</f>
        <v>0</v>
      </c>
      <c r="P317">
        <f>VLOOKUP($B317,[1]ბიუჯეტი!$B$59:$K$464,6,FALSE)</f>
        <v>0</v>
      </c>
      <c r="Q317" s="53">
        <f t="shared" ref="Q317:Q380" si="82">G317-P317</f>
        <v>0</v>
      </c>
      <c r="R317">
        <f>VLOOKUP($B317,[1]ბიუჯეტი!$B$59:$K$464,8,FALSE)</f>
        <v>0</v>
      </c>
      <c r="S317" s="53">
        <f t="shared" ref="S317:S380" si="83">I317-R317</f>
        <v>0</v>
      </c>
      <c r="T317">
        <f>VLOOKUP($B317,[1]ბიუჯეტი!$B$59:$K$464,10,FALSE)</f>
        <v>1721.1401694915257</v>
      </c>
      <c r="U317" s="53">
        <f t="shared" ref="U317:U380" si="84">K317-T317</f>
        <v>-1721.1401694915257</v>
      </c>
    </row>
    <row r="318" spans="1:21" hidden="1" outlineLevel="1" x14ac:dyDescent="0.35">
      <c r="A318" s="29"/>
      <c r="B318" s="7" t="s">
        <v>106</v>
      </c>
      <c r="C318" s="8" t="s">
        <v>49</v>
      </c>
      <c r="D318" s="5">
        <f>D312*7.6</f>
        <v>0</v>
      </c>
      <c r="E318" s="5">
        <f>0.042/1.18</f>
        <v>3.5593220338983052E-2</v>
      </c>
      <c r="F318" s="5">
        <f>E318*D318</f>
        <v>0</v>
      </c>
      <c r="G318" s="5"/>
      <c r="H318" s="5">
        <f t="shared" si="79"/>
        <v>0</v>
      </c>
      <c r="I318" s="5"/>
      <c r="J318" s="5"/>
      <c r="K318" s="5">
        <f t="shared" si="78"/>
        <v>0</v>
      </c>
      <c r="L318">
        <f>VLOOKUP($B318,[1]ბიუჯეტი!$B$59:$K$464,3,FALSE)</f>
        <v>6860.0822399999997</v>
      </c>
      <c r="M318" s="53">
        <f t="shared" si="80"/>
        <v>-6860.0822399999997</v>
      </c>
      <c r="N318">
        <f>VLOOKUP($B318,[1]ბიუჯეტი!$B$59:$K$464,4,FALSE)</f>
        <v>3.5593220338983052E-2</v>
      </c>
      <c r="O318" s="53">
        <f t="shared" si="81"/>
        <v>0</v>
      </c>
      <c r="P318">
        <f>VLOOKUP($B318,[1]ბიუჯეტი!$B$59:$K$464,6,FALSE)</f>
        <v>0</v>
      </c>
      <c r="Q318" s="53">
        <f t="shared" si="82"/>
        <v>0</v>
      </c>
      <c r="R318">
        <f>VLOOKUP($B318,[1]ბიუჯეტი!$B$59:$K$464,8,FALSE)</f>
        <v>0</v>
      </c>
      <c r="S318" s="53">
        <f t="shared" si="83"/>
        <v>0</v>
      </c>
      <c r="T318">
        <f>VLOOKUP($B318,[1]ბიუჯეტი!$B$59:$K$464,10,FALSE)</f>
        <v>244.1724187118644</v>
      </c>
      <c r="U318" s="53">
        <f t="shared" si="84"/>
        <v>-244.1724187118644</v>
      </c>
    </row>
    <row r="319" spans="1:21" hidden="1" outlineLevel="1" x14ac:dyDescent="0.35">
      <c r="A319" s="29"/>
      <c r="B319" s="7" t="s">
        <v>107</v>
      </c>
      <c r="C319" s="8" t="s">
        <v>49</v>
      </c>
      <c r="D319" s="5">
        <f>D312*14.4</f>
        <v>0</v>
      </c>
      <c r="E319" s="5">
        <f>0.048/1.18</f>
        <v>4.0677966101694919E-2</v>
      </c>
      <c r="F319" s="5">
        <f>E319*D319</f>
        <v>0</v>
      </c>
      <c r="G319" s="5"/>
      <c r="H319" s="5">
        <f t="shared" si="79"/>
        <v>0</v>
      </c>
      <c r="I319" s="5"/>
      <c r="J319" s="5"/>
      <c r="K319" s="5">
        <f t="shared" si="78"/>
        <v>0</v>
      </c>
      <c r="L319">
        <f>VLOOKUP($B319,[1]ბიუჯეტი!$B$59:$K$464,3,FALSE)</f>
        <v>12998.050560000001</v>
      </c>
      <c r="M319" s="53">
        <f t="shared" si="80"/>
        <v>-12998.050560000001</v>
      </c>
      <c r="N319">
        <f>VLOOKUP($B319,[1]ბიუჯეტი!$B$59:$K$464,4,FALSE)</f>
        <v>4.0677966101694919E-2</v>
      </c>
      <c r="O319" s="53">
        <f t="shared" si="81"/>
        <v>0</v>
      </c>
      <c r="P319">
        <f>VLOOKUP($B319,[1]ბიუჯეტი!$B$59:$K$464,6,FALSE)</f>
        <v>0</v>
      </c>
      <c r="Q319" s="53">
        <f t="shared" si="82"/>
        <v>0</v>
      </c>
      <c r="R319">
        <f>VLOOKUP($B319,[1]ბიუჯეტი!$B$59:$K$464,8,FALSE)</f>
        <v>0</v>
      </c>
      <c r="S319" s="53">
        <f t="shared" si="83"/>
        <v>0</v>
      </c>
      <c r="T319">
        <f>VLOOKUP($B319,[1]ბიუჯეტი!$B$59:$K$464,10,FALSE)</f>
        <v>528.73426006779675</v>
      </c>
      <c r="U319" s="53">
        <f t="shared" si="84"/>
        <v>-528.73426006779675</v>
      </c>
    </row>
    <row r="320" spans="1:21" hidden="1" outlineLevel="1" x14ac:dyDescent="0.35">
      <c r="A320" s="29"/>
      <c r="B320" s="7" t="s">
        <v>108</v>
      </c>
      <c r="C320" s="8" t="s">
        <v>49</v>
      </c>
      <c r="D320" s="5">
        <f>D317</f>
        <v>0</v>
      </c>
      <c r="E320" s="5">
        <f>0.1/1.18</f>
        <v>8.4745762711864417E-2</v>
      </c>
      <c r="F320" s="5">
        <f>E320*D320</f>
        <v>0</v>
      </c>
      <c r="G320" s="5"/>
      <c r="H320" s="5">
        <f t="shared" si="79"/>
        <v>0</v>
      </c>
      <c r="I320" s="5"/>
      <c r="J320" s="5"/>
      <c r="K320" s="5">
        <f t="shared" si="78"/>
        <v>0</v>
      </c>
      <c r="L320">
        <f>VLOOKUP($B320,[1]ბიუჯეტი!$B$59:$K$464,3,FALSE)</f>
        <v>2256.6060000000002</v>
      </c>
      <c r="M320" s="53">
        <f t="shared" si="80"/>
        <v>-2256.6060000000002</v>
      </c>
      <c r="N320">
        <f>VLOOKUP($B320,[1]ბიუჯეტი!$B$59:$K$464,4,FALSE)</f>
        <v>8.4745762711864417E-2</v>
      </c>
      <c r="O320" s="53">
        <f t="shared" si="81"/>
        <v>0</v>
      </c>
      <c r="P320">
        <f>VLOOKUP($B320,[1]ბიუჯეტი!$B$59:$K$464,6,FALSE)</f>
        <v>0</v>
      </c>
      <c r="Q320" s="53">
        <f t="shared" si="82"/>
        <v>0</v>
      </c>
      <c r="R320">
        <f>VLOOKUP($B320,[1]ბიუჯეტი!$B$59:$K$464,8,FALSE)</f>
        <v>0</v>
      </c>
      <c r="S320" s="53">
        <f t="shared" si="83"/>
        <v>0</v>
      </c>
      <c r="T320">
        <f>VLOOKUP($B320,[1]ბიუჯეტი!$B$59:$K$464,10,FALSE)</f>
        <v>191.23779661016954</v>
      </c>
      <c r="U320" s="53">
        <f t="shared" si="84"/>
        <v>-191.23779661016954</v>
      </c>
    </row>
    <row r="321" spans="1:21" hidden="1" outlineLevel="1" x14ac:dyDescent="0.35">
      <c r="A321" s="29"/>
      <c r="B321" s="7" t="s">
        <v>14</v>
      </c>
      <c r="C321" s="8" t="s">
        <v>10</v>
      </c>
      <c r="D321" s="5">
        <f>D312</f>
        <v>0</v>
      </c>
      <c r="E321" s="5">
        <f>0.9/1.18</f>
        <v>0.76271186440677974</v>
      </c>
      <c r="F321" s="5">
        <f>D321*E321</f>
        <v>0</v>
      </c>
      <c r="G321" s="5"/>
      <c r="H321" s="5">
        <f t="shared" si="79"/>
        <v>0</v>
      </c>
      <c r="I321" s="5"/>
      <c r="J321" s="5"/>
      <c r="K321" s="5">
        <f t="shared" si="78"/>
        <v>0</v>
      </c>
      <c r="L321">
        <f>VLOOKUP($B321,[1]ბიუჯეტი!$B$59:$K$464,3,FALSE)</f>
        <v>0</v>
      </c>
      <c r="M321" s="53">
        <f t="shared" si="80"/>
        <v>0</v>
      </c>
      <c r="N321">
        <f>VLOOKUP($B321,[1]ბიუჯეტი!$B$59:$K$464,4,FALSE)</f>
        <v>0.84745762711864414</v>
      </c>
      <c r="O321" s="53">
        <f t="shared" si="81"/>
        <v>-8.4745762711864403E-2</v>
      </c>
      <c r="P321">
        <f>VLOOKUP($B321,[1]ბიუჯეტი!$B$59:$K$464,6,FALSE)</f>
        <v>0</v>
      </c>
      <c r="Q321" s="53">
        <f t="shared" si="82"/>
        <v>0</v>
      </c>
      <c r="R321">
        <f>VLOOKUP($B321,[1]ბიუჯეტი!$B$59:$K$464,8,FALSE)</f>
        <v>0</v>
      </c>
      <c r="S321" s="53">
        <f t="shared" si="83"/>
        <v>0</v>
      </c>
      <c r="T321">
        <f>VLOOKUP($B321,[1]ბიუჯეტი!$B$59:$K$464,10,FALSE)</f>
        <v>0</v>
      </c>
      <c r="U321" s="53">
        <f t="shared" si="84"/>
        <v>0</v>
      </c>
    </row>
    <row r="322" spans="1:21" hidden="1" outlineLevel="1" x14ac:dyDescent="0.35">
      <c r="A322" s="29">
        <v>1</v>
      </c>
      <c r="B322" s="30" t="s">
        <v>195</v>
      </c>
      <c r="C322" s="8" t="s">
        <v>10</v>
      </c>
      <c r="D322" s="5">
        <f>სამუშაო!D88+სამუშაო!D89+სამუშაო!D90</f>
        <v>2893.9680000000003</v>
      </c>
      <c r="E322" s="5"/>
      <c r="F322" s="5">
        <f t="shared" si="68"/>
        <v>0</v>
      </c>
      <c r="G322" s="5">
        <f>16*1.275</f>
        <v>20.399999999999999</v>
      </c>
      <c r="H322" s="5">
        <f t="shared" si="79"/>
        <v>59036.947200000002</v>
      </c>
      <c r="I322" s="5"/>
      <c r="J322" s="5"/>
      <c r="K322" s="5">
        <f t="shared" si="78"/>
        <v>59036.947200000002</v>
      </c>
      <c r="L322">
        <f>VLOOKUP($B322,[1]ბიუჯეტი!$B$59:$K$464,3,FALSE)</f>
        <v>2893.9680000000003</v>
      </c>
      <c r="M322" s="53">
        <f t="shared" si="80"/>
        <v>0</v>
      </c>
      <c r="N322">
        <f>VLOOKUP($B322,[1]ბიუჯეტი!$B$59:$K$464,4,FALSE)</f>
        <v>0</v>
      </c>
      <c r="O322" s="53">
        <f t="shared" si="81"/>
        <v>0</v>
      </c>
      <c r="P322">
        <f>VLOOKUP($B322,[1]ბიუჯეტი!$B$59:$K$464,6,FALSE)</f>
        <v>19.125</v>
      </c>
      <c r="Q322" s="53">
        <f t="shared" si="82"/>
        <v>1.2749999999999986</v>
      </c>
      <c r="R322">
        <f>VLOOKUP($B322,[1]ბიუჯეტი!$B$59:$K$464,8,FALSE)</f>
        <v>0</v>
      </c>
      <c r="S322" s="53">
        <f t="shared" si="83"/>
        <v>0</v>
      </c>
      <c r="T322">
        <f>VLOOKUP($B322,[1]ბიუჯეტი!$B$59:$K$464,10,FALSE)</f>
        <v>55347.138000000006</v>
      </c>
      <c r="U322" s="53">
        <f t="shared" si="84"/>
        <v>3689.8091999999961</v>
      </c>
    </row>
    <row r="323" spans="1:21" hidden="1" outlineLevel="1" x14ac:dyDescent="0.35">
      <c r="A323" s="29">
        <v>1</v>
      </c>
      <c r="B323" s="30" t="s">
        <v>195</v>
      </c>
      <c r="C323" s="8" t="s">
        <v>10</v>
      </c>
      <c r="D323" s="5">
        <f>D322-D90-D358*2.2</f>
        <v>2792.6480000000001</v>
      </c>
      <c r="E323" s="5"/>
      <c r="F323" s="5">
        <f t="shared" si="68"/>
        <v>0</v>
      </c>
      <c r="G323" s="5">
        <v>0</v>
      </c>
      <c r="H323" s="5">
        <f t="shared" si="79"/>
        <v>0</v>
      </c>
      <c r="I323" s="5"/>
      <c r="J323" s="5"/>
      <c r="K323" s="5">
        <f t="shared" si="78"/>
        <v>0</v>
      </c>
      <c r="L323">
        <f>VLOOKUP($B323,[1]ბიუჯეტი!$B$59:$K$464,3,FALSE)</f>
        <v>2893.9680000000003</v>
      </c>
      <c r="M323" s="53">
        <f t="shared" si="80"/>
        <v>-101.32000000000016</v>
      </c>
      <c r="N323">
        <f>VLOOKUP($B323,[1]ბიუჯეტი!$B$59:$K$464,4,FALSE)</f>
        <v>0</v>
      </c>
      <c r="O323" s="53">
        <f t="shared" si="81"/>
        <v>0</v>
      </c>
      <c r="P323">
        <f>VLOOKUP($B323,[1]ბიუჯეტი!$B$59:$K$464,6,FALSE)</f>
        <v>19.125</v>
      </c>
      <c r="Q323" s="53">
        <f t="shared" si="82"/>
        <v>-19.125</v>
      </c>
      <c r="R323">
        <f>VLOOKUP($B323,[1]ბიუჯეტი!$B$59:$K$464,8,FALSE)</f>
        <v>0</v>
      </c>
      <c r="S323" s="53">
        <f t="shared" si="83"/>
        <v>0</v>
      </c>
      <c r="T323">
        <f>VLOOKUP($B323,[1]ბიუჯეტი!$B$59:$K$464,10,FALSE)</f>
        <v>55347.138000000006</v>
      </c>
      <c r="U323" s="53">
        <f t="shared" si="84"/>
        <v>-55347.138000000006</v>
      </c>
    </row>
    <row r="324" spans="1:21" hidden="1" outlineLevel="1" x14ac:dyDescent="0.35">
      <c r="A324" s="29"/>
      <c r="B324" s="7" t="s">
        <v>101</v>
      </c>
      <c r="C324" s="8" t="s">
        <v>49</v>
      </c>
      <c r="D324" s="5">
        <f>D323*2/3*1.05</f>
        <v>1954.8536000000004</v>
      </c>
      <c r="E324" s="5">
        <f>17/1.18</f>
        <v>14.40677966101695</v>
      </c>
      <c r="F324" s="5">
        <f t="shared" si="68"/>
        <v>28163.145084745771</v>
      </c>
      <c r="G324" s="5"/>
      <c r="H324" s="5">
        <f t="shared" si="79"/>
        <v>0</v>
      </c>
      <c r="I324" s="5"/>
      <c r="J324" s="5"/>
      <c r="K324" s="5">
        <f t="shared" si="78"/>
        <v>28163.145084745771</v>
      </c>
      <c r="L324">
        <f>VLOOKUP($B324,[1]ბიუჯეტი!$B$59:$K$464,3,FALSE)</f>
        <v>631.84968000000003</v>
      </c>
      <c r="M324" s="53">
        <f t="shared" si="80"/>
        <v>1323.0039200000003</v>
      </c>
      <c r="N324">
        <f>VLOOKUP($B324,[1]ბიუჯეტი!$B$59:$K$464,4,FALSE)</f>
        <v>14.40677966101695</v>
      </c>
      <c r="O324" s="53">
        <f t="shared" si="81"/>
        <v>0</v>
      </c>
      <c r="P324">
        <f>VLOOKUP($B324,[1]ბიუჯეტი!$B$59:$K$464,6,FALSE)</f>
        <v>0</v>
      </c>
      <c r="Q324" s="53">
        <f t="shared" si="82"/>
        <v>0</v>
      </c>
      <c r="R324">
        <f>VLOOKUP($B324,[1]ბიუჯეტი!$B$59:$K$464,8,FALSE)</f>
        <v>0</v>
      </c>
      <c r="S324" s="53">
        <f t="shared" si="83"/>
        <v>0</v>
      </c>
      <c r="T324">
        <f>VLOOKUP($B324,[1]ბიუჯეტი!$B$59:$K$464,10,FALSE)</f>
        <v>9102.9191186440694</v>
      </c>
      <c r="U324" s="53">
        <f t="shared" si="84"/>
        <v>19060.225966101701</v>
      </c>
    </row>
    <row r="325" spans="1:21" hidden="1" outlineLevel="1" x14ac:dyDescent="0.35">
      <c r="A325" s="29"/>
      <c r="B325" s="7" t="s">
        <v>102</v>
      </c>
      <c r="C325" s="8" t="s">
        <v>49</v>
      </c>
      <c r="D325" s="5">
        <f>D323*2/3*1.05</f>
        <v>1954.8536000000004</v>
      </c>
      <c r="E325" s="5">
        <f>11.1/1.18</f>
        <v>9.4067796610169498</v>
      </c>
      <c r="F325" s="5">
        <f t="shared" si="68"/>
        <v>18388.877084745767</v>
      </c>
      <c r="G325" s="5"/>
      <c r="H325" s="5">
        <f t="shared" si="79"/>
        <v>0</v>
      </c>
      <c r="I325" s="5"/>
      <c r="J325" s="5"/>
      <c r="K325" s="5">
        <f t="shared" si="78"/>
        <v>18388.877084745767</v>
      </c>
      <c r="L325">
        <f>VLOOKUP($B325,[1]ბიუჯეტი!$B$59:$K$464,3,FALSE)</f>
        <v>631.84968000000003</v>
      </c>
      <c r="M325" s="53">
        <f t="shared" si="80"/>
        <v>1323.0039200000003</v>
      </c>
      <c r="N325">
        <f>VLOOKUP($B325,[1]ბიუჯეტი!$B$59:$K$464,4,FALSE)</f>
        <v>9.4067796610169498</v>
      </c>
      <c r="O325" s="53">
        <f t="shared" si="81"/>
        <v>0</v>
      </c>
      <c r="P325">
        <f>VLOOKUP($B325,[1]ბიუჯეტი!$B$59:$K$464,6,FALSE)</f>
        <v>0</v>
      </c>
      <c r="Q325" s="53">
        <f t="shared" si="82"/>
        <v>0</v>
      </c>
      <c r="R325">
        <f>VLOOKUP($B325,[1]ბიუჯეტი!$B$59:$K$464,8,FALSE)</f>
        <v>0</v>
      </c>
      <c r="S325" s="53">
        <f t="shared" si="83"/>
        <v>0</v>
      </c>
      <c r="T325">
        <f>VLOOKUP($B325,[1]ბიუჯეტი!$B$59:$K$464,10,FALSE)</f>
        <v>5943.670718644069</v>
      </c>
      <c r="U325" s="53">
        <f t="shared" si="84"/>
        <v>12445.206366101698</v>
      </c>
    </row>
    <row r="326" spans="1:21" hidden="1" outlineLevel="1" x14ac:dyDescent="0.35">
      <c r="A326" s="29"/>
      <c r="B326" s="7" t="s">
        <v>103</v>
      </c>
      <c r="C326" s="8" t="s">
        <v>49</v>
      </c>
      <c r="D326" s="5">
        <f>D323*1.4/3*1.05</f>
        <v>1368.39752</v>
      </c>
      <c r="E326" s="5">
        <f>8.2/1.18</f>
        <v>6.9491525423728815</v>
      </c>
      <c r="F326" s="5">
        <f t="shared" si="68"/>
        <v>9509.2031050847454</v>
      </c>
      <c r="G326" s="5"/>
      <c r="H326" s="5">
        <f t="shared" si="79"/>
        <v>0</v>
      </c>
      <c r="I326" s="5"/>
      <c r="J326" s="5"/>
      <c r="K326" s="5">
        <f t="shared" si="78"/>
        <v>9509.2031050847454</v>
      </c>
      <c r="L326">
        <f>VLOOKUP($B326,[1]ბიუჯეტი!$B$59:$K$464,3,FALSE)</f>
        <v>442.29477600000007</v>
      </c>
      <c r="M326" s="53">
        <f t="shared" si="80"/>
        <v>926.10274399999992</v>
      </c>
      <c r="N326">
        <f>VLOOKUP($B326,[1]ბიუჯეტი!$B$59:$K$464,4,FALSE)</f>
        <v>6.9491525423728815</v>
      </c>
      <c r="O326" s="53">
        <f t="shared" si="81"/>
        <v>0</v>
      </c>
      <c r="P326">
        <f>VLOOKUP($B326,[1]ბიუჯეტი!$B$59:$K$464,6,FALSE)</f>
        <v>0</v>
      </c>
      <c r="Q326" s="53">
        <f t="shared" si="82"/>
        <v>0</v>
      </c>
      <c r="R326">
        <f>VLOOKUP($B326,[1]ბიუჯეტი!$B$59:$K$464,8,FALSE)</f>
        <v>0</v>
      </c>
      <c r="S326" s="53">
        <f t="shared" si="83"/>
        <v>0</v>
      </c>
      <c r="T326">
        <f>VLOOKUP($B326,[1]ბიუჯეტი!$B$59:$K$464,10,FALSE)</f>
        <v>3073.5738671186446</v>
      </c>
      <c r="U326" s="53">
        <f t="shared" si="84"/>
        <v>6435.6292379661008</v>
      </c>
    </row>
    <row r="327" spans="1:21" hidden="1" outlineLevel="1" x14ac:dyDescent="0.35">
      <c r="A327" s="29"/>
      <c r="B327" s="7" t="s">
        <v>104</v>
      </c>
      <c r="C327" s="8" t="s">
        <v>10</v>
      </c>
      <c r="D327" s="5">
        <f>D323*1.02</f>
        <v>2848.5009600000003</v>
      </c>
      <c r="E327" s="5">
        <f>2.7/1.18</f>
        <v>2.2881355932203391</v>
      </c>
      <c r="F327" s="5">
        <f t="shared" si="68"/>
        <v>6517.7564338983066</v>
      </c>
      <c r="G327" s="5"/>
      <c r="H327" s="5">
        <f t="shared" si="79"/>
        <v>0</v>
      </c>
      <c r="I327" s="5"/>
      <c r="J327" s="5"/>
      <c r="K327" s="5">
        <f t="shared" si="78"/>
        <v>6517.7564338983066</v>
      </c>
      <c r="L327">
        <f>VLOOKUP($B327,[1]ბიუჯეტი!$B$59:$K$464,3,FALSE)</f>
        <v>920.69524800000011</v>
      </c>
      <c r="M327" s="53">
        <f t="shared" si="80"/>
        <v>1927.8057120000003</v>
      </c>
      <c r="N327">
        <f>VLOOKUP($B327,[1]ბიუჯეტი!$B$59:$K$464,4,FALSE)</f>
        <v>2.2033898305084749</v>
      </c>
      <c r="O327" s="53">
        <f t="shared" si="81"/>
        <v>8.4745762711864181E-2</v>
      </c>
      <c r="P327">
        <f>VLOOKUP($B327,[1]ბიუჯეტი!$B$59:$K$464,6,FALSE)</f>
        <v>0</v>
      </c>
      <c r="Q327" s="53">
        <f t="shared" si="82"/>
        <v>0</v>
      </c>
      <c r="R327">
        <f>VLOOKUP($B327,[1]ბიუჯეტი!$B$59:$K$464,8,FALSE)</f>
        <v>0</v>
      </c>
      <c r="S327" s="53">
        <f t="shared" si="83"/>
        <v>0</v>
      </c>
      <c r="T327">
        <f>VLOOKUP($B327,[1]ბიუჯეტი!$B$59:$K$464,10,FALSE)</f>
        <v>2028.6505464406785</v>
      </c>
      <c r="U327" s="53">
        <f t="shared" si="84"/>
        <v>4489.1058874576283</v>
      </c>
    </row>
    <row r="328" spans="1:21" hidden="1" outlineLevel="1" x14ac:dyDescent="0.35">
      <c r="A328" s="29"/>
      <c r="B328" s="7" t="s">
        <v>105</v>
      </c>
      <c r="C328" s="8" t="s">
        <v>49</v>
      </c>
      <c r="D328" s="5">
        <f>D323*2.5</f>
        <v>6981.6200000000008</v>
      </c>
      <c r="E328" s="5">
        <f>0.9/1.18</f>
        <v>0.76271186440677974</v>
      </c>
      <c r="F328" s="5">
        <f>E328*D328</f>
        <v>5324.9644067796626</v>
      </c>
      <c r="G328" s="5"/>
      <c r="H328" s="5">
        <f t="shared" si="79"/>
        <v>0</v>
      </c>
      <c r="I328" s="5"/>
      <c r="J328" s="5"/>
      <c r="K328" s="5">
        <f t="shared" si="78"/>
        <v>5324.9644067796626</v>
      </c>
      <c r="L328">
        <f>VLOOKUP($B328,[1]ბიუჯეტი!$B$59:$K$464,3,FALSE)</f>
        <v>2256.6060000000002</v>
      </c>
      <c r="M328" s="53">
        <f t="shared" si="80"/>
        <v>4725.014000000001</v>
      </c>
      <c r="N328">
        <f>VLOOKUP($B328,[1]ბიუჯეტი!$B$59:$K$464,4,FALSE)</f>
        <v>0.76271186440677974</v>
      </c>
      <c r="O328" s="53">
        <f t="shared" si="81"/>
        <v>0</v>
      </c>
      <c r="P328">
        <f>VLOOKUP($B328,[1]ბიუჯეტი!$B$59:$K$464,6,FALSE)</f>
        <v>0</v>
      </c>
      <c r="Q328" s="53">
        <f t="shared" si="82"/>
        <v>0</v>
      </c>
      <c r="R328">
        <f>VLOOKUP($B328,[1]ბიუჯეტი!$B$59:$K$464,8,FALSE)</f>
        <v>0</v>
      </c>
      <c r="S328" s="53">
        <f t="shared" si="83"/>
        <v>0</v>
      </c>
      <c r="T328">
        <f>VLOOKUP($B328,[1]ბიუჯეტი!$B$59:$K$464,10,FALSE)</f>
        <v>1721.1401694915257</v>
      </c>
      <c r="U328" s="53">
        <f t="shared" si="84"/>
        <v>3603.8242372881368</v>
      </c>
    </row>
    <row r="329" spans="1:21" hidden="1" outlineLevel="1" x14ac:dyDescent="0.35">
      <c r="A329" s="29"/>
      <c r="B329" s="7" t="s">
        <v>106</v>
      </c>
      <c r="C329" s="8" t="s">
        <v>49</v>
      </c>
      <c r="D329" s="5">
        <f>D323*7.6</f>
        <v>21224.124800000001</v>
      </c>
      <c r="E329" s="5">
        <f>0.042/1.18</f>
        <v>3.5593220338983052E-2</v>
      </c>
      <c r="F329" s="5">
        <f>E329*D329</f>
        <v>755.43495050847469</v>
      </c>
      <c r="G329" s="5"/>
      <c r="H329" s="5">
        <f t="shared" si="79"/>
        <v>0</v>
      </c>
      <c r="I329" s="5"/>
      <c r="J329" s="5"/>
      <c r="K329" s="5">
        <f t="shared" si="78"/>
        <v>755.43495050847469</v>
      </c>
      <c r="L329">
        <f>VLOOKUP($B329,[1]ბიუჯეტი!$B$59:$K$464,3,FALSE)</f>
        <v>6860.0822399999997</v>
      </c>
      <c r="M329" s="53">
        <f t="shared" si="80"/>
        <v>14364.042560000002</v>
      </c>
      <c r="N329">
        <f>VLOOKUP($B329,[1]ბიუჯეტი!$B$59:$K$464,4,FALSE)</f>
        <v>3.5593220338983052E-2</v>
      </c>
      <c r="O329" s="53">
        <f t="shared" si="81"/>
        <v>0</v>
      </c>
      <c r="P329">
        <f>VLOOKUP($B329,[1]ბიუჯეტი!$B$59:$K$464,6,FALSE)</f>
        <v>0</v>
      </c>
      <c r="Q329" s="53">
        <f t="shared" si="82"/>
        <v>0</v>
      </c>
      <c r="R329">
        <f>VLOOKUP($B329,[1]ბიუჯეტი!$B$59:$K$464,8,FALSE)</f>
        <v>0</v>
      </c>
      <c r="S329" s="53">
        <f t="shared" si="83"/>
        <v>0</v>
      </c>
      <c r="T329">
        <f>VLOOKUP($B329,[1]ბიუჯეტი!$B$59:$K$464,10,FALSE)</f>
        <v>244.1724187118644</v>
      </c>
      <c r="U329" s="53">
        <f t="shared" si="84"/>
        <v>511.26253179661029</v>
      </c>
    </row>
    <row r="330" spans="1:21" hidden="1" outlineLevel="1" x14ac:dyDescent="0.35">
      <c r="A330" s="29"/>
      <c r="B330" s="7" t="s">
        <v>107</v>
      </c>
      <c r="C330" s="8" t="s">
        <v>49</v>
      </c>
      <c r="D330" s="5">
        <f>D323*14.4</f>
        <v>40214.131200000003</v>
      </c>
      <c r="E330" s="5">
        <f>0.048/1.18</f>
        <v>4.0677966101694919E-2</v>
      </c>
      <c r="F330" s="5">
        <f>E330*D330</f>
        <v>1635.8290657627122</v>
      </c>
      <c r="G330" s="5"/>
      <c r="H330" s="5">
        <f t="shared" si="79"/>
        <v>0</v>
      </c>
      <c r="I330" s="5"/>
      <c r="J330" s="5"/>
      <c r="K330" s="5">
        <f t="shared" si="78"/>
        <v>1635.8290657627122</v>
      </c>
      <c r="L330">
        <f>VLOOKUP($B330,[1]ბიუჯეტი!$B$59:$K$464,3,FALSE)</f>
        <v>12998.050560000001</v>
      </c>
      <c r="M330" s="53">
        <f t="shared" si="80"/>
        <v>27216.08064</v>
      </c>
      <c r="N330">
        <f>VLOOKUP($B330,[1]ბიუჯეტი!$B$59:$K$464,4,FALSE)</f>
        <v>4.0677966101694919E-2</v>
      </c>
      <c r="O330" s="53">
        <f t="shared" si="81"/>
        <v>0</v>
      </c>
      <c r="P330">
        <f>VLOOKUP($B330,[1]ბიუჯეტი!$B$59:$K$464,6,FALSE)</f>
        <v>0</v>
      </c>
      <c r="Q330" s="53">
        <f t="shared" si="82"/>
        <v>0</v>
      </c>
      <c r="R330">
        <f>VLOOKUP($B330,[1]ბიუჯეტი!$B$59:$K$464,8,FALSE)</f>
        <v>0</v>
      </c>
      <c r="S330" s="53">
        <f t="shared" si="83"/>
        <v>0</v>
      </c>
      <c r="T330">
        <f>VLOOKUP($B330,[1]ბიუჯეტი!$B$59:$K$464,10,FALSE)</f>
        <v>528.73426006779675</v>
      </c>
      <c r="U330" s="53">
        <f t="shared" si="84"/>
        <v>1107.0948056949155</v>
      </c>
    </row>
    <row r="331" spans="1:21" hidden="1" outlineLevel="1" x14ac:dyDescent="0.35">
      <c r="A331" s="29"/>
      <c r="B331" s="7" t="s">
        <v>108</v>
      </c>
      <c r="C331" s="8" t="s">
        <v>49</v>
      </c>
      <c r="D331" s="5">
        <f>D328</f>
        <v>6981.6200000000008</v>
      </c>
      <c r="E331" s="5">
        <f>0.1/1.18</f>
        <v>8.4745762711864417E-2</v>
      </c>
      <c r="F331" s="5">
        <f>E331*D331</f>
        <v>591.6627118644069</v>
      </c>
      <c r="G331" s="5"/>
      <c r="H331" s="5">
        <f t="shared" si="79"/>
        <v>0</v>
      </c>
      <c r="I331" s="5"/>
      <c r="J331" s="5"/>
      <c r="K331" s="5">
        <f t="shared" si="78"/>
        <v>591.6627118644069</v>
      </c>
      <c r="L331">
        <f>VLOOKUP($B331,[1]ბიუჯეტი!$B$59:$K$464,3,FALSE)</f>
        <v>2256.6060000000002</v>
      </c>
      <c r="M331" s="53">
        <f t="shared" si="80"/>
        <v>4725.014000000001</v>
      </c>
      <c r="N331">
        <f>VLOOKUP($B331,[1]ბიუჯეტი!$B$59:$K$464,4,FALSE)</f>
        <v>8.4745762711864417E-2</v>
      </c>
      <c r="O331" s="53">
        <f t="shared" si="81"/>
        <v>0</v>
      </c>
      <c r="P331">
        <f>VLOOKUP($B331,[1]ბიუჯეტი!$B$59:$K$464,6,FALSE)</f>
        <v>0</v>
      </c>
      <c r="Q331" s="53">
        <f t="shared" si="82"/>
        <v>0</v>
      </c>
      <c r="R331">
        <f>VLOOKUP($B331,[1]ბიუჯეტი!$B$59:$K$464,8,FALSE)</f>
        <v>0</v>
      </c>
      <c r="S331" s="53">
        <f t="shared" si="83"/>
        <v>0</v>
      </c>
      <c r="T331">
        <f>VLOOKUP($B331,[1]ბიუჯეტი!$B$59:$K$464,10,FALSE)</f>
        <v>191.23779661016954</v>
      </c>
      <c r="U331" s="53">
        <f t="shared" si="84"/>
        <v>400.42491525423736</v>
      </c>
    </row>
    <row r="332" spans="1:21" hidden="1" outlineLevel="1" x14ac:dyDescent="0.35">
      <c r="A332" s="29"/>
      <c r="B332" s="7" t="s">
        <v>14</v>
      </c>
      <c r="C332" s="8" t="s">
        <v>10</v>
      </c>
      <c r="D332" s="5">
        <f>D323</f>
        <v>2792.6480000000001</v>
      </c>
      <c r="E332" s="5">
        <f>0.9/1.18</f>
        <v>0.76271186440677974</v>
      </c>
      <c r="F332" s="5">
        <f t="shared" ref="F332" si="85">D332*E332</f>
        <v>2129.9857627118649</v>
      </c>
      <c r="G332" s="5"/>
      <c r="H332" s="5">
        <f t="shared" si="79"/>
        <v>0</v>
      </c>
      <c r="I332" s="5"/>
      <c r="J332" s="5"/>
      <c r="K332" s="5">
        <f t="shared" si="78"/>
        <v>2129.9857627118649</v>
      </c>
      <c r="L332">
        <f>VLOOKUP($B332,[1]ბიუჯეტი!$B$59:$K$464,3,FALSE)</f>
        <v>0</v>
      </c>
      <c r="M332" s="53">
        <f t="shared" si="80"/>
        <v>2792.6480000000001</v>
      </c>
      <c r="N332">
        <f>VLOOKUP($B332,[1]ბიუჯეტი!$B$59:$K$464,4,FALSE)</f>
        <v>0.84745762711864414</v>
      </c>
      <c r="O332" s="53">
        <f t="shared" si="81"/>
        <v>-8.4745762711864403E-2</v>
      </c>
      <c r="P332">
        <f>VLOOKUP($B332,[1]ბიუჯეტი!$B$59:$K$464,6,FALSE)</f>
        <v>0</v>
      </c>
      <c r="Q332" s="53">
        <f t="shared" si="82"/>
        <v>0</v>
      </c>
      <c r="R332">
        <f>VLOOKUP($B332,[1]ბიუჯეტი!$B$59:$K$464,8,FALSE)</f>
        <v>0</v>
      </c>
      <c r="S332" s="53">
        <f t="shared" si="83"/>
        <v>0</v>
      </c>
      <c r="T332">
        <f>VLOOKUP($B332,[1]ბიუჯეტი!$B$59:$K$464,10,FALSE)</f>
        <v>0</v>
      </c>
      <c r="U332" s="53">
        <f t="shared" si="84"/>
        <v>2129.9857627118649</v>
      </c>
    </row>
    <row r="333" spans="1:21" collapsed="1" x14ac:dyDescent="0.35">
      <c r="A333" s="29">
        <v>39</v>
      </c>
      <c r="B333" s="30" t="s">
        <v>109</v>
      </c>
      <c r="C333" s="8" t="s">
        <v>10</v>
      </c>
      <c r="D333" s="5">
        <f>SUM(D345,D334,)</f>
        <v>2004.75</v>
      </c>
      <c r="E333" s="5">
        <f>SUM(K347:K355,K336:K344,)/D333</f>
        <v>18.457582392664882</v>
      </c>
      <c r="F333" s="5">
        <f>D333*E333</f>
        <v>37002.838301694923</v>
      </c>
      <c r="G333" s="5">
        <f>SUM(H334:H355)/D333</f>
        <v>17.849999999999998</v>
      </c>
      <c r="H333" s="5">
        <f>G333*D333</f>
        <v>35784.787499999999</v>
      </c>
      <c r="I333" s="5">
        <v>0</v>
      </c>
      <c r="J333" s="5">
        <v>0</v>
      </c>
      <c r="K333" s="5">
        <f t="shared" si="78"/>
        <v>72787.625801694929</v>
      </c>
      <c r="L333">
        <f>VLOOKUP($B333,[1]ბიუჯეტი!$B$59:$K$464,3,FALSE)</f>
        <v>2523.9059999999999</v>
      </c>
      <c r="M333" s="53">
        <f t="shared" si="80"/>
        <v>-519.15599999999995</v>
      </c>
      <c r="N333">
        <f>VLOOKUP($B333,[1]ბიუჯეტი!$B$59:$K$464,4,FALSE)</f>
        <v>18.593104145394662</v>
      </c>
      <c r="O333" s="53">
        <f t="shared" si="81"/>
        <v>-0.13552175272977962</v>
      </c>
      <c r="P333">
        <f>VLOOKUP($B333,[1]ბიუჯეტი!$B$59:$K$464,6,FALSE)</f>
        <v>14.024999999999999</v>
      </c>
      <c r="Q333" s="53">
        <f t="shared" si="82"/>
        <v>3.8249999999999993</v>
      </c>
      <c r="R333">
        <f>VLOOKUP($B333,[1]ბიუჯეტი!$B$59:$K$464,8,FALSE)</f>
        <v>0</v>
      </c>
      <c r="S333" s="53">
        <f t="shared" si="83"/>
        <v>0</v>
      </c>
      <c r="T333">
        <f>VLOOKUP($B333,[1]ბიუჯეტი!$B$59:$K$464,10,FALSE)</f>
        <v>82325.028761186462</v>
      </c>
      <c r="U333" s="53">
        <f t="shared" si="84"/>
        <v>-9537.4029594915337</v>
      </c>
    </row>
    <row r="334" spans="1:21" hidden="1" outlineLevel="1" x14ac:dyDescent="0.35">
      <c r="A334" s="29">
        <v>0</v>
      </c>
      <c r="B334" s="30" t="s">
        <v>100</v>
      </c>
      <c r="C334" s="8" t="s">
        <v>10</v>
      </c>
      <c r="D334" s="5">
        <f>სამუშაო!E87*2</f>
        <v>0</v>
      </c>
      <c r="E334" s="5"/>
      <c r="F334" s="5">
        <f t="shared" ref="F334:F339" si="86">D334*E334</f>
        <v>0</v>
      </c>
      <c r="G334" s="5">
        <f>14*1.275</f>
        <v>17.849999999999998</v>
      </c>
      <c r="H334" s="5">
        <f t="shared" ref="H334:H355" si="87">D334*G334</f>
        <v>0</v>
      </c>
      <c r="I334" s="5"/>
      <c r="J334" s="5"/>
      <c r="K334" s="5">
        <f t="shared" si="78"/>
        <v>0</v>
      </c>
      <c r="L334">
        <f>VLOOKUP($B334,[1]ბიუჯეტი!$B$59:$K$464,3,FALSE)</f>
        <v>902.64240000000007</v>
      </c>
      <c r="M334" s="53">
        <f t="shared" si="80"/>
        <v>-902.64240000000007</v>
      </c>
      <c r="N334">
        <f>VLOOKUP($B334,[1]ბიუჯეტი!$B$59:$K$464,4,FALSE)</f>
        <v>0</v>
      </c>
      <c r="O334" s="53">
        <f t="shared" si="81"/>
        <v>0</v>
      </c>
      <c r="P334">
        <f>VLOOKUP($B334,[1]ბიუჯეტი!$B$59:$K$464,6,FALSE)</f>
        <v>19.125</v>
      </c>
      <c r="Q334" s="53">
        <f t="shared" si="82"/>
        <v>-1.2750000000000021</v>
      </c>
      <c r="R334">
        <f>VLOOKUP($B334,[1]ბიუჯეტი!$B$59:$K$464,8,FALSE)</f>
        <v>0</v>
      </c>
      <c r="S334" s="53">
        <f t="shared" si="83"/>
        <v>0</v>
      </c>
      <c r="T334">
        <f>VLOOKUP($B334,[1]ბიუჯეტი!$B$59:$K$464,10,FALSE)</f>
        <v>17263.035900000003</v>
      </c>
      <c r="U334" s="53">
        <f t="shared" si="84"/>
        <v>-17263.035900000003</v>
      </c>
    </row>
    <row r="335" spans="1:21" hidden="1" outlineLevel="1" x14ac:dyDescent="0.35">
      <c r="A335" s="29">
        <v>0</v>
      </c>
      <c r="B335" s="30" t="s">
        <v>100</v>
      </c>
      <c r="C335" s="8" t="s">
        <v>10</v>
      </c>
      <c r="D335" s="5">
        <f>D334/2*0.8*2.1*2</f>
        <v>0</v>
      </c>
      <c r="E335" s="5"/>
      <c r="F335" s="5">
        <f t="shared" si="86"/>
        <v>0</v>
      </c>
      <c r="G335" s="5">
        <v>0</v>
      </c>
      <c r="H335" s="5">
        <f t="shared" si="87"/>
        <v>0</v>
      </c>
      <c r="I335" s="5"/>
      <c r="J335" s="5"/>
      <c r="K335" s="5">
        <f t="shared" si="78"/>
        <v>0</v>
      </c>
      <c r="L335">
        <f>VLOOKUP($B335,[1]ბიუჯეტი!$B$59:$K$464,3,FALSE)</f>
        <v>902.64240000000007</v>
      </c>
      <c r="M335" s="53">
        <f t="shared" si="80"/>
        <v>-902.64240000000007</v>
      </c>
      <c r="N335">
        <f>VLOOKUP($B335,[1]ბიუჯეტი!$B$59:$K$464,4,FALSE)</f>
        <v>0</v>
      </c>
      <c r="O335" s="53">
        <f t="shared" si="81"/>
        <v>0</v>
      </c>
      <c r="P335">
        <f>VLOOKUP($B335,[1]ბიუჯეტი!$B$59:$K$464,6,FALSE)</f>
        <v>19.125</v>
      </c>
      <c r="Q335" s="53">
        <f t="shared" si="82"/>
        <v>-19.125</v>
      </c>
      <c r="R335">
        <f>VLOOKUP($B335,[1]ბიუჯეტი!$B$59:$K$464,8,FALSE)</f>
        <v>0</v>
      </c>
      <c r="S335" s="53">
        <f t="shared" si="83"/>
        <v>0</v>
      </c>
      <c r="T335">
        <f>VLOOKUP($B335,[1]ბიუჯეტი!$B$59:$K$464,10,FALSE)</f>
        <v>17263.035900000003</v>
      </c>
      <c r="U335" s="53">
        <f t="shared" si="84"/>
        <v>-17263.035900000003</v>
      </c>
    </row>
    <row r="336" spans="1:21" hidden="1" outlineLevel="1" x14ac:dyDescent="0.35">
      <c r="A336" s="29"/>
      <c r="B336" s="7" t="s">
        <v>101</v>
      </c>
      <c r="C336" s="8" t="s">
        <v>49</v>
      </c>
      <c r="D336" s="5">
        <f>D335/3*4*1.05</f>
        <v>0</v>
      </c>
      <c r="E336" s="5">
        <f>17/1.18</f>
        <v>14.40677966101695</v>
      </c>
      <c r="F336" s="5">
        <f t="shared" si="86"/>
        <v>0</v>
      </c>
      <c r="G336" s="5"/>
      <c r="H336" s="5">
        <f t="shared" si="87"/>
        <v>0</v>
      </c>
      <c r="I336" s="5"/>
      <c r="J336" s="5"/>
      <c r="K336" s="5">
        <f t="shared" si="78"/>
        <v>0</v>
      </c>
      <c r="L336">
        <f>VLOOKUP($B336,[1]ბიუჯეტი!$B$59:$K$464,3,FALSE)</f>
        <v>631.84968000000003</v>
      </c>
      <c r="M336" s="53">
        <f t="shared" si="80"/>
        <v>-631.84968000000003</v>
      </c>
      <c r="N336">
        <f>VLOOKUP($B336,[1]ბიუჯეტი!$B$59:$K$464,4,FALSE)</f>
        <v>14.40677966101695</v>
      </c>
      <c r="O336" s="53">
        <f t="shared" si="81"/>
        <v>0</v>
      </c>
      <c r="P336">
        <f>VLOOKUP($B336,[1]ბიუჯეტი!$B$59:$K$464,6,FALSE)</f>
        <v>0</v>
      </c>
      <c r="Q336" s="53">
        <f t="shared" si="82"/>
        <v>0</v>
      </c>
      <c r="R336">
        <f>VLOOKUP($B336,[1]ბიუჯეტი!$B$59:$K$464,8,FALSE)</f>
        <v>0</v>
      </c>
      <c r="S336" s="53">
        <f t="shared" si="83"/>
        <v>0</v>
      </c>
      <c r="T336">
        <f>VLOOKUP($B336,[1]ბიუჯეტი!$B$59:$K$464,10,FALSE)</f>
        <v>9102.9191186440694</v>
      </c>
      <c r="U336" s="53">
        <f t="shared" si="84"/>
        <v>-9102.9191186440694</v>
      </c>
    </row>
    <row r="337" spans="1:21" hidden="1" outlineLevel="1" x14ac:dyDescent="0.35">
      <c r="A337" s="29"/>
      <c r="B337" s="7" t="s">
        <v>110</v>
      </c>
      <c r="C337" s="8" t="s">
        <v>49</v>
      </c>
      <c r="D337" s="5">
        <f>D335*0.7/3*1.05</f>
        <v>0</v>
      </c>
      <c r="E337" s="5">
        <f>14/1.18</f>
        <v>11.864406779661017</v>
      </c>
      <c r="F337" s="5">
        <f t="shared" si="86"/>
        <v>0</v>
      </c>
      <c r="G337" s="5"/>
      <c r="H337" s="5">
        <f t="shared" si="87"/>
        <v>0</v>
      </c>
      <c r="I337" s="5"/>
      <c r="J337" s="5"/>
      <c r="K337" s="5">
        <f t="shared" si="78"/>
        <v>0</v>
      </c>
      <c r="L337">
        <f>VLOOKUP($B337,[1]ბიუჯეტი!$B$59:$K$464,3,FALSE)</f>
        <v>62.773409999999998</v>
      </c>
      <c r="M337" s="53">
        <f t="shared" si="80"/>
        <v>-62.773409999999998</v>
      </c>
      <c r="N337">
        <f>VLOOKUP($B337,[1]ბიუჯეტი!$B$59:$K$464,4,FALSE)</f>
        <v>11.864406779661017</v>
      </c>
      <c r="O337" s="53">
        <f t="shared" si="81"/>
        <v>0</v>
      </c>
      <c r="P337">
        <f>VLOOKUP($B337,[1]ბიუჯეტი!$B$59:$K$464,6,FALSE)</f>
        <v>0</v>
      </c>
      <c r="Q337" s="53">
        <f t="shared" si="82"/>
        <v>0</v>
      </c>
      <c r="R337">
        <f>VLOOKUP($B337,[1]ბიუჯეტი!$B$59:$K$464,8,FALSE)</f>
        <v>0</v>
      </c>
      <c r="S337" s="53">
        <f t="shared" si="83"/>
        <v>0</v>
      </c>
      <c r="T337">
        <f>VLOOKUP($B337,[1]ბიუჯეტი!$B$59:$K$464,10,FALSE)</f>
        <v>744.76927118644073</v>
      </c>
      <c r="U337" s="53">
        <f t="shared" si="84"/>
        <v>-744.76927118644073</v>
      </c>
    </row>
    <row r="338" spans="1:21" hidden="1" outlineLevel="1" x14ac:dyDescent="0.35">
      <c r="A338" s="29"/>
      <c r="B338" s="7" t="s">
        <v>111</v>
      </c>
      <c r="C338" s="8" t="s">
        <v>49</v>
      </c>
      <c r="D338" s="5">
        <f>D335*2/3*1.05</f>
        <v>0</v>
      </c>
      <c r="E338" s="5">
        <f>18.2/1.18</f>
        <v>15.423728813559322</v>
      </c>
      <c r="F338" s="5">
        <f t="shared" si="86"/>
        <v>0</v>
      </c>
      <c r="G338" s="5"/>
      <c r="H338" s="5">
        <f t="shared" si="87"/>
        <v>0</v>
      </c>
      <c r="I338" s="5"/>
      <c r="J338" s="5"/>
      <c r="K338" s="5">
        <f t="shared" si="78"/>
        <v>0</v>
      </c>
      <c r="L338">
        <f>VLOOKUP($B338,[1]ბიუჯეტი!$B$59:$K$464,3,FALSE)</f>
        <v>179.35260000000002</v>
      </c>
      <c r="M338" s="53">
        <f t="shared" si="80"/>
        <v>-179.35260000000002</v>
      </c>
      <c r="N338">
        <f>VLOOKUP($B338,[1]ბიუჯეტი!$B$59:$K$464,4,FALSE)</f>
        <v>15.423728813559322</v>
      </c>
      <c r="O338" s="53">
        <f t="shared" si="81"/>
        <v>0</v>
      </c>
      <c r="P338">
        <f>VLOOKUP($B338,[1]ბიუჯეტი!$B$59:$K$464,6,FALSE)</f>
        <v>0</v>
      </c>
      <c r="Q338" s="53">
        <f t="shared" si="82"/>
        <v>0</v>
      </c>
      <c r="R338">
        <f>VLOOKUP($B338,[1]ბიუჯეტი!$B$59:$K$464,8,FALSE)</f>
        <v>0</v>
      </c>
      <c r="S338" s="53">
        <f t="shared" si="83"/>
        <v>0</v>
      </c>
      <c r="T338">
        <f>VLOOKUP($B338,[1]ბიუჯეტი!$B$59:$K$464,10,FALSE)</f>
        <v>2766.2858644067801</v>
      </c>
      <c r="U338" s="53">
        <f t="shared" si="84"/>
        <v>-2766.2858644067801</v>
      </c>
    </row>
    <row r="339" spans="1:21" hidden="1" outlineLevel="1" x14ac:dyDescent="0.35">
      <c r="A339" s="29"/>
      <c r="B339" s="7" t="s">
        <v>104</v>
      </c>
      <c r="C339" s="8" t="s">
        <v>10</v>
      </c>
      <c r="D339" s="5">
        <f>D335/2*1.02</f>
        <v>0</v>
      </c>
      <c r="E339" s="5">
        <f>2.6/1.18</f>
        <v>2.2033898305084749</v>
      </c>
      <c r="F339" s="5">
        <f t="shared" si="86"/>
        <v>0</v>
      </c>
      <c r="G339" s="5"/>
      <c r="H339" s="5">
        <f t="shared" si="87"/>
        <v>0</v>
      </c>
      <c r="I339" s="5"/>
      <c r="J339" s="5"/>
      <c r="K339" s="5">
        <f t="shared" si="78"/>
        <v>0</v>
      </c>
      <c r="L339">
        <f>VLOOKUP($B339,[1]ბიუჯეტი!$B$59:$K$464,3,FALSE)</f>
        <v>920.69524800000011</v>
      </c>
      <c r="M339" s="53">
        <f t="shared" si="80"/>
        <v>-920.69524800000011</v>
      </c>
      <c r="N339">
        <f>VLOOKUP($B339,[1]ბიუჯეტი!$B$59:$K$464,4,FALSE)</f>
        <v>2.2033898305084749</v>
      </c>
      <c r="O339" s="53">
        <f t="shared" si="81"/>
        <v>0</v>
      </c>
      <c r="P339">
        <f>VLOOKUP($B339,[1]ბიუჯეტი!$B$59:$K$464,6,FALSE)</f>
        <v>0</v>
      </c>
      <c r="Q339" s="53">
        <f t="shared" si="82"/>
        <v>0</v>
      </c>
      <c r="R339">
        <f>VLOOKUP($B339,[1]ბიუჯეტი!$B$59:$K$464,8,FALSE)</f>
        <v>0</v>
      </c>
      <c r="S339" s="53">
        <f t="shared" si="83"/>
        <v>0</v>
      </c>
      <c r="T339">
        <f>VLOOKUP($B339,[1]ბიუჯეტი!$B$59:$K$464,10,FALSE)</f>
        <v>2028.6505464406785</v>
      </c>
      <c r="U339" s="53">
        <f t="shared" si="84"/>
        <v>-2028.6505464406785</v>
      </c>
    </row>
    <row r="340" spans="1:21" hidden="1" outlineLevel="1" x14ac:dyDescent="0.35">
      <c r="A340" s="29"/>
      <c r="B340" s="7" t="s">
        <v>105</v>
      </c>
      <c r="C340" s="8" t="s">
        <v>49</v>
      </c>
      <c r="D340" s="5">
        <f>D335*2.5</f>
        <v>0</v>
      </c>
      <c r="E340" s="5">
        <f>0.9/1.18</f>
        <v>0.76271186440677974</v>
      </c>
      <c r="F340" s="5">
        <f>E340*D340</f>
        <v>0</v>
      </c>
      <c r="G340" s="5"/>
      <c r="H340" s="5">
        <f t="shared" si="87"/>
        <v>0</v>
      </c>
      <c r="I340" s="5"/>
      <c r="J340" s="5"/>
      <c r="K340" s="5">
        <f t="shared" si="78"/>
        <v>0</v>
      </c>
      <c r="L340">
        <f>VLOOKUP($B340,[1]ბიუჯეტი!$B$59:$K$464,3,FALSE)</f>
        <v>2256.6060000000002</v>
      </c>
      <c r="M340" s="53">
        <f t="shared" si="80"/>
        <v>-2256.6060000000002</v>
      </c>
      <c r="N340">
        <f>VLOOKUP($B340,[1]ბიუჯეტი!$B$59:$K$464,4,FALSE)</f>
        <v>0.76271186440677974</v>
      </c>
      <c r="O340" s="53">
        <f t="shared" si="81"/>
        <v>0</v>
      </c>
      <c r="P340">
        <f>VLOOKUP($B340,[1]ბიუჯეტი!$B$59:$K$464,6,FALSE)</f>
        <v>0</v>
      </c>
      <c r="Q340" s="53">
        <f t="shared" si="82"/>
        <v>0</v>
      </c>
      <c r="R340">
        <f>VLOOKUP($B340,[1]ბიუჯეტი!$B$59:$K$464,8,FALSE)</f>
        <v>0</v>
      </c>
      <c r="S340" s="53">
        <f t="shared" si="83"/>
        <v>0</v>
      </c>
      <c r="T340">
        <f>VLOOKUP($B340,[1]ბიუჯეტი!$B$59:$K$464,10,FALSE)</f>
        <v>1721.1401694915257</v>
      </c>
      <c r="U340" s="53">
        <f t="shared" si="84"/>
        <v>-1721.1401694915257</v>
      </c>
    </row>
    <row r="341" spans="1:21" hidden="1" outlineLevel="1" x14ac:dyDescent="0.35">
      <c r="A341" s="29"/>
      <c r="B341" s="7" t="s">
        <v>106</v>
      </c>
      <c r="C341" s="8" t="s">
        <v>49</v>
      </c>
      <c r="D341" s="5">
        <f>D335*7.6</f>
        <v>0</v>
      </c>
      <c r="E341" s="5">
        <f>0.042/1.18</f>
        <v>3.5593220338983052E-2</v>
      </c>
      <c r="F341" s="5">
        <f>E341*D341</f>
        <v>0</v>
      </c>
      <c r="G341" s="5"/>
      <c r="H341" s="5">
        <f t="shared" si="87"/>
        <v>0</v>
      </c>
      <c r="I341" s="5"/>
      <c r="J341" s="5"/>
      <c r="K341" s="5">
        <f t="shared" si="78"/>
        <v>0</v>
      </c>
      <c r="L341">
        <f>VLOOKUP($B341,[1]ბიუჯეტი!$B$59:$K$464,3,FALSE)</f>
        <v>6860.0822399999997</v>
      </c>
      <c r="M341" s="53">
        <f t="shared" si="80"/>
        <v>-6860.0822399999997</v>
      </c>
      <c r="N341">
        <f>VLOOKUP($B341,[1]ბიუჯეტი!$B$59:$K$464,4,FALSE)</f>
        <v>3.5593220338983052E-2</v>
      </c>
      <c r="O341" s="53">
        <f t="shared" si="81"/>
        <v>0</v>
      </c>
      <c r="P341">
        <f>VLOOKUP($B341,[1]ბიუჯეტი!$B$59:$K$464,6,FALSE)</f>
        <v>0</v>
      </c>
      <c r="Q341" s="53">
        <f t="shared" si="82"/>
        <v>0</v>
      </c>
      <c r="R341">
        <f>VLOOKUP($B341,[1]ბიუჯეტი!$B$59:$K$464,8,FALSE)</f>
        <v>0</v>
      </c>
      <c r="S341" s="53">
        <f t="shared" si="83"/>
        <v>0</v>
      </c>
      <c r="T341">
        <f>VLOOKUP($B341,[1]ბიუჯეტი!$B$59:$K$464,10,FALSE)</f>
        <v>244.1724187118644</v>
      </c>
      <c r="U341" s="53">
        <f t="shared" si="84"/>
        <v>-244.1724187118644</v>
      </c>
    </row>
    <row r="342" spans="1:21" hidden="1" outlineLevel="1" x14ac:dyDescent="0.35">
      <c r="A342" s="29"/>
      <c r="B342" s="7" t="s">
        <v>107</v>
      </c>
      <c r="C342" s="8" t="s">
        <v>49</v>
      </c>
      <c r="D342" s="5">
        <f>D335*14.4</f>
        <v>0</v>
      </c>
      <c r="E342" s="5">
        <f>0.048/1.18</f>
        <v>4.0677966101694919E-2</v>
      </c>
      <c r="F342" s="5">
        <f>E342*D342</f>
        <v>0</v>
      </c>
      <c r="G342" s="5"/>
      <c r="H342" s="5">
        <f t="shared" si="87"/>
        <v>0</v>
      </c>
      <c r="I342" s="5"/>
      <c r="J342" s="5"/>
      <c r="K342" s="5">
        <f t="shared" si="78"/>
        <v>0</v>
      </c>
      <c r="L342">
        <f>VLOOKUP($B342,[1]ბიუჯეტი!$B$59:$K$464,3,FALSE)</f>
        <v>12998.050560000001</v>
      </c>
      <c r="M342" s="53">
        <f t="shared" si="80"/>
        <v>-12998.050560000001</v>
      </c>
      <c r="N342">
        <f>VLOOKUP($B342,[1]ბიუჯეტი!$B$59:$K$464,4,FALSE)</f>
        <v>4.0677966101694919E-2</v>
      </c>
      <c r="O342" s="53">
        <f t="shared" si="81"/>
        <v>0</v>
      </c>
      <c r="P342">
        <f>VLOOKUP($B342,[1]ბიუჯეტი!$B$59:$K$464,6,FALSE)</f>
        <v>0</v>
      </c>
      <c r="Q342" s="53">
        <f t="shared" si="82"/>
        <v>0</v>
      </c>
      <c r="R342">
        <f>VLOOKUP($B342,[1]ბიუჯეტი!$B$59:$K$464,8,FALSE)</f>
        <v>0</v>
      </c>
      <c r="S342" s="53">
        <f t="shared" si="83"/>
        <v>0</v>
      </c>
      <c r="T342">
        <f>VLOOKUP($B342,[1]ბიუჯეტი!$B$59:$K$464,10,FALSE)</f>
        <v>528.73426006779675</v>
      </c>
      <c r="U342" s="53">
        <f t="shared" si="84"/>
        <v>-528.73426006779675</v>
      </c>
    </row>
    <row r="343" spans="1:21" hidden="1" outlineLevel="1" x14ac:dyDescent="0.35">
      <c r="A343" s="29"/>
      <c r="B343" s="7" t="s">
        <v>108</v>
      </c>
      <c r="C343" s="8" t="s">
        <v>49</v>
      </c>
      <c r="D343" s="5">
        <f>D340</f>
        <v>0</v>
      </c>
      <c r="E343" s="5">
        <f>0.1/1.18</f>
        <v>8.4745762711864417E-2</v>
      </c>
      <c r="F343" s="5">
        <f>E343*D343</f>
        <v>0</v>
      </c>
      <c r="G343" s="5"/>
      <c r="H343" s="5">
        <f t="shared" si="87"/>
        <v>0</v>
      </c>
      <c r="I343" s="5"/>
      <c r="J343" s="5"/>
      <c r="K343" s="5">
        <f t="shared" si="78"/>
        <v>0</v>
      </c>
      <c r="L343">
        <f>VLOOKUP($B343,[1]ბიუჯეტი!$B$59:$K$464,3,FALSE)</f>
        <v>2256.6060000000002</v>
      </c>
      <c r="M343" s="53">
        <f t="shared" si="80"/>
        <v>-2256.6060000000002</v>
      </c>
      <c r="N343">
        <f>VLOOKUP($B343,[1]ბიუჯეტი!$B$59:$K$464,4,FALSE)</f>
        <v>8.4745762711864417E-2</v>
      </c>
      <c r="O343" s="53">
        <f t="shared" si="81"/>
        <v>0</v>
      </c>
      <c r="P343">
        <f>VLOOKUP($B343,[1]ბიუჯეტი!$B$59:$K$464,6,FALSE)</f>
        <v>0</v>
      </c>
      <c r="Q343" s="53">
        <f t="shared" si="82"/>
        <v>0</v>
      </c>
      <c r="R343">
        <f>VLOOKUP($B343,[1]ბიუჯეტი!$B$59:$K$464,8,FALSE)</f>
        <v>0</v>
      </c>
      <c r="S343" s="53">
        <f t="shared" si="83"/>
        <v>0</v>
      </c>
      <c r="T343">
        <f>VLOOKUP($B343,[1]ბიუჯეტი!$B$59:$K$464,10,FALSE)</f>
        <v>191.23779661016954</v>
      </c>
      <c r="U343" s="53">
        <f t="shared" si="84"/>
        <v>-191.23779661016954</v>
      </c>
    </row>
    <row r="344" spans="1:21" hidden="1" outlineLevel="1" x14ac:dyDescent="0.35">
      <c r="A344" s="29"/>
      <c r="B344" s="7" t="s">
        <v>14</v>
      </c>
      <c r="C344" s="8" t="s">
        <v>10</v>
      </c>
      <c r="D344" s="5">
        <f>D335</f>
        <v>0</v>
      </c>
      <c r="E344" s="5">
        <f>0.9/1.18</f>
        <v>0.76271186440677974</v>
      </c>
      <c r="F344" s="5">
        <f t="shared" ref="F344:F350" si="88">D344*E344</f>
        <v>0</v>
      </c>
      <c r="G344" s="5"/>
      <c r="H344" s="5">
        <f t="shared" si="87"/>
        <v>0</v>
      </c>
      <c r="I344" s="5"/>
      <c r="J344" s="5"/>
      <c r="K344" s="5">
        <f t="shared" si="78"/>
        <v>0</v>
      </c>
      <c r="L344">
        <f>VLOOKUP($B344,[1]ბიუჯეტი!$B$59:$K$464,3,FALSE)</f>
        <v>0</v>
      </c>
      <c r="M344" s="53">
        <f t="shared" si="80"/>
        <v>0</v>
      </c>
      <c r="N344">
        <f>VLOOKUP($B344,[1]ბიუჯეტი!$B$59:$K$464,4,FALSE)</f>
        <v>0.84745762711864414</v>
      </c>
      <c r="O344" s="53">
        <f t="shared" si="81"/>
        <v>-8.4745762711864403E-2</v>
      </c>
      <c r="P344">
        <f>VLOOKUP($B344,[1]ბიუჯეტი!$B$59:$K$464,6,FALSE)</f>
        <v>0</v>
      </c>
      <c r="Q344" s="53">
        <f t="shared" si="82"/>
        <v>0</v>
      </c>
      <c r="R344">
        <f>VLOOKUP($B344,[1]ბიუჯეტი!$B$59:$K$464,8,FALSE)</f>
        <v>0</v>
      </c>
      <c r="S344" s="53">
        <f t="shared" si="83"/>
        <v>0</v>
      </c>
      <c r="T344">
        <f>VLOOKUP($B344,[1]ბიუჯეტი!$B$59:$K$464,10,FALSE)</f>
        <v>0</v>
      </c>
      <c r="U344" s="53">
        <f t="shared" si="84"/>
        <v>0</v>
      </c>
    </row>
    <row r="345" spans="1:21" hidden="1" outlineLevel="1" x14ac:dyDescent="0.35">
      <c r="A345" s="29">
        <v>1</v>
      </c>
      <c r="B345" s="30" t="s">
        <v>195</v>
      </c>
      <c r="C345" s="8" t="s">
        <v>10</v>
      </c>
      <c r="D345" s="5">
        <f>(სამუშაო!E88+სამუშაო!E89+სამუშაო!E90)*2</f>
        <v>2004.75</v>
      </c>
      <c r="E345" s="5"/>
      <c r="F345" s="5">
        <f t="shared" si="88"/>
        <v>0</v>
      </c>
      <c r="G345" s="5">
        <f>14*1.275</f>
        <v>17.849999999999998</v>
      </c>
      <c r="H345" s="5">
        <f t="shared" si="87"/>
        <v>35784.787499999999</v>
      </c>
      <c r="I345" s="5"/>
      <c r="J345" s="5"/>
      <c r="K345" s="5">
        <f t="shared" si="78"/>
        <v>35784.787499999999</v>
      </c>
      <c r="L345">
        <f>VLOOKUP($B345,[1]ბიუჯეტი!$B$59:$K$464,3,FALSE)</f>
        <v>2893.9680000000003</v>
      </c>
      <c r="M345" s="53">
        <f t="shared" si="80"/>
        <v>-889.2180000000003</v>
      </c>
      <c r="N345">
        <f>VLOOKUP($B345,[1]ბიუჯეტი!$B$59:$K$464,4,FALSE)</f>
        <v>0</v>
      </c>
      <c r="O345" s="53">
        <f t="shared" si="81"/>
        <v>0</v>
      </c>
      <c r="P345">
        <f>VLOOKUP($B345,[1]ბიუჯეტი!$B$59:$K$464,6,FALSE)</f>
        <v>19.125</v>
      </c>
      <c r="Q345" s="53">
        <f t="shared" si="82"/>
        <v>-1.2750000000000021</v>
      </c>
      <c r="R345">
        <f>VLOOKUP($B345,[1]ბიუჯეტი!$B$59:$K$464,8,FALSE)</f>
        <v>0</v>
      </c>
      <c r="S345" s="53">
        <f t="shared" si="83"/>
        <v>0</v>
      </c>
      <c r="T345">
        <f>VLOOKUP($B345,[1]ბიუჯეტი!$B$59:$K$464,10,FALSE)</f>
        <v>55347.138000000006</v>
      </c>
      <c r="U345" s="53">
        <f t="shared" si="84"/>
        <v>-19562.350500000008</v>
      </c>
    </row>
    <row r="346" spans="1:21" hidden="1" outlineLevel="1" x14ac:dyDescent="0.35">
      <c r="A346" s="29">
        <v>1</v>
      </c>
      <c r="B346" s="30" t="s">
        <v>195</v>
      </c>
      <c r="C346" s="8" t="s">
        <v>10</v>
      </c>
      <c r="D346" s="5">
        <f>D345/2-0.8*2.1*2</f>
        <v>999.01499999999999</v>
      </c>
      <c r="E346" s="5"/>
      <c r="F346" s="5">
        <f t="shared" si="88"/>
        <v>0</v>
      </c>
      <c r="G346" s="5">
        <v>0</v>
      </c>
      <c r="H346" s="5">
        <f t="shared" si="87"/>
        <v>0</v>
      </c>
      <c r="I346" s="5"/>
      <c r="J346" s="5"/>
      <c r="K346" s="5">
        <f t="shared" si="78"/>
        <v>0</v>
      </c>
      <c r="L346">
        <f>VLOOKUP($B346,[1]ბიუჯეტი!$B$59:$K$464,3,FALSE)</f>
        <v>2893.9680000000003</v>
      </c>
      <c r="M346" s="53">
        <f t="shared" si="80"/>
        <v>-1894.9530000000004</v>
      </c>
      <c r="N346">
        <f>VLOOKUP($B346,[1]ბიუჯეტი!$B$59:$K$464,4,FALSE)</f>
        <v>0</v>
      </c>
      <c r="O346" s="53">
        <f t="shared" si="81"/>
        <v>0</v>
      </c>
      <c r="P346">
        <f>VLOOKUP($B346,[1]ბიუჯეტი!$B$59:$K$464,6,FALSE)</f>
        <v>19.125</v>
      </c>
      <c r="Q346" s="53">
        <f t="shared" si="82"/>
        <v>-19.125</v>
      </c>
      <c r="R346">
        <f>VLOOKUP($B346,[1]ბიუჯეტი!$B$59:$K$464,8,FALSE)</f>
        <v>0</v>
      </c>
      <c r="S346" s="53">
        <f t="shared" si="83"/>
        <v>0</v>
      </c>
      <c r="T346">
        <f>VLOOKUP($B346,[1]ბიუჯეტი!$B$59:$K$464,10,FALSE)</f>
        <v>55347.138000000006</v>
      </c>
      <c r="U346" s="53">
        <f t="shared" si="84"/>
        <v>-55347.138000000006</v>
      </c>
    </row>
    <row r="347" spans="1:21" hidden="1" outlineLevel="1" x14ac:dyDescent="0.35">
      <c r="A347" s="29"/>
      <c r="B347" s="7" t="s">
        <v>101</v>
      </c>
      <c r="C347" s="8" t="s">
        <v>49</v>
      </c>
      <c r="D347" s="5">
        <f>D346/3*4*1.05</f>
        <v>1398.6210000000001</v>
      </c>
      <c r="E347" s="5">
        <f>15.9/1.18</f>
        <v>13.474576271186441</v>
      </c>
      <c r="F347" s="5">
        <f t="shared" si="88"/>
        <v>18845.825338983053</v>
      </c>
      <c r="G347" s="5"/>
      <c r="H347" s="5">
        <f t="shared" si="87"/>
        <v>0</v>
      </c>
      <c r="I347" s="5"/>
      <c r="J347" s="5"/>
      <c r="K347" s="5">
        <f t="shared" si="78"/>
        <v>18845.825338983053</v>
      </c>
      <c r="L347">
        <f>VLOOKUP($B347,[1]ბიუჯეტი!$B$59:$K$464,3,FALSE)</f>
        <v>631.84968000000003</v>
      </c>
      <c r="M347" s="53">
        <f t="shared" si="80"/>
        <v>766.77132000000006</v>
      </c>
      <c r="N347">
        <f>VLOOKUP($B347,[1]ბიუჯეტი!$B$59:$K$464,4,FALSE)</f>
        <v>14.40677966101695</v>
      </c>
      <c r="O347" s="53">
        <f t="shared" si="81"/>
        <v>-0.93220338983050866</v>
      </c>
      <c r="P347">
        <f>VLOOKUP($B347,[1]ბიუჯეტი!$B$59:$K$464,6,FALSE)</f>
        <v>0</v>
      </c>
      <c r="Q347" s="53">
        <f t="shared" si="82"/>
        <v>0</v>
      </c>
      <c r="R347">
        <f>VLOOKUP($B347,[1]ბიუჯეტი!$B$59:$K$464,8,FALSE)</f>
        <v>0</v>
      </c>
      <c r="S347" s="53">
        <f t="shared" si="83"/>
        <v>0</v>
      </c>
      <c r="T347">
        <f>VLOOKUP($B347,[1]ბიუჯეტი!$B$59:$K$464,10,FALSE)</f>
        <v>9102.9191186440694</v>
      </c>
      <c r="U347" s="53">
        <f t="shared" si="84"/>
        <v>9742.906220338984</v>
      </c>
    </row>
    <row r="348" spans="1:21" hidden="1" outlineLevel="1" x14ac:dyDescent="0.35">
      <c r="A348" s="29"/>
      <c r="B348" s="7" t="s">
        <v>110</v>
      </c>
      <c r="C348" s="8" t="s">
        <v>49</v>
      </c>
      <c r="D348" s="5">
        <f>D346*0.7/3*1.05</f>
        <v>244.75867499999998</v>
      </c>
      <c r="E348" s="5">
        <f>13.6/1.18</f>
        <v>11.525423728813559</v>
      </c>
      <c r="F348" s="5">
        <f t="shared" si="88"/>
        <v>2820.9474406779659</v>
      </c>
      <c r="G348" s="5"/>
      <c r="H348" s="5">
        <f t="shared" si="87"/>
        <v>0</v>
      </c>
      <c r="I348" s="5"/>
      <c r="J348" s="5"/>
      <c r="K348" s="5">
        <f t="shared" si="78"/>
        <v>2820.9474406779659</v>
      </c>
      <c r="L348">
        <f>VLOOKUP($B348,[1]ბიუჯეტი!$B$59:$K$464,3,FALSE)</f>
        <v>62.773409999999998</v>
      </c>
      <c r="M348" s="53">
        <f t="shared" si="80"/>
        <v>181.98526499999997</v>
      </c>
      <c r="N348">
        <f>VLOOKUP($B348,[1]ბიუჯეტი!$B$59:$K$464,4,FALSE)</f>
        <v>11.864406779661017</v>
      </c>
      <c r="O348" s="53">
        <f t="shared" si="81"/>
        <v>-0.3389830508474585</v>
      </c>
      <c r="P348">
        <f>VLOOKUP($B348,[1]ბიუჯეტი!$B$59:$K$464,6,FALSE)</f>
        <v>0</v>
      </c>
      <c r="Q348" s="53">
        <f t="shared" si="82"/>
        <v>0</v>
      </c>
      <c r="R348">
        <f>VLOOKUP($B348,[1]ბიუჯეტი!$B$59:$K$464,8,FALSE)</f>
        <v>0</v>
      </c>
      <c r="S348" s="53">
        <f t="shared" si="83"/>
        <v>0</v>
      </c>
      <c r="T348">
        <f>VLOOKUP($B348,[1]ბიუჯეტი!$B$59:$K$464,10,FALSE)</f>
        <v>744.76927118644073</v>
      </c>
      <c r="U348" s="53">
        <f t="shared" si="84"/>
        <v>2076.1781694915253</v>
      </c>
    </row>
    <row r="349" spans="1:21" hidden="1" outlineLevel="1" x14ac:dyDescent="0.35">
      <c r="A349" s="29"/>
      <c r="B349" s="7" t="s">
        <v>111</v>
      </c>
      <c r="C349" s="8" t="s">
        <v>49</v>
      </c>
      <c r="D349" s="5">
        <f>D346*2/3*1.05</f>
        <v>699.31050000000005</v>
      </c>
      <c r="E349" s="5">
        <f>18.2/1.18</f>
        <v>15.423728813559322</v>
      </c>
      <c r="F349" s="5">
        <f t="shared" si="88"/>
        <v>10785.975508474578</v>
      </c>
      <c r="G349" s="5"/>
      <c r="H349" s="5">
        <f t="shared" si="87"/>
        <v>0</v>
      </c>
      <c r="I349" s="5"/>
      <c r="J349" s="5"/>
      <c r="K349" s="5">
        <f t="shared" si="78"/>
        <v>10785.975508474578</v>
      </c>
      <c r="L349">
        <f>VLOOKUP($B349,[1]ბიუჯეტი!$B$59:$K$464,3,FALSE)</f>
        <v>179.35260000000002</v>
      </c>
      <c r="M349" s="53">
        <f t="shared" si="80"/>
        <v>519.9579</v>
      </c>
      <c r="N349">
        <f>VLOOKUP($B349,[1]ბიუჯეტი!$B$59:$K$464,4,FALSE)</f>
        <v>15.423728813559322</v>
      </c>
      <c r="O349" s="53">
        <f t="shared" si="81"/>
        <v>0</v>
      </c>
      <c r="P349">
        <f>VLOOKUP($B349,[1]ბიუჯეტი!$B$59:$K$464,6,FALSE)</f>
        <v>0</v>
      </c>
      <c r="Q349" s="53">
        <f t="shared" si="82"/>
        <v>0</v>
      </c>
      <c r="R349">
        <f>VLOOKUP($B349,[1]ბიუჯეტი!$B$59:$K$464,8,FALSE)</f>
        <v>0</v>
      </c>
      <c r="S349" s="53">
        <f t="shared" si="83"/>
        <v>0</v>
      </c>
      <c r="T349">
        <f>VLOOKUP($B349,[1]ბიუჯეტი!$B$59:$K$464,10,FALSE)</f>
        <v>2766.2858644067801</v>
      </c>
      <c r="U349" s="53">
        <f t="shared" si="84"/>
        <v>8019.6896440677974</v>
      </c>
    </row>
    <row r="350" spans="1:21" hidden="1" outlineLevel="1" x14ac:dyDescent="0.35">
      <c r="A350" s="29"/>
      <c r="B350" s="7" t="s">
        <v>104</v>
      </c>
      <c r="C350" s="8" t="s">
        <v>10</v>
      </c>
      <c r="D350" s="5">
        <f>D346/2*1.02</f>
        <v>509.49765000000002</v>
      </c>
      <c r="E350" s="5">
        <f>2.6/1.18</f>
        <v>2.2033898305084749</v>
      </c>
      <c r="F350" s="5">
        <f t="shared" si="88"/>
        <v>1122.6219406779662</v>
      </c>
      <c r="G350" s="5"/>
      <c r="H350" s="5">
        <f t="shared" si="87"/>
        <v>0</v>
      </c>
      <c r="I350" s="5"/>
      <c r="J350" s="5"/>
      <c r="K350" s="5">
        <f t="shared" si="78"/>
        <v>1122.6219406779662</v>
      </c>
      <c r="L350">
        <f>VLOOKUP($B350,[1]ბიუჯეტი!$B$59:$K$464,3,FALSE)</f>
        <v>920.69524800000011</v>
      </c>
      <c r="M350" s="53">
        <f t="shared" si="80"/>
        <v>-411.19759800000008</v>
      </c>
      <c r="N350">
        <f>VLOOKUP($B350,[1]ბიუჯეტი!$B$59:$K$464,4,FALSE)</f>
        <v>2.2033898305084749</v>
      </c>
      <c r="O350" s="53">
        <f t="shared" si="81"/>
        <v>0</v>
      </c>
      <c r="P350">
        <f>VLOOKUP($B350,[1]ბიუჯეტი!$B$59:$K$464,6,FALSE)</f>
        <v>0</v>
      </c>
      <c r="Q350" s="53">
        <f t="shared" si="82"/>
        <v>0</v>
      </c>
      <c r="R350">
        <f>VLOOKUP($B350,[1]ბიუჯეტი!$B$59:$K$464,8,FALSE)</f>
        <v>0</v>
      </c>
      <c r="S350" s="53">
        <f t="shared" si="83"/>
        <v>0</v>
      </c>
      <c r="T350">
        <f>VLOOKUP($B350,[1]ბიუჯეტი!$B$59:$K$464,10,FALSE)</f>
        <v>2028.6505464406785</v>
      </c>
      <c r="U350" s="53">
        <f t="shared" si="84"/>
        <v>-906.02860576271223</v>
      </c>
    </row>
    <row r="351" spans="1:21" hidden="1" outlineLevel="1" x14ac:dyDescent="0.35">
      <c r="A351" s="29"/>
      <c r="B351" s="7" t="s">
        <v>105</v>
      </c>
      <c r="C351" s="8" t="s">
        <v>49</v>
      </c>
      <c r="D351" s="5">
        <f>D346*2.5</f>
        <v>2497.5374999999999</v>
      </c>
      <c r="E351" s="5">
        <v>0.64</v>
      </c>
      <c r="F351" s="5">
        <f>E351*D351</f>
        <v>1598.424</v>
      </c>
      <c r="G351" s="5"/>
      <c r="H351" s="5">
        <f t="shared" si="87"/>
        <v>0</v>
      </c>
      <c r="I351" s="5"/>
      <c r="J351" s="5"/>
      <c r="K351" s="5">
        <f t="shared" si="78"/>
        <v>1598.424</v>
      </c>
      <c r="L351">
        <f>VLOOKUP($B351,[1]ბიუჯეტი!$B$59:$K$464,3,FALSE)</f>
        <v>2256.6060000000002</v>
      </c>
      <c r="M351" s="53">
        <f t="shared" si="80"/>
        <v>240.93149999999969</v>
      </c>
      <c r="N351">
        <f>VLOOKUP($B351,[1]ბიუჯეტი!$B$59:$K$464,4,FALSE)</f>
        <v>0.76271186440677974</v>
      </c>
      <c r="O351" s="53">
        <f t="shared" si="81"/>
        <v>-0.12271186440677972</v>
      </c>
      <c r="P351">
        <f>VLOOKUP($B351,[1]ბიუჯეტი!$B$59:$K$464,6,FALSE)</f>
        <v>0</v>
      </c>
      <c r="Q351" s="53">
        <f t="shared" si="82"/>
        <v>0</v>
      </c>
      <c r="R351">
        <f>VLOOKUP($B351,[1]ბიუჯეტი!$B$59:$K$464,8,FALSE)</f>
        <v>0</v>
      </c>
      <c r="S351" s="53">
        <f t="shared" si="83"/>
        <v>0</v>
      </c>
      <c r="T351">
        <f>VLOOKUP($B351,[1]ბიუჯეტი!$B$59:$K$464,10,FALSE)</f>
        <v>1721.1401694915257</v>
      </c>
      <c r="U351" s="53">
        <f t="shared" si="84"/>
        <v>-122.71616949152576</v>
      </c>
    </row>
    <row r="352" spans="1:21" hidden="1" outlineLevel="1" x14ac:dyDescent="0.35">
      <c r="A352" s="29"/>
      <c r="B352" s="7" t="s">
        <v>106</v>
      </c>
      <c r="C352" s="8" t="s">
        <v>49</v>
      </c>
      <c r="D352" s="5">
        <f>D346*7.6</f>
        <v>7592.5139999999992</v>
      </c>
      <c r="E352" s="5">
        <f>0.042/1.18</f>
        <v>3.5593220338983052E-2</v>
      </c>
      <c r="F352" s="5">
        <f>E352*D352</f>
        <v>270.24202372881354</v>
      </c>
      <c r="G352" s="5"/>
      <c r="H352" s="5">
        <f t="shared" si="87"/>
        <v>0</v>
      </c>
      <c r="I352" s="5"/>
      <c r="J352" s="5"/>
      <c r="K352" s="5">
        <f t="shared" si="78"/>
        <v>270.24202372881354</v>
      </c>
      <c r="L352">
        <f>VLOOKUP($B352,[1]ბიუჯეტი!$B$59:$K$464,3,FALSE)</f>
        <v>6860.0822399999997</v>
      </c>
      <c r="M352" s="53">
        <f t="shared" si="80"/>
        <v>732.43175999999949</v>
      </c>
      <c r="N352">
        <f>VLOOKUP($B352,[1]ბიუჯეტი!$B$59:$K$464,4,FALSE)</f>
        <v>3.5593220338983052E-2</v>
      </c>
      <c r="O352" s="53">
        <f t="shared" si="81"/>
        <v>0</v>
      </c>
      <c r="P352">
        <f>VLOOKUP($B352,[1]ბიუჯეტი!$B$59:$K$464,6,FALSE)</f>
        <v>0</v>
      </c>
      <c r="Q352" s="53">
        <f t="shared" si="82"/>
        <v>0</v>
      </c>
      <c r="R352">
        <f>VLOOKUP($B352,[1]ბიუჯეტი!$B$59:$K$464,8,FALSE)</f>
        <v>0</v>
      </c>
      <c r="S352" s="53">
        <f t="shared" si="83"/>
        <v>0</v>
      </c>
      <c r="T352">
        <f>VLOOKUP($B352,[1]ბიუჯეტი!$B$59:$K$464,10,FALSE)</f>
        <v>244.1724187118644</v>
      </c>
      <c r="U352" s="53">
        <f t="shared" si="84"/>
        <v>26.06960501694914</v>
      </c>
    </row>
    <row r="353" spans="1:21" hidden="1" outlineLevel="1" x14ac:dyDescent="0.35">
      <c r="A353" s="29"/>
      <c r="B353" s="7" t="s">
        <v>107</v>
      </c>
      <c r="C353" s="8" t="s">
        <v>49</v>
      </c>
      <c r="D353" s="5">
        <f>D346*14.4</f>
        <v>14385.816000000001</v>
      </c>
      <c r="E353" s="5">
        <f>0.048/1.18</f>
        <v>4.0677966101694919E-2</v>
      </c>
      <c r="F353" s="5">
        <f>E353*D353</f>
        <v>585.18573559322044</v>
      </c>
      <c r="G353" s="5"/>
      <c r="H353" s="5">
        <f t="shared" si="87"/>
        <v>0</v>
      </c>
      <c r="I353" s="5"/>
      <c r="J353" s="5"/>
      <c r="K353" s="5">
        <f t="shared" si="78"/>
        <v>585.18573559322044</v>
      </c>
      <c r="L353">
        <f>VLOOKUP($B353,[1]ბიუჯეტი!$B$59:$K$464,3,FALSE)</f>
        <v>12998.050560000001</v>
      </c>
      <c r="M353" s="53">
        <f t="shared" si="80"/>
        <v>1387.7654399999992</v>
      </c>
      <c r="N353">
        <f>VLOOKUP($B353,[1]ბიუჯეტი!$B$59:$K$464,4,FALSE)</f>
        <v>4.0677966101694919E-2</v>
      </c>
      <c r="O353" s="53">
        <f t="shared" si="81"/>
        <v>0</v>
      </c>
      <c r="P353">
        <f>VLOOKUP($B353,[1]ბიუჯეტი!$B$59:$K$464,6,FALSE)</f>
        <v>0</v>
      </c>
      <c r="Q353" s="53">
        <f t="shared" si="82"/>
        <v>0</v>
      </c>
      <c r="R353">
        <f>VLOOKUP($B353,[1]ბიუჯეტი!$B$59:$K$464,8,FALSE)</f>
        <v>0</v>
      </c>
      <c r="S353" s="53">
        <f t="shared" si="83"/>
        <v>0</v>
      </c>
      <c r="T353">
        <f>VLOOKUP($B353,[1]ბიუჯეტი!$B$59:$K$464,10,FALSE)</f>
        <v>528.73426006779675</v>
      </c>
      <c r="U353" s="53">
        <f t="shared" si="84"/>
        <v>56.451475525423689</v>
      </c>
    </row>
    <row r="354" spans="1:21" hidden="1" outlineLevel="1" x14ac:dyDescent="0.35">
      <c r="A354" s="29"/>
      <c r="B354" s="7" t="s">
        <v>108</v>
      </c>
      <c r="C354" s="8" t="s">
        <v>49</v>
      </c>
      <c r="D354" s="5">
        <f>D351</f>
        <v>2497.5374999999999</v>
      </c>
      <c r="E354" s="5">
        <f>0.1/1.18</f>
        <v>8.4745762711864417E-2</v>
      </c>
      <c r="F354" s="5">
        <f>E354*D354</f>
        <v>211.65572033898306</v>
      </c>
      <c r="G354" s="5"/>
      <c r="H354" s="5">
        <f t="shared" si="87"/>
        <v>0</v>
      </c>
      <c r="I354" s="5"/>
      <c r="J354" s="5"/>
      <c r="K354" s="5">
        <f t="shared" si="78"/>
        <v>211.65572033898306</v>
      </c>
      <c r="L354">
        <f>VLOOKUP($B354,[1]ბიუჯეტი!$B$59:$K$464,3,FALSE)</f>
        <v>2256.6060000000002</v>
      </c>
      <c r="M354" s="53">
        <f t="shared" si="80"/>
        <v>240.93149999999969</v>
      </c>
      <c r="N354">
        <f>VLOOKUP($B354,[1]ბიუჯეტი!$B$59:$K$464,4,FALSE)</f>
        <v>8.4745762711864417E-2</v>
      </c>
      <c r="O354" s="53">
        <f t="shared" si="81"/>
        <v>0</v>
      </c>
      <c r="P354">
        <f>VLOOKUP($B354,[1]ბიუჯეტი!$B$59:$K$464,6,FALSE)</f>
        <v>0</v>
      </c>
      <c r="Q354" s="53">
        <f t="shared" si="82"/>
        <v>0</v>
      </c>
      <c r="R354">
        <f>VLOOKUP($B354,[1]ბიუჯეტი!$B$59:$K$464,8,FALSE)</f>
        <v>0</v>
      </c>
      <c r="S354" s="53">
        <f t="shared" si="83"/>
        <v>0</v>
      </c>
      <c r="T354">
        <f>VLOOKUP($B354,[1]ბიუჯეტი!$B$59:$K$464,10,FALSE)</f>
        <v>191.23779661016954</v>
      </c>
      <c r="U354" s="53">
        <f t="shared" si="84"/>
        <v>20.41792372881352</v>
      </c>
    </row>
    <row r="355" spans="1:21" hidden="1" outlineLevel="1" x14ac:dyDescent="0.35">
      <c r="A355" s="29"/>
      <c r="B355" s="7" t="s">
        <v>14</v>
      </c>
      <c r="C355" s="8" t="s">
        <v>10</v>
      </c>
      <c r="D355" s="5">
        <f>D346</f>
        <v>999.01499999999999</v>
      </c>
      <c r="E355" s="5">
        <f>0.9/1.18</f>
        <v>0.76271186440677974</v>
      </c>
      <c r="F355" s="5">
        <f>D355*E355</f>
        <v>761.96059322033909</v>
      </c>
      <c r="G355" s="5"/>
      <c r="H355" s="5">
        <f t="shared" si="87"/>
        <v>0</v>
      </c>
      <c r="I355" s="5"/>
      <c r="J355" s="5"/>
      <c r="K355" s="5">
        <f t="shared" si="78"/>
        <v>761.96059322033909</v>
      </c>
      <c r="L355">
        <f>VLOOKUP($B355,[1]ბიუჯეტი!$B$59:$K$464,3,FALSE)</f>
        <v>0</v>
      </c>
      <c r="M355" s="53">
        <f t="shared" si="80"/>
        <v>999.01499999999999</v>
      </c>
      <c r="N355">
        <f>VLOOKUP($B355,[1]ბიუჯეტი!$B$59:$K$464,4,FALSE)</f>
        <v>0.84745762711864414</v>
      </c>
      <c r="O355" s="53">
        <f t="shared" si="81"/>
        <v>-8.4745762711864403E-2</v>
      </c>
      <c r="P355">
        <f>VLOOKUP($B355,[1]ბიუჯეტი!$B$59:$K$464,6,FALSE)</f>
        <v>0</v>
      </c>
      <c r="Q355" s="53">
        <f t="shared" si="82"/>
        <v>0</v>
      </c>
      <c r="R355">
        <f>VLOOKUP($B355,[1]ბიუჯეტი!$B$59:$K$464,8,FALSE)</f>
        <v>0</v>
      </c>
      <c r="S355" s="53">
        <f t="shared" si="83"/>
        <v>0</v>
      </c>
      <c r="T355">
        <f>VLOOKUP($B355,[1]ბიუჯეტი!$B$59:$K$464,10,FALSE)</f>
        <v>0</v>
      </c>
      <c r="U355" s="53">
        <f t="shared" si="84"/>
        <v>761.96059322033909</v>
      </c>
    </row>
    <row r="356" spans="1:21" collapsed="1" x14ac:dyDescent="0.35">
      <c r="A356" s="29">
        <v>40</v>
      </c>
      <c r="B356" s="30" t="s">
        <v>112</v>
      </c>
      <c r="C356" s="8" t="s">
        <v>55</v>
      </c>
      <c r="D356" s="5">
        <f>SUM(D357:D359)</f>
        <v>30</v>
      </c>
      <c r="E356" s="5">
        <v>0</v>
      </c>
      <c r="F356" s="5">
        <f t="shared" ref="F356:F379" si="89">D356*E356</f>
        <v>0</v>
      </c>
      <c r="G356" s="5">
        <v>0</v>
      </c>
      <c r="H356" s="5">
        <v>0</v>
      </c>
      <c r="I356" s="5">
        <f>SUM(K357:K359)/D356</f>
        <v>1457.6271186440679</v>
      </c>
      <c r="J356" s="5">
        <f>D356*I356</f>
        <v>43728.813559322036</v>
      </c>
      <c r="K356" s="5">
        <f t="shared" ref="K356:K383" si="90">F356+H356+J356</f>
        <v>43728.813559322036</v>
      </c>
      <c r="L356">
        <f>VLOOKUP($B356,[1]ბიუჯეტი!$B$59:$K$464,3,FALSE)</f>
        <v>39</v>
      </c>
      <c r="M356" s="53">
        <f t="shared" si="80"/>
        <v>-9</v>
      </c>
      <c r="N356">
        <f>VLOOKUP($B356,[1]ბიუჯეტი!$B$59:$K$464,4,FALSE)</f>
        <v>0</v>
      </c>
      <c r="O356" s="53">
        <f t="shared" si="81"/>
        <v>0</v>
      </c>
      <c r="P356">
        <f>VLOOKUP($B356,[1]ბიუჯეტი!$B$59:$K$464,6,FALSE)</f>
        <v>0</v>
      </c>
      <c r="Q356" s="53">
        <f t="shared" si="82"/>
        <v>0</v>
      </c>
      <c r="R356">
        <f>VLOOKUP($B356,[1]ბიუჯეტი!$B$59:$K$464,8,FALSE)</f>
        <v>1457.6271186440679</v>
      </c>
      <c r="S356" s="53">
        <f t="shared" si="83"/>
        <v>0</v>
      </c>
      <c r="T356">
        <f>VLOOKUP($B356,[1]ბიუჯეტი!$B$59:$K$464,10,FALSE)</f>
        <v>56847.457627118645</v>
      </c>
      <c r="U356" s="53">
        <f t="shared" si="84"/>
        <v>-13118.644067796609</v>
      </c>
    </row>
    <row r="357" spans="1:21" hidden="1" outlineLevel="1" x14ac:dyDescent="0.35">
      <c r="A357" s="29">
        <v>2</v>
      </c>
      <c r="B357" s="30" t="s">
        <v>197</v>
      </c>
      <c r="C357" s="8" t="s">
        <v>55</v>
      </c>
      <c r="D357" s="5">
        <v>0</v>
      </c>
      <c r="E357" s="5"/>
      <c r="F357" s="5">
        <f t="shared" si="89"/>
        <v>0</v>
      </c>
      <c r="G357" s="5"/>
      <c r="H357" s="5">
        <f t="shared" ref="H357:H362" si="91">D357*G357</f>
        <v>0</v>
      </c>
      <c r="I357" s="5">
        <f>(1720)/1.18</f>
        <v>1457.6271186440679</v>
      </c>
      <c r="J357" s="5">
        <f t="shared" ref="J357:J379" si="92">D357*I357</f>
        <v>0</v>
      </c>
      <c r="K357" s="5">
        <f t="shared" si="90"/>
        <v>0</v>
      </c>
      <c r="L357">
        <f>VLOOKUP($B357,[1]ბიუჯეტი!$B$59:$K$464,3,FALSE)</f>
        <v>0</v>
      </c>
      <c r="M357" s="53">
        <f t="shared" si="80"/>
        <v>0</v>
      </c>
      <c r="N357">
        <f>VLOOKUP($B357,[1]ბიუჯეტი!$B$59:$K$464,4,FALSE)</f>
        <v>0</v>
      </c>
      <c r="O357" s="53">
        <f t="shared" si="81"/>
        <v>0</v>
      </c>
      <c r="P357">
        <f>VLOOKUP($B357,[1]ბიუჯეტი!$B$59:$K$464,6,FALSE)</f>
        <v>0</v>
      </c>
      <c r="Q357" s="53">
        <f t="shared" si="82"/>
        <v>0</v>
      </c>
      <c r="R357">
        <f>VLOOKUP($B357,[1]ბიუჯეტი!$B$59:$K$464,8,FALSE)</f>
        <v>1457.6271186440679</v>
      </c>
      <c r="S357" s="53">
        <f t="shared" si="83"/>
        <v>0</v>
      </c>
      <c r="T357">
        <f>VLOOKUP($B357,[1]ბიუჯეტი!$B$59:$K$464,10,FALSE)</f>
        <v>0</v>
      </c>
      <c r="U357" s="53">
        <f t="shared" si="84"/>
        <v>0</v>
      </c>
    </row>
    <row r="358" spans="1:21" hidden="1" outlineLevel="1" x14ac:dyDescent="0.35">
      <c r="A358" s="29">
        <v>3</v>
      </c>
      <c r="B358" s="30" t="s">
        <v>113</v>
      </c>
      <c r="C358" s="8" t="s">
        <v>55</v>
      </c>
      <c r="D358" s="5">
        <f>სამუშაო!D51</f>
        <v>0</v>
      </c>
      <c r="E358" s="5"/>
      <c r="F358" s="5">
        <f t="shared" si="89"/>
        <v>0</v>
      </c>
      <c r="G358" s="5"/>
      <c r="H358" s="5">
        <f t="shared" si="91"/>
        <v>0</v>
      </c>
      <c r="I358" s="5">
        <f>(1720)/1.18</f>
        <v>1457.6271186440679</v>
      </c>
      <c r="J358" s="5">
        <f t="shared" si="92"/>
        <v>0</v>
      </c>
      <c r="K358" s="5">
        <f t="shared" si="90"/>
        <v>0</v>
      </c>
      <c r="L358">
        <f>VLOOKUP($B358,[1]ბიუჯეტი!$B$59:$K$464,3,FALSE)</f>
        <v>9</v>
      </c>
      <c r="M358" s="53">
        <f t="shared" si="80"/>
        <v>-9</v>
      </c>
      <c r="N358">
        <f>VLOOKUP($B358,[1]ბიუჯეტი!$B$59:$K$464,4,FALSE)</f>
        <v>0</v>
      </c>
      <c r="O358" s="53">
        <f t="shared" si="81"/>
        <v>0</v>
      </c>
      <c r="P358">
        <f>VLOOKUP($B358,[1]ბიუჯეტი!$B$59:$K$464,6,FALSE)</f>
        <v>0</v>
      </c>
      <c r="Q358" s="53">
        <f t="shared" si="82"/>
        <v>0</v>
      </c>
      <c r="R358">
        <f>VLOOKUP($B358,[1]ბიუჯეტი!$B$59:$K$464,8,FALSE)</f>
        <v>1457.6271186440679</v>
      </c>
      <c r="S358" s="53">
        <f t="shared" si="83"/>
        <v>0</v>
      </c>
      <c r="T358">
        <f>VLOOKUP($B358,[1]ბიუჯეტი!$B$59:$K$464,10,FALSE)</f>
        <v>13118.644067796611</v>
      </c>
      <c r="U358" s="53">
        <f t="shared" si="84"/>
        <v>-13118.644067796611</v>
      </c>
    </row>
    <row r="359" spans="1:21" hidden="1" outlineLevel="1" x14ac:dyDescent="0.35">
      <c r="A359" s="29">
        <v>4</v>
      </c>
      <c r="B359" s="30" t="s">
        <v>114</v>
      </c>
      <c r="C359" s="8" t="s">
        <v>55</v>
      </c>
      <c r="D359" s="5">
        <f>სამუშაო!D52+სამუშაო!D53+სამუშაო!D54</f>
        <v>30</v>
      </c>
      <c r="E359" s="5"/>
      <c r="F359" s="5">
        <f t="shared" si="89"/>
        <v>0</v>
      </c>
      <c r="G359" s="5"/>
      <c r="H359" s="5">
        <f t="shared" si="91"/>
        <v>0</v>
      </c>
      <c r="I359" s="5">
        <f>(1720)/1.18</f>
        <v>1457.6271186440679</v>
      </c>
      <c r="J359" s="5">
        <f t="shared" si="92"/>
        <v>43728.813559322036</v>
      </c>
      <c r="K359" s="5">
        <f t="shared" si="90"/>
        <v>43728.813559322036</v>
      </c>
      <c r="L359">
        <f>VLOOKUP($B359,[1]ბიუჯეტი!$B$59:$K$464,3,FALSE)</f>
        <v>30</v>
      </c>
      <c r="M359" s="53">
        <f t="shared" si="80"/>
        <v>0</v>
      </c>
      <c r="N359">
        <f>VLOOKUP($B359,[1]ბიუჯეტი!$B$59:$K$464,4,FALSE)</f>
        <v>0</v>
      </c>
      <c r="O359" s="53">
        <f t="shared" si="81"/>
        <v>0</v>
      </c>
      <c r="P359">
        <f>VLOOKUP($B359,[1]ბიუჯეტი!$B$59:$K$464,6,FALSE)</f>
        <v>0</v>
      </c>
      <c r="Q359" s="53">
        <f t="shared" si="82"/>
        <v>0</v>
      </c>
      <c r="R359">
        <f>VLOOKUP($B359,[1]ბიუჯეტი!$B$59:$K$464,8,FALSE)</f>
        <v>1457.6271186440679</v>
      </c>
      <c r="S359" s="53">
        <f t="shared" si="83"/>
        <v>0</v>
      </c>
      <c r="T359">
        <f>VLOOKUP($B359,[1]ბიუჯეტი!$B$59:$K$464,10,FALSE)</f>
        <v>43728.813559322036</v>
      </c>
      <c r="U359" s="53">
        <f t="shared" si="84"/>
        <v>0</v>
      </c>
    </row>
    <row r="360" spans="1:21" collapsed="1" x14ac:dyDescent="0.35">
      <c r="A360" s="29">
        <v>40</v>
      </c>
      <c r="B360" s="30" t="s">
        <v>198</v>
      </c>
      <c r="C360" s="8" t="s">
        <v>10</v>
      </c>
      <c r="D360" s="5">
        <f>D361+D362</f>
        <v>153.21600000000001</v>
      </c>
      <c r="E360" s="5">
        <v>0</v>
      </c>
      <c r="F360" s="5">
        <f t="shared" si="89"/>
        <v>0</v>
      </c>
      <c r="G360" s="5">
        <v>0</v>
      </c>
      <c r="H360" s="5">
        <f t="shared" si="91"/>
        <v>0</v>
      </c>
      <c r="I360" s="5">
        <f>SUM(J361:J362)/D360</f>
        <v>211.86440677966104</v>
      </c>
      <c r="J360" s="5">
        <f>D360*I360</f>
        <v>32461.016949152548</v>
      </c>
      <c r="K360" s="5">
        <f t="shared" si="90"/>
        <v>32461.016949152548</v>
      </c>
      <c r="L360">
        <f>VLOOKUP($B360,[1]ბიუჯეტი!$B$59:$K$464,3,FALSE)</f>
        <v>86.7</v>
      </c>
      <c r="M360" s="53">
        <f t="shared" si="80"/>
        <v>66.516000000000005</v>
      </c>
      <c r="N360">
        <f>VLOOKUP($B360,[1]ბიუჯეტი!$B$59:$K$464,4,FALSE)</f>
        <v>0</v>
      </c>
      <c r="O360" s="53">
        <f t="shared" si="81"/>
        <v>0</v>
      </c>
      <c r="P360">
        <f>VLOOKUP($B360,[1]ბიუჯეტი!$B$59:$K$464,6,FALSE)</f>
        <v>0</v>
      </c>
      <c r="Q360" s="53">
        <f t="shared" si="82"/>
        <v>0</v>
      </c>
      <c r="R360">
        <f>VLOOKUP($B360,[1]ბიუჯეტი!$B$59:$K$464,8,FALSE)</f>
        <v>211.86440677966104</v>
      </c>
      <c r="S360" s="53">
        <f t="shared" si="83"/>
        <v>0</v>
      </c>
      <c r="T360">
        <f>VLOOKUP($B360,[1]ბიუჯეტი!$B$59:$K$464,10,FALSE)</f>
        <v>18368.644067796613</v>
      </c>
      <c r="U360" s="53">
        <f t="shared" si="84"/>
        <v>14092.372881355936</v>
      </c>
    </row>
    <row r="361" spans="1:21" hidden="1" outlineLevel="1" x14ac:dyDescent="0.35">
      <c r="A361" s="29">
        <v>3</v>
      </c>
      <c r="B361" s="7" t="s">
        <v>113</v>
      </c>
      <c r="C361" s="8" t="s">
        <v>10</v>
      </c>
      <c r="D361" s="5">
        <f>სამუშაო!E60</f>
        <v>0</v>
      </c>
      <c r="E361" s="5"/>
      <c r="F361" s="5">
        <f t="shared" si="89"/>
        <v>0</v>
      </c>
      <c r="G361" s="5"/>
      <c r="H361" s="5">
        <f t="shared" si="91"/>
        <v>0</v>
      </c>
      <c r="I361" s="5">
        <f>250/1.18</f>
        <v>211.86440677966104</v>
      </c>
      <c r="J361" s="5">
        <f>D361*I361</f>
        <v>0</v>
      </c>
      <c r="K361" s="5">
        <f t="shared" si="90"/>
        <v>0</v>
      </c>
      <c r="L361">
        <f>VLOOKUP($B361,[1]ბიუჯეტი!$B$59:$K$464,3,FALSE)</f>
        <v>9</v>
      </c>
      <c r="M361" s="53">
        <f t="shared" si="80"/>
        <v>-9</v>
      </c>
      <c r="N361">
        <f>VLOOKUP($B361,[1]ბიუჯეტი!$B$59:$K$464,4,FALSE)</f>
        <v>0</v>
      </c>
      <c r="O361" s="53">
        <f t="shared" si="81"/>
        <v>0</v>
      </c>
      <c r="P361">
        <f>VLOOKUP($B361,[1]ბიუჯეტი!$B$59:$K$464,6,FALSE)</f>
        <v>0</v>
      </c>
      <c r="Q361" s="53">
        <f t="shared" si="82"/>
        <v>0</v>
      </c>
      <c r="R361">
        <f>VLOOKUP($B361,[1]ბიუჯეტი!$B$59:$K$464,8,FALSE)</f>
        <v>1457.6271186440679</v>
      </c>
      <c r="S361" s="53">
        <f t="shared" si="83"/>
        <v>-1245.7627118644068</v>
      </c>
      <c r="T361">
        <f>VLOOKUP($B361,[1]ბიუჯეტი!$B$59:$K$464,10,FALSE)</f>
        <v>13118.644067796611</v>
      </c>
      <c r="U361" s="53">
        <f t="shared" si="84"/>
        <v>-13118.644067796611</v>
      </c>
    </row>
    <row r="362" spans="1:21" hidden="1" outlineLevel="1" x14ac:dyDescent="0.35">
      <c r="A362" s="29">
        <v>4</v>
      </c>
      <c r="B362" s="7" t="s">
        <v>114</v>
      </c>
      <c r="C362" s="8" t="s">
        <v>10</v>
      </c>
      <c r="D362" s="5">
        <f>სამუშაო!E61+სამუშაო!E62+სამუშაო!E63</f>
        <v>153.21600000000001</v>
      </c>
      <c r="E362" s="5"/>
      <c r="F362" s="5">
        <f t="shared" si="89"/>
        <v>0</v>
      </c>
      <c r="G362" s="5"/>
      <c r="H362" s="5">
        <f t="shared" si="91"/>
        <v>0</v>
      </c>
      <c r="I362" s="5">
        <f>250/1.18</f>
        <v>211.86440677966104</v>
      </c>
      <c r="J362" s="5">
        <f>D362*I362</f>
        <v>32461.016949152548</v>
      </c>
      <c r="K362" s="5">
        <f t="shared" si="90"/>
        <v>32461.016949152548</v>
      </c>
      <c r="L362">
        <f>VLOOKUP($B362,[1]ბიუჯეტი!$B$59:$K$464,3,FALSE)</f>
        <v>30</v>
      </c>
      <c r="M362" s="53">
        <f t="shared" si="80"/>
        <v>123.21600000000001</v>
      </c>
      <c r="N362">
        <f>VLOOKUP($B362,[1]ბიუჯეტი!$B$59:$K$464,4,FALSE)</f>
        <v>0</v>
      </c>
      <c r="O362" s="53">
        <f t="shared" si="81"/>
        <v>0</v>
      </c>
      <c r="P362">
        <f>VLOOKUP($B362,[1]ბიუჯეტი!$B$59:$K$464,6,FALSE)</f>
        <v>0</v>
      </c>
      <c r="Q362" s="53">
        <f t="shared" si="82"/>
        <v>0</v>
      </c>
      <c r="R362">
        <f>VLOOKUP($B362,[1]ბიუჯეტი!$B$59:$K$464,8,FALSE)</f>
        <v>1457.6271186440679</v>
      </c>
      <c r="S362" s="53">
        <f t="shared" si="83"/>
        <v>-1245.7627118644068</v>
      </c>
      <c r="T362">
        <f>VLOOKUP($B362,[1]ბიუჯეტი!$B$59:$K$464,10,FALSE)</f>
        <v>43728.813559322036</v>
      </c>
      <c r="U362" s="53">
        <f t="shared" si="84"/>
        <v>-11267.796610169487</v>
      </c>
    </row>
    <row r="363" spans="1:21" collapsed="1" x14ac:dyDescent="0.35">
      <c r="A363" s="29">
        <v>41</v>
      </c>
      <c r="B363" s="30" t="s">
        <v>115</v>
      </c>
      <c r="C363" s="8" t="s">
        <v>55</v>
      </c>
      <c r="D363" s="5">
        <v>2</v>
      </c>
      <c r="E363" s="5">
        <v>0</v>
      </c>
      <c r="F363" s="5">
        <f t="shared" si="89"/>
        <v>0</v>
      </c>
      <c r="G363" s="5">
        <v>0</v>
      </c>
      <c r="H363" s="5">
        <v>0</v>
      </c>
      <c r="I363" s="5">
        <f>3600/1.18</f>
        <v>3050.8474576271187</v>
      </c>
      <c r="J363" s="5">
        <f>D363*I363</f>
        <v>6101.6949152542375</v>
      </c>
      <c r="K363" s="5">
        <f t="shared" si="90"/>
        <v>6101.6949152542375</v>
      </c>
      <c r="L363">
        <f>VLOOKUP($B363,[1]ბიუჯეტი!$B$59:$K$464,3,FALSE)</f>
        <v>2</v>
      </c>
      <c r="M363" s="53">
        <f t="shared" si="80"/>
        <v>0</v>
      </c>
      <c r="N363">
        <f>VLOOKUP($B363,[1]ბიუჯეტი!$B$59:$K$464,4,FALSE)</f>
        <v>0</v>
      </c>
      <c r="O363" s="53">
        <f t="shared" si="81"/>
        <v>0</v>
      </c>
      <c r="P363">
        <f>VLOOKUP($B363,[1]ბიუჯეტი!$B$59:$K$464,6,FALSE)</f>
        <v>0</v>
      </c>
      <c r="Q363" s="53">
        <f t="shared" si="82"/>
        <v>0</v>
      </c>
      <c r="R363">
        <f>VLOOKUP($B363,[1]ბიუჯეტი!$B$59:$K$464,8,FALSE)</f>
        <v>3050.8474576271187</v>
      </c>
      <c r="S363" s="53">
        <f t="shared" si="83"/>
        <v>0</v>
      </c>
      <c r="T363">
        <f>VLOOKUP($B363,[1]ბიუჯეტი!$B$59:$K$464,10,FALSE)</f>
        <v>6101.6949152542375</v>
      </c>
      <c r="U363" s="53">
        <f t="shared" si="84"/>
        <v>0</v>
      </c>
    </row>
    <row r="364" spans="1:21" hidden="1" outlineLevel="1" x14ac:dyDescent="0.35">
      <c r="A364" s="29">
        <v>1</v>
      </c>
      <c r="B364" s="7" t="s">
        <v>116</v>
      </c>
      <c r="C364" s="8" t="s">
        <v>55</v>
      </c>
      <c r="D364" s="5">
        <v>2</v>
      </c>
      <c r="E364" s="5"/>
      <c r="F364" s="5">
        <f t="shared" si="89"/>
        <v>0</v>
      </c>
      <c r="G364" s="5"/>
      <c r="H364" s="5">
        <f>D364*G364</f>
        <v>0</v>
      </c>
      <c r="I364" s="5">
        <f>3600/1.18</f>
        <v>3050.8474576271187</v>
      </c>
      <c r="J364" s="5">
        <f t="shared" si="92"/>
        <v>6101.6949152542375</v>
      </c>
      <c r="K364" s="5">
        <f t="shared" si="90"/>
        <v>6101.6949152542375</v>
      </c>
      <c r="L364">
        <f>VLOOKUP($B364,[1]ბიუჯეტი!$B$59:$K$464,3,FALSE)</f>
        <v>2</v>
      </c>
      <c r="M364" s="53">
        <f t="shared" si="80"/>
        <v>0</v>
      </c>
      <c r="N364">
        <f>VLOOKUP($B364,[1]ბიუჯეტი!$B$59:$K$464,4,FALSE)</f>
        <v>0</v>
      </c>
      <c r="O364" s="53">
        <f t="shared" si="81"/>
        <v>0</v>
      </c>
      <c r="P364">
        <f>VLOOKUP($B364,[1]ბიუჯეტი!$B$59:$K$464,6,FALSE)</f>
        <v>0</v>
      </c>
      <c r="Q364" s="53">
        <f t="shared" si="82"/>
        <v>0</v>
      </c>
      <c r="R364">
        <f>VLOOKUP($B364,[1]ბიუჯეტი!$B$59:$K$464,8,FALSE)</f>
        <v>3050.8474576271187</v>
      </c>
      <c r="S364" s="53">
        <f t="shared" si="83"/>
        <v>0</v>
      </c>
      <c r="T364">
        <f>VLOOKUP($B364,[1]ბიუჯეტი!$B$59:$K$464,10,FALSE)</f>
        <v>6101.6949152542375</v>
      </c>
      <c r="U364" s="53">
        <f t="shared" si="84"/>
        <v>0</v>
      </c>
    </row>
    <row r="365" spans="1:21" collapsed="1" x14ac:dyDescent="0.35">
      <c r="A365" s="29">
        <v>42</v>
      </c>
      <c r="B365" s="30" t="s">
        <v>117</v>
      </c>
      <c r="C365" s="8" t="s">
        <v>55</v>
      </c>
      <c r="D365" s="5">
        <v>2</v>
      </c>
      <c r="E365" s="5">
        <v>0</v>
      </c>
      <c r="F365" s="5">
        <f t="shared" si="89"/>
        <v>0</v>
      </c>
      <c r="G365" s="5">
        <v>0</v>
      </c>
      <c r="H365" s="5">
        <v>0</v>
      </c>
      <c r="I365" s="5">
        <f>180/1.18</f>
        <v>152.54237288135593</v>
      </c>
      <c r="J365" s="5">
        <f>D365*I365</f>
        <v>305.08474576271186</v>
      </c>
      <c r="K365" s="5">
        <f t="shared" si="90"/>
        <v>305.08474576271186</v>
      </c>
      <c r="L365">
        <f>VLOOKUP($B365,[1]ბიუჯეტი!$B$59:$K$464,3,FALSE)</f>
        <v>2</v>
      </c>
      <c r="M365" s="53">
        <f t="shared" si="80"/>
        <v>0</v>
      </c>
      <c r="N365">
        <f>VLOOKUP($B365,[1]ბიუჯეტი!$B$59:$K$464,4,FALSE)</f>
        <v>0</v>
      </c>
      <c r="O365" s="53">
        <f t="shared" si="81"/>
        <v>0</v>
      </c>
      <c r="P365">
        <f>VLOOKUP($B365,[1]ბიუჯეტი!$B$59:$K$464,6,FALSE)</f>
        <v>0</v>
      </c>
      <c r="Q365" s="53">
        <f t="shared" si="82"/>
        <v>0</v>
      </c>
      <c r="R365">
        <f>VLOOKUP($B365,[1]ბიუჯეტი!$B$59:$K$464,8,FALSE)</f>
        <v>152.54237288135593</v>
      </c>
      <c r="S365" s="53">
        <f t="shared" si="83"/>
        <v>0</v>
      </c>
      <c r="T365">
        <f>VLOOKUP($B365,[1]ბიუჯეტი!$B$59:$K$464,10,FALSE)</f>
        <v>305.08474576271186</v>
      </c>
      <c r="U365" s="53">
        <f t="shared" si="84"/>
        <v>0</v>
      </c>
    </row>
    <row r="366" spans="1:21" hidden="1" outlineLevel="1" x14ac:dyDescent="0.35">
      <c r="A366" s="29">
        <v>1</v>
      </c>
      <c r="B366" s="7" t="s">
        <v>118</v>
      </c>
      <c r="C366" s="8" t="s">
        <v>55</v>
      </c>
      <c r="D366" s="5">
        <v>2</v>
      </c>
      <c r="E366" s="5"/>
      <c r="F366" s="5">
        <f t="shared" si="89"/>
        <v>0</v>
      </c>
      <c r="G366" s="5"/>
      <c r="H366" s="5">
        <f>D366*G366</f>
        <v>0</v>
      </c>
      <c r="I366" s="5">
        <f>180/1.18</f>
        <v>152.54237288135593</v>
      </c>
      <c r="J366" s="5">
        <f t="shared" si="92"/>
        <v>305.08474576271186</v>
      </c>
      <c r="K366" s="5">
        <f t="shared" si="90"/>
        <v>305.08474576271186</v>
      </c>
      <c r="L366">
        <f>VLOOKUP($B366,[1]ბიუჯეტი!$B$59:$K$464,3,FALSE)</f>
        <v>2</v>
      </c>
      <c r="M366" s="53">
        <f t="shared" si="80"/>
        <v>0</v>
      </c>
      <c r="N366">
        <f>VLOOKUP($B366,[1]ბიუჯეტი!$B$59:$K$464,4,FALSE)</f>
        <v>0</v>
      </c>
      <c r="O366" s="53">
        <f t="shared" si="81"/>
        <v>0</v>
      </c>
      <c r="P366">
        <f>VLOOKUP($B366,[1]ბიუჯეტი!$B$59:$K$464,6,FALSE)</f>
        <v>0</v>
      </c>
      <c r="Q366" s="53">
        <f t="shared" si="82"/>
        <v>0</v>
      </c>
      <c r="R366">
        <f>VLOOKUP($B366,[1]ბიუჯეტი!$B$59:$K$464,8,FALSE)</f>
        <v>152.54237288135593</v>
      </c>
      <c r="S366" s="53">
        <f t="shared" si="83"/>
        <v>0</v>
      </c>
      <c r="T366">
        <f>VLOOKUP($B366,[1]ბიუჯეტი!$B$59:$K$464,10,FALSE)</f>
        <v>305.08474576271186</v>
      </c>
      <c r="U366" s="53">
        <f t="shared" si="84"/>
        <v>0</v>
      </c>
    </row>
    <row r="367" spans="1:21" collapsed="1" x14ac:dyDescent="0.35">
      <c r="A367" s="29">
        <v>43</v>
      </c>
      <c r="B367" s="30" t="s">
        <v>119</v>
      </c>
      <c r="C367" s="8" t="s">
        <v>55</v>
      </c>
      <c r="D367" s="5">
        <f>SUM(D369:D370)</f>
        <v>6</v>
      </c>
      <c r="E367" s="5">
        <v>0</v>
      </c>
      <c r="F367" s="5">
        <f t="shared" si="89"/>
        <v>0</v>
      </c>
      <c r="G367" s="5">
        <v>0</v>
      </c>
      <c r="H367" s="5">
        <v>0</v>
      </c>
      <c r="I367" s="5">
        <f>1750/1.18</f>
        <v>1483.0508474576272</v>
      </c>
      <c r="J367" s="5">
        <f>D367*I367</f>
        <v>8898.3050847457635</v>
      </c>
      <c r="K367" s="5">
        <f t="shared" si="90"/>
        <v>8898.3050847457635</v>
      </c>
      <c r="L367">
        <f>VLOOKUP($B367,[1]ბიუჯეტი!$B$59:$K$464,3,FALSE)</f>
        <v>12</v>
      </c>
      <c r="M367" s="53">
        <f t="shared" si="80"/>
        <v>-6</v>
      </c>
      <c r="N367">
        <f>VLOOKUP($B367,[1]ბიუჯეტი!$B$59:$K$464,4,FALSE)</f>
        <v>0</v>
      </c>
      <c r="O367" s="53">
        <f t="shared" si="81"/>
        <v>0</v>
      </c>
      <c r="P367">
        <f>VLOOKUP($B367,[1]ბიუჯეტი!$B$59:$K$464,6,FALSE)</f>
        <v>0</v>
      </c>
      <c r="Q367" s="53">
        <f t="shared" si="82"/>
        <v>0</v>
      </c>
      <c r="R367">
        <f>VLOOKUP($B367,[1]ბიუჯეტი!$B$59:$K$464,8,FALSE)</f>
        <v>1483.0508474576272</v>
      </c>
      <c r="S367" s="53">
        <f t="shared" si="83"/>
        <v>0</v>
      </c>
      <c r="T367">
        <f>VLOOKUP($B367,[1]ბიუჯეტი!$B$59:$K$464,10,FALSE)</f>
        <v>17796.610169491527</v>
      </c>
      <c r="U367" s="53">
        <f t="shared" si="84"/>
        <v>-8898.3050847457635</v>
      </c>
    </row>
    <row r="368" spans="1:21" hidden="1" outlineLevel="1" x14ac:dyDescent="0.35">
      <c r="A368" s="29"/>
      <c r="B368" s="7" t="s">
        <v>294</v>
      </c>
      <c r="C368" s="8" t="s">
        <v>55</v>
      </c>
      <c r="D368" s="5">
        <v>4</v>
      </c>
      <c r="E368" s="5"/>
      <c r="F368" s="5">
        <f t="shared" ref="F368" si="93">D368*E368</f>
        <v>0</v>
      </c>
      <c r="G368" s="5"/>
      <c r="H368" s="5"/>
      <c r="I368" s="5">
        <f>1750/1.18</f>
        <v>1483.0508474576272</v>
      </c>
      <c r="J368" s="5">
        <f t="shared" ref="J368" si="94">D368*I368</f>
        <v>5932.203389830509</v>
      </c>
      <c r="K368" s="5">
        <f t="shared" ref="K368" si="95">F368+H368+J368</f>
        <v>5932.203389830509</v>
      </c>
      <c r="L368" t="e">
        <f>VLOOKUP($B368,[1]ბიუჯეტი!$B$59:$K$464,3,FALSE)</f>
        <v>#N/A</v>
      </c>
      <c r="M368" s="53" t="e">
        <f t="shared" si="80"/>
        <v>#N/A</v>
      </c>
      <c r="N368" t="e">
        <f>VLOOKUP($B368,[1]ბიუჯეტი!$B$59:$K$464,4,FALSE)</f>
        <v>#N/A</v>
      </c>
      <c r="O368" s="53" t="e">
        <f t="shared" si="81"/>
        <v>#N/A</v>
      </c>
      <c r="P368" t="e">
        <f>VLOOKUP($B368,[1]ბიუჯეტი!$B$59:$K$464,6,FALSE)</f>
        <v>#N/A</v>
      </c>
      <c r="Q368" s="53" t="e">
        <f t="shared" si="82"/>
        <v>#N/A</v>
      </c>
      <c r="R368" t="e">
        <f>VLOOKUP($B368,[1]ბიუჯეტი!$B$59:$K$464,8,FALSE)</f>
        <v>#N/A</v>
      </c>
      <c r="S368" s="53" t="e">
        <f t="shared" si="83"/>
        <v>#N/A</v>
      </c>
      <c r="T368" t="e">
        <f>VLOOKUP($B368,[1]ბიუჯეტი!$B$59:$K$464,10,FALSE)</f>
        <v>#N/A</v>
      </c>
      <c r="U368" s="53" t="e">
        <f t="shared" si="84"/>
        <v>#N/A</v>
      </c>
    </row>
    <row r="369" spans="1:21" hidden="1" outlineLevel="1" x14ac:dyDescent="0.35">
      <c r="A369" s="29"/>
      <c r="B369" s="7" t="s">
        <v>113</v>
      </c>
      <c r="C369" s="8" t="s">
        <v>55</v>
      </c>
      <c r="D369" s="5">
        <f>სამუშაო!E51+სამუშაო!G51</f>
        <v>0</v>
      </c>
      <c r="E369" s="5"/>
      <c r="F369" s="5">
        <f t="shared" si="89"/>
        <v>0</v>
      </c>
      <c r="G369" s="5"/>
      <c r="H369" s="5"/>
      <c r="I369" s="5">
        <f>1750/1.18</f>
        <v>1483.0508474576272</v>
      </c>
      <c r="J369" s="5">
        <f t="shared" si="92"/>
        <v>0</v>
      </c>
      <c r="K369" s="5">
        <f t="shared" si="90"/>
        <v>0</v>
      </c>
      <c r="L369">
        <f>VLOOKUP($B369,[1]ბიუჯეტი!$B$59:$K$464,3,FALSE)</f>
        <v>9</v>
      </c>
      <c r="M369" s="53">
        <f t="shared" si="80"/>
        <v>-9</v>
      </c>
      <c r="N369">
        <f>VLOOKUP($B369,[1]ბიუჯეტი!$B$59:$K$464,4,FALSE)</f>
        <v>0</v>
      </c>
      <c r="O369" s="53">
        <f t="shared" si="81"/>
        <v>0</v>
      </c>
      <c r="P369">
        <f>VLOOKUP($B369,[1]ბიუჯეტი!$B$59:$K$464,6,FALSE)</f>
        <v>0</v>
      </c>
      <c r="Q369" s="53">
        <f t="shared" si="82"/>
        <v>0</v>
      </c>
      <c r="R369">
        <f>VLOOKUP($B369,[1]ბიუჯეტი!$B$59:$K$464,8,FALSE)</f>
        <v>1457.6271186440679</v>
      </c>
      <c r="S369" s="53">
        <f t="shared" si="83"/>
        <v>25.423728813559364</v>
      </c>
      <c r="T369">
        <f>VLOOKUP($B369,[1]ბიუჯეტი!$B$59:$K$464,10,FALSE)</f>
        <v>13118.644067796611</v>
      </c>
      <c r="U369" s="53">
        <f t="shared" si="84"/>
        <v>-13118.644067796611</v>
      </c>
    </row>
    <row r="370" spans="1:21" hidden="1" outlineLevel="1" x14ac:dyDescent="0.35">
      <c r="A370" s="29"/>
      <c r="B370" s="7" t="s">
        <v>114</v>
      </c>
      <c r="C370" s="8" t="s">
        <v>55</v>
      </c>
      <c r="D370" s="5">
        <f>სამუშაო!E52+სამუშაო!E53+სამუშაო!E54</f>
        <v>6</v>
      </c>
      <c r="E370" s="5"/>
      <c r="F370" s="5">
        <f t="shared" si="89"/>
        <v>0</v>
      </c>
      <c r="G370" s="5"/>
      <c r="H370" s="5"/>
      <c r="I370" s="5">
        <f>1750/1.18</f>
        <v>1483.0508474576272</v>
      </c>
      <c r="J370" s="5">
        <f t="shared" si="92"/>
        <v>8898.3050847457635</v>
      </c>
      <c r="K370" s="5">
        <f t="shared" si="90"/>
        <v>8898.3050847457635</v>
      </c>
      <c r="L370">
        <f>VLOOKUP($B370,[1]ბიუჯეტი!$B$59:$K$464,3,FALSE)</f>
        <v>30</v>
      </c>
      <c r="M370" s="53">
        <f t="shared" si="80"/>
        <v>-24</v>
      </c>
      <c r="N370">
        <f>VLOOKUP($B370,[1]ბიუჯეტი!$B$59:$K$464,4,FALSE)</f>
        <v>0</v>
      </c>
      <c r="O370" s="53">
        <f t="shared" si="81"/>
        <v>0</v>
      </c>
      <c r="P370">
        <f>VLOOKUP($B370,[1]ბიუჯეტი!$B$59:$K$464,6,FALSE)</f>
        <v>0</v>
      </c>
      <c r="Q370" s="53">
        <f t="shared" si="82"/>
        <v>0</v>
      </c>
      <c r="R370">
        <f>VLOOKUP($B370,[1]ბიუჯეტი!$B$59:$K$464,8,FALSE)</f>
        <v>1457.6271186440679</v>
      </c>
      <c r="S370" s="53">
        <f t="shared" si="83"/>
        <v>25.423728813559364</v>
      </c>
      <c r="T370">
        <f>VLOOKUP($B370,[1]ბიუჯეტი!$B$59:$K$464,10,FALSE)</f>
        <v>43728.813559322036</v>
      </c>
      <c r="U370" s="53">
        <f t="shared" si="84"/>
        <v>-34830.508474576272</v>
      </c>
    </row>
    <row r="371" spans="1:21" collapsed="1" x14ac:dyDescent="0.35">
      <c r="A371" s="29">
        <v>43</v>
      </c>
      <c r="B371" s="30" t="s">
        <v>120</v>
      </c>
      <c r="C371" s="8" t="s">
        <v>40</v>
      </c>
      <c r="D371" s="5">
        <f>SUM(D372,D373)</f>
        <v>129.1</v>
      </c>
      <c r="E371" s="5">
        <v>0</v>
      </c>
      <c r="F371" s="5">
        <f t="shared" si="89"/>
        <v>0</v>
      </c>
      <c r="G371" s="5">
        <v>0</v>
      </c>
      <c r="H371" s="5">
        <v>0</v>
      </c>
      <c r="I371" s="5">
        <f>SUM(K372:K373)/D371</f>
        <v>220.33898305084747</v>
      </c>
      <c r="J371" s="5">
        <f>D371*I371</f>
        <v>28445.762711864409</v>
      </c>
      <c r="K371" s="5">
        <f t="shared" si="90"/>
        <v>28445.762711864409</v>
      </c>
      <c r="L371">
        <f>VLOOKUP($B371,[1]ბიუჯეტი!$B$59:$K$464,3,FALSE)</f>
        <v>203.07999999999998</v>
      </c>
      <c r="M371" s="53">
        <f t="shared" si="80"/>
        <v>-73.97999999999999</v>
      </c>
      <c r="N371">
        <f>VLOOKUP($B371,[1]ბიუჯეტი!$B$59:$K$464,4,FALSE)</f>
        <v>0</v>
      </c>
      <c r="O371" s="53">
        <f t="shared" si="81"/>
        <v>0</v>
      </c>
      <c r="P371">
        <f>VLOOKUP($B371,[1]ბიუჯეტი!$B$59:$K$464,6,FALSE)</f>
        <v>0</v>
      </c>
      <c r="Q371" s="53">
        <f t="shared" si="82"/>
        <v>0</v>
      </c>
      <c r="R371">
        <f>VLOOKUP($B371,[1]ბიუჯეტი!$B$59:$K$464,8,FALSE)</f>
        <v>220.3389830508475</v>
      </c>
      <c r="S371" s="53">
        <f t="shared" si="83"/>
        <v>0</v>
      </c>
      <c r="T371">
        <f>VLOOKUP($B371,[1]ბიუჯეტი!$B$59:$K$464,10,FALSE)</f>
        <v>44746.440677966108</v>
      </c>
      <c r="U371" s="53">
        <f t="shared" si="84"/>
        <v>-16300.677966101699</v>
      </c>
    </row>
    <row r="372" spans="1:21" hidden="1" outlineLevel="1" x14ac:dyDescent="0.35">
      <c r="A372" s="29">
        <v>1</v>
      </c>
      <c r="B372" s="7" t="s">
        <v>121</v>
      </c>
      <c r="C372" s="8" t="s">
        <v>40</v>
      </c>
      <c r="D372" s="5">
        <f>სამუშაო!D60</f>
        <v>0</v>
      </c>
      <c r="E372" s="5"/>
      <c r="F372" s="5">
        <f t="shared" si="89"/>
        <v>0</v>
      </c>
      <c r="G372" s="5"/>
      <c r="H372" s="5">
        <f>D372*G372</f>
        <v>0</v>
      </c>
      <c r="I372" s="5">
        <f>260/1.18</f>
        <v>220.33898305084747</v>
      </c>
      <c r="J372" s="5">
        <f t="shared" si="92"/>
        <v>0</v>
      </c>
      <c r="K372" s="5">
        <f t="shared" si="90"/>
        <v>0</v>
      </c>
      <c r="L372">
        <f>VLOOKUP($B372,[1]ბიუჯეტი!$B$59:$K$464,3,FALSE)</f>
        <v>50.8</v>
      </c>
      <c r="M372" s="53">
        <f t="shared" si="80"/>
        <v>-50.8</v>
      </c>
      <c r="N372">
        <f>VLOOKUP($B372,[1]ბიუჯეტი!$B$59:$K$464,4,FALSE)</f>
        <v>0</v>
      </c>
      <c r="O372" s="53">
        <f t="shared" si="81"/>
        <v>0</v>
      </c>
      <c r="P372">
        <f>VLOOKUP($B372,[1]ბიუჯეტი!$B$59:$K$464,6,FALSE)</f>
        <v>0</v>
      </c>
      <c r="Q372" s="53">
        <f t="shared" si="82"/>
        <v>0</v>
      </c>
      <c r="R372">
        <f>VLOOKUP($B372,[1]ბიუჯეტი!$B$59:$K$464,8,FALSE)</f>
        <v>220.33898305084747</v>
      </c>
      <c r="S372" s="53">
        <f t="shared" si="83"/>
        <v>0</v>
      </c>
      <c r="T372">
        <f>VLOOKUP($B372,[1]ბიუჯეტი!$B$59:$K$464,10,FALSE)</f>
        <v>11193.22033898305</v>
      </c>
      <c r="U372" s="53">
        <f t="shared" si="84"/>
        <v>-11193.22033898305</v>
      </c>
    </row>
    <row r="373" spans="1:21" hidden="1" outlineLevel="1" x14ac:dyDescent="0.35">
      <c r="A373" s="29">
        <v>2</v>
      </c>
      <c r="B373" s="7" t="s">
        <v>124</v>
      </c>
      <c r="C373" s="8" t="s">
        <v>40</v>
      </c>
      <c r="D373" s="5">
        <f>სამუშაო!D61+სამუშაო!D62+სამუშაო!D63</f>
        <v>129.1</v>
      </c>
      <c r="E373" s="5"/>
      <c r="F373" s="5">
        <f t="shared" si="89"/>
        <v>0</v>
      </c>
      <c r="G373" s="5"/>
      <c r="H373" s="5">
        <f>D373*G373</f>
        <v>0</v>
      </c>
      <c r="I373" s="5">
        <f>260/1.18</f>
        <v>220.33898305084747</v>
      </c>
      <c r="J373" s="5">
        <f t="shared" si="92"/>
        <v>28445.762711864409</v>
      </c>
      <c r="K373" s="5">
        <f t="shared" si="90"/>
        <v>28445.762711864409</v>
      </c>
      <c r="L373">
        <f>VLOOKUP($B373,[1]ბიუჯეტი!$B$59:$K$464,3,FALSE)</f>
        <v>152.28</v>
      </c>
      <c r="M373" s="53">
        <f t="shared" si="80"/>
        <v>-23.180000000000007</v>
      </c>
      <c r="N373">
        <f>VLOOKUP($B373,[1]ბიუჯეტი!$B$59:$K$464,4,FALSE)</f>
        <v>0</v>
      </c>
      <c r="O373" s="53">
        <f t="shared" si="81"/>
        <v>0</v>
      </c>
      <c r="P373">
        <f>VLOOKUP($B373,[1]ბიუჯეტი!$B$59:$K$464,6,FALSE)</f>
        <v>0</v>
      </c>
      <c r="Q373" s="53">
        <f t="shared" si="82"/>
        <v>0</v>
      </c>
      <c r="R373">
        <f>VLOOKUP($B373,[1]ბიუჯეტი!$B$59:$K$464,8,FALSE)</f>
        <v>220.33898305084747</v>
      </c>
      <c r="S373" s="53">
        <f t="shared" si="83"/>
        <v>0</v>
      </c>
      <c r="T373">
        <f>VLOOKUP($B373,[1]ბიუჯეტი!$B$59:$K$464,10,FALSE)</f>
        <v>33553.220338983054</v>
      </c>
      <c r="U373" s="53">
        <f t="shared" si="84"/>
        <v>-5107.4576271186452</v>
      </c>
    </row>
    <row r="374" spans="1:21" collapsed="1" x14ac:dyDescent="0.35">
      <c r="A374" s="29">
        <v>44</v>
      </c>
      <c r="B374" s="30" t="s">
        <v>122</v>
      </c>
      <c r="C374" s="8" t="s">
        <v>40</v>
      </c>
      <c r="D374" s="5">
        <f>SUM(D375:D376)</f>
        <v>77.099999999999994</v>
      </c>
      <c r="E374" s="5">
        <v>0</v>
      </c>
      <c r="F374" s="5">
        <f t="shared" si="89"/>
        <v>0</v>
      </c>
      <c r="G374" s="5">
        <v>0</v>
      </c>
      <c r="H374" s="5">
        <v>0</v>
      </c>
      <c r="I374" s="5">
        <f>250/1.18</f>
        <v>211.86440677966104</v>
      </c>
      <c r="J374" s="5">
        <f>D374*I374</f>
        <v>16334.745762711866</v>
      </c>
      <c r="K374" s="5">
        <f t="shared" si="90"/>
        <v>16334.745762711866</v>
      </c>
      <c r="L374">
        <f>VLOOKUP($B374,[1]ბიუჯეტი!$B$59:$K$464,3,FALSE)</f>
        <v>77.099999999999994</v>
      </c>
      <c r="M374" s="53">
        <f t="shared" si="80"/>
        <v>0</v>
      </c>
      <c r="N374">
        <f>VLOOKUP($B374,[1]ბიუჯეტი!$B$59:$K$464,4,FALSE)</f>
        <v>0</v>
      </c>
      <c r="O374" s="53">
        <f t="shared" si="81"/>
        <v>0</v>
      </c>
      <c r="P374">
        <f>VLOOKUP($B374,[1]ბიუჯეტი!$B$59:$K$464,6,FALSE)</f>
        <v>0</v>
      </c>
      <c r="Q374" s="53">
        <f t="shared" si="82"/>
        <v>0</v>
      </c>
      <c r="R374">
        <f>VLOOKUP($B374,[1]ბიუჯეტი!$B$59:$K$464,8,FALSE)</f>
        <v>211.86440677966104</v>
      </c>
      <c r="S374" s="53">
        <f t="shared" si="83"/>
        <v>0</v>
      </c>
      <c r="T374">
        <f>VLOOKUP($B374,[1]ბიუჯეტი!$B$59:$K$464,10,FALSE)</f>
        <v>16334.745762711866</v>
      </c>
      <c r="U374" s="53">
        <f t="shared" si="84"/>
        <v>0</v>
      </c>
    </row>
    <row r="375" spans="1:21" hidden="1" outlineLevel="1" x14ac:dyDescent="0.35">
      <c r="A375" s="29"/>
      <c r="B375" s="7" t="s">
        <v>121</v>
      </c>
      <c r="C375" s="8" t="s">
        <v>40</v>
      </c>
      <c r="D375" s="5">
        <f>6.95*3</f>
        <v>20.85</v>
      </c>
      <c r="E375" s="5"/>
      <c r="F375" s="5">
        <f t="shared" si="89"/>
        <v>0</v>
      </c>
      <c r="G375" s="5">
        <v>0</v>
      </c>
      <c r="H375" s="5"/>
      <c r="I375" s="5">
        <f>260/1.18</f>
        <v>220.33898305084747</v>
      </c>
      <c r="J375" s="5">
        <f t="shared" si="92"/>
        <v>4594.0677966101703</v>
      </c>
      <c r="K375" s="5">
        <f t="shared" si="90"/>
        <v>4594.0677966101703</v>
      </c>
      <c r="L375">
        <f>VLOOKUP($B375,[1]ბიუჯეტი!$B$59:$K$464,3,FALSE)</f>
        <v>50.8</v>
      </c>
      <c r="M375" s="53">
        <f t="shared" si="80"/>
        <v>-29.949999999999996</v>
      </c>
      <c r="N375">
        <f>VLOOKUP($B375,[1]ბიუჯეტი!$B$59:$K$464,4,FALSE)</f>
        <v>0</v>
      </c>
      <c r="O375" s="53">
        <f t="shared" si="81"/>
        <v>0</v>
      </c>
      <c r="P375">
        <f>VLOOKUP($B375,[1]ბიუჯეტი!$B$59:$K$464,6,FALSE)</f>
        <v>0</v>
      </c>
      <c r="Q375" s="53">
        <f t="shared" si="82"/>
        <v>0</v>
      </c>
      <c r="R375">
        <f>VLOOKUP($B375,[1]ბიუჯეტი!$B$59:$K$464,8,FALSE)</f>
        <v>220.33898305084747</v>
      </c>
      <c r="S375" s="53">
        <f t="shared" si="83"/>
        <v>0</v>
      </c>
      <c r="T375">
        <f>VLOOKUP($B375,[1]ბიუჯეტი!$B$59:$K$464,10,FALSE)</f>
        <v>11193.22033898305</v>
      </c>
      <c r="U375" s="53">
        <f t="shared" si="84"/>
        <v>-6599.1525423728799</v>
      </c>
    </row>
    <row r="376" spans="1:21" hidden="1" outlineLevel="1" x14ac:dyDescent="0.35">
      <c r="A376" s="29"/>
      <c r="B376" s="7" t="s">
        <v>124</v>
      </c>
      <c r="C376" s="8" t="s">
        <v>40</v>
      </c>
      <c r="D376" s="5">
        <f>6.25*3*3</f>
        <v>56.25</v>
      </c>
      <c r="E376" s="5"/>
      <c r="F376" s="5">
        <f t="shared" si="89"/>
        <v>0</v>
      </c>
      <c r="G376" s="5">
        <v>0</v>
      </c>
      <c r="H376" s="5"/>
      <c r="I376" s="5">
        <f>260/1.18</f>
        <v>220.33898305084747</v>
      </c>
      <c r="J376" s="5">
        <f t="shared" si="92"/>
        <v>12394.06779661017</v>
      </c>
      <c r="K376" s="5">
        <f t="shared" si="90"/>
        <v>12394.06779661017</v>
      </c>
      <c r="L376">
        <f>VLOOKUP($B376,[1]ბიუჯეტი!$B$59:$K$464,3,FALSE)</f>
        <v>152.28</v>
      </c>
      <c r="M376" s="53">
        <f t="shared" si="80"/>
        <v>-96.03</v>
      </c>
      <c r="N376">
        <f>VLOOKUP($B376,[1]ბიუჯეტი!$B$59:$K$464,4,FALSE)</f>
        <v>0</v>
      </c>
      <c r="O376" s="53">
        <f t="shared" si="81"/>
        <v>0</v>
      </c>
      <c r="P376">
        <f>VLOOKUP($B376,[1]ბიუჯეტი!$B$59:$K$464,6,FALSE)</f>
        <v>0</v>
      </c>
      <c r="Q376" s="53">
        <f t="shared" si="82"/>
        <v>0</v>
      </c>
      <c r="R376">
        <f>VLOOKUP($B376,[1]ბიუჯეტი!$B$59:$K$464,8,FALSE)</f>
        <v>220.33898305084747</v>
      </c>
      <c r="S376" s="53">
        <f t="shared" si="83"/>
        <v>0</v>
      </c>
      <c r="T376">
        <f>VLOOKUP($B376,[1]ბიუჯეტი!$B$59:$K$464,10,FALSE)</f>
        <v>33553.220338983054</v>
      </c>
      <c r="U376" s="53">
        <f t="shared" si="84"/>
        <v>-21159.152542372882</v>
      </c>
    </row>
    <row r="377" spans="1:21" collapsed="1" x14ac:dyDescent="0.35">
      <c r="A377" s="29">
        <v>46</v>
      </c>
      <c r="B377" s="30" t="s">
        <v>123</v>
      </c>
      <c r="C377" s="8" t="s">
        <v>40</v>
      </c>
      <c r="D377" s="5">
        <f>SUM(D378:D379)</f>
        <v>89.4</v>
      </c>
      <c r="E377" s="5">
        <v>0</v>
      </c>
      <c r="F377" s="5">
        <f t="shared" si="89"/>
        <v>0</v>
      </c>
      <c r="G377" s="5">
        <v>0</v>
      </c>
      <c r="H377" s="5">
        <v>0</v>
      </c>
      <c r="I377" s="5">
        <f>87/1.18</f>
        <v>73.728813559322035</v>
      </c>
      <c r="J377" s="5">
        <f>D377*I377</f>
        <v>6591.3559322033907</v>
      </c>
      <c r="K377" s="5">
        <f t="shared" si="90"/>
        <v>6591.3559322033907</v>
      </c>
      <c r="L377">
        <f>VLOOKUP($B377,[1]ბიუჯეტი!$B$59:$K$464,3,FALSE)</f>
        <v>89.4</v>
      </c>
      <c r="M377" s="53">
        <f t="shared" si="80"/>
        <v>0</v>
      </c>
      <c r="N377">
        <f>VLOOKUP($B377,[1]ბიუჯეტი!$B$59:$K$464,4,FALSE)</f>
        <v>0</v>
      </c>
      <c r="O377" s="53">
        <f t="shared" si="81"/>
        <v>0</v>
      </c>
      <c r="P377">
        <f>VLOOKUP($B377,[1]ბიუჯეტი!$B$59:$K$464,6,FALSE)</f>
        <v>0</v>
      </c>
      <c r="Q377" s="53">
        <f t="shared" si="82"/>
        <v>0</v>
      </c>
      <c r="R377">
        <f>VLOOKUP($B377,[1]ბიუჯეტი!$B$59:$K$464,8,FALSE)</f>
        <v>73.728813559322035</v>
      </c>
      <c r="S377" s="53">
        <f t="shared" si="83"/>
        <v>0</v>
      </c>
      <c r="T377">
        <f>VLOOKUP($B377,[1]ბიუჯეტი!$B$59:$K$464,10,FALSE)</f>
        <v>6591.3559322033907</v>
      </c>
      <c r="U377" s="53">
        <f t="shared" si="84"/>
        <v>0</v>
      </c>
    </row>
    <row r="378" spans="1:21" hidden="1" outlineLevel="1" x14ac:dyDescent="0.35">
      <c r="A378" s="29"/>
      <c r="B378" s="7" t="s">
        <v>121</v>
      </c>
      <c r="C378" s="8" t="s">
        <v>40</v>
      </c>
      <c r="D378" s="5">
        <f>6.95*2+9*2+20</f>
        <v>51.9</v>
      </c>
      <c r="E378" s="5"/>
      <c r="F378" s="5">
        <f t="shared" si="89"/>
        <v>0</v>
      </c>
      <c r="G378" s="5">
        <v>0</v>
      </c>
      <c r="H378" s="5"/>
      <c r="I378" s="5">
        <f>87/1.18</f>
        <v>73.728813559322035</v>
      </c>
      <c r="J378" s="5">
        <f t="shared" si="92"/>
        <v>3826.5254237288136</v>
      </c>
      <c r="K378" s="5">
        <f t="shared" si="90"/>
        <v>3826.5254237288136</v>
      </c>
      <c r="L378">
        <f>VLOOKUP($B378,[1]ბიუჯეტი!$B$59:$K$464,3,FALSE)</f>
        <v>50.8</v>
      </c>
      <c r="M378" s="53">
        <f t="shared" si="80"/>
        <v>1.1000000000000014</v>
      </c>
      <c r="N378">
        <f>VLOOKUP($B378,[1]ბიუჯეტი!$B$59:$K$464,4,FALSE)</f>
        <v>0</v>
      </c>
      <c r="O378" s="53">
        <f t="shared" si="81"/>
        <v>0</v>
      </c>
      <c r="P378">
        <f>VLOOKUP($B378,[1]ბიუჯეტი!$B$59:$K$464,6,FALSE)</f>
        <v>0</v>
      </c>
      <c r="Q378" s="53">
        <f t="shared" si="82"/>
        <v>0</v>
      </c>
      <c r="R378">
        <f>VLOOKUP($B378,[1]ბიუჯეტი!$B$59:$K$464,8,FALSE)</f>
        <v>220.33898305084747</v>
      </c>
      <c r="S378" s="53">
        <f t="shared" si="83"/>
        <v>-146.61016949152543</v>
      </c>
      <c r="T378">
        <f>VLOOKUP($B378,[1]ბიუჯეტი!$B$59:$K$464,10,FALSE)</f>
        <v>11193.22033898305</v>
      </c>
      <c r="U378" s="53">
        <f t="shared" si="84"/>
        <v>-7366.6949152542365</v>
      </c>
    </row>
    <row r="379" spans="1:21" hidden="1" outlineLevel="1" x14ac:dyDescent="0.35">
      <c r="A379" s="29"/>
      <c r="B379" s="7" t="s">
        <v>124</v>
      </c>
      <c r="C379" s="8" t="s">
        <v>40</v>
      </c>
      <c r="D379" s="5">
        <f>6.25*2*3</f>
        <v>37.5</v>
      </c>
      <c r="E379" s="5"/>
      <c r="F379" s="5">
        <f t="shared" si="89"/>
        <v>0</v>
      </c>
      <c r="G379" s="5">
        <v>0</v>
      </c>
      <c r="H379" s="5"/>
      <c r="I379" s="5">
        <f>87/1.18</f>
        <v>73.728813559322035</v>
      </c>
      <c r="J379" s="5">
        <f t="shared" si="92"/>
        <v>2764.8305084745762</v>
      </c>
      <c r="K379" s="5">
        <f t="shared" si="90"/>
        <v>2764.8305084745762</v>
      </c>
      <c r="L379">
        <f>VLOOKUP($B379,[1]ბიუჯეტი!$B$59:$K$464,3,FALSE)</f>
        <v>152.28</v>
      </c>
      <c r="M379" s="53">
        <f t="shared" si="80"/>
        <v>-114.78</v>
      </c>
      <c r="N379">
        <f>VLOOKUP($B379,[1]ბიუჯეტი!$B$59:$K$464,4,FALSE)</f>
        <v>0</v>
      </c>
      <c r="O379" s="53">
        <f t="shared" si="81"/>
        <v>0</v>
      </c>
      <c r="P379">
        <f>VLOOKUP($B379,[1]ბიუჯეტი!$B$59:$K$464,6,FALSE)</f>
        <v>0</v>
      </c>
      <c r="Q379" s="53">
        <f t="shared" si="82"/>
        <v>0</v>
      </c>
      <c r="R379">
        <f>VLOOKUP($B379,[1]ბიუჯეტი!$B$59:$K$464,8,FALSE)</f>
        <v>220.33898305084747</v>
      </c>
      <c r="S379" s="53">
        <f t="shared" si="83"/>
        <v>-146.61016949152543</v>
      </c>
      <c r="T379">
        <f>VLOOKUP($B379,[1]ბიუჯეტი!$B$59:$K$464,10,FALSE)</f>
        <v>33553.220338983054</v>
      </c>
      <c r="U379" s="53">
        <f t="shared" si="84"/>
        <v>-30788.389830508477</v>
      </c>
    </row>
    <row r="380" spans="1:21" collapsed="1" x14ac:dyDescent="0.35">
      <c r="A380" s="55">
        <v>46</v>
      </c>
      <c r="B380" s="56" t="s">
        <v>206</v>
      </c>
      <c r="C380" s="57" t="s">
        <v>55</v>
      </c>
      <c r="D380" s="58">
        <f>D381+D382+D383</f>
        <v>30</v>
      </c>
      <c r="E380" s="58">
        <v>0</v>
      </c>
      <c r="F380" s="58">
        <v>0</v>
      </c>
      <c r="G380" s="58">
        <v>0</v>
      </c>
      <c r="H380" s="58">
        <v>0</v>
      </c>
      <c r="I380" s="58">
        <f>SUM(J381:J383)/D380</f>
        <v>1652.542372881356</v>
      </c>
      <c r="J380" s="58">
        <f>D380*I380</f>
        <v>49576.271186440681</v>
      </c>
      <c r="K380" s="58">
        <f t="shared" si="90"/>
        <v>49576.271186440681</v>
      </c>
      <c r="L380">
        <f>VLOOKUP($B380,[1]ბიუჯეტი!$B$59:$K$464,3,FALSE)</f>
        <v>39</v>
      </c>
      <c r="M380" s="53">
        <f t="shared" si="80"/>
        <v>-9</v>
      </c>
      <c r="N380">
        <f>VLOOKUP($B380,[1]ბიუჯეტი!$B$59:$K$464,4,FALSE)</f>
        <v>0</v>
      </c>
      <c r="O380" s="53">
        <f t="shared" si="81"/>
        <v>0</v>
      </c>
      <c r="P380">
        <f>VLOOKUP($B380,[1]ბიუჯეტი!$B$59:$K$464,6,FALSE)</f>
        <v>0</v>
      </c>
      <c r="Q380" s="53">
        <f t="shared" si="82"/>
        <v>0</v>
      </c>
      <c r="R380">
        <f>VLOOKUP($B380,[1]ბიუჯეტი!$B$59:$K$464,8,FALSE)</f>
        <v>1567.7966101694917</v>
      </c>
      <c r="S380" s="53">
        <f t="shared" si="83"/>
        <v>84.745762711864245</v>
      </c>
      <c r="T380">
        <f>VLOOKUP($B380,[1]ბიუჯეტი!$B$59:$K$464,10,FALSE)</f>
        <v>61144.067796610179</v>
      </c>
      <c r="U380" s="53">
        <f t="shared" si="84"/>
        <v>-11567.796610169498</v>
      </c>
    </row>
    <row r="381" spans="1:21" hidden="1" outlineLevel="1" x14ac:dyDescent="0.35">
      <c r="A381" s="29">
        <v>1</v>
      </c>
      <c r="B381" s="7" t="s">
        <v>295</v>
      </c>
      <c r="C381" s="8" t="s">
        <v>55</v>
      </c>
      <c r="D381" s="5">
        <v>0</v>
      </c>
      <c r="E381" s="5"/>
      <c r="F381" s="5">
        <f t="shared" ref="F381:F417" si="96">D381*E381</f>
        <v>0</v>
      </c>
      <c r="G381" s="5"/>
      <c r="H381" s="5">
        <f>D381*G381</f>
        <v>0</v>
      </c>
      <c r="I381" s="5">
        <f>1850/1.18</f>
        <v>1567.7966101694917</v>
      </c>
      <c r="J381" s="5">
        <f t="shared" ref="J381:J383" si="97">D381*I381</f>
        <v>0</v>
      </c>
      <c r="K381" s="5">
        <f t="shared" si="90"/>
        <v>0</v>
      </c>
      <c r="L381" t="e">
        <f>VLOOKUP($B381,[1]ბიუჯეტი!$B$59:$K$464,3,FALSE)</f>
        <v>#N/A</v>
      </c>
      <c r="M381" s="53" t="e">
        <f t="shared" ref="M381:M444" si="98">D381-L381</f>
        <v>#N/A</v>
      </c>
      <c r="N381" t="e">
        <f>VLOOKUP($B381,[1]ბიუჯეტი!$B$59:$K$464,4,FALSE)</f>
        <v>#N/A</v>
      </c>
      <c r="O381" s="53" t="e">
        <f t="shared" ref="O381:O444" si="99">E381-N381</f>
        <v>#N/A</v>
      </c>
      <c r="P381" t="e">
        <f>VLOOKUP($B381,[1]ბიუჯეტი!$B$59:$K$464,6,FALSE)</f>
        <v>#N/A</v>
      </c>
      <c r="Q381" s="53" t="e">
        <f t="shared" ref="Q381:Q444" si="100">G381-P381</f>
        <v>#N/A</v>
      </c>
      <c r="R381" t="e">
        <f>VLOOKUP($B381,[1]ბიუჯეტი!$B$59:$K$464,8,FALSE)</f>
        <v>#N/A</v>
      </c>
      <c r="S381" s="53" t="e">
        <f t="shared" ref="S381:S444" si="101">I381-R381</f>
        <v>#N/A</v>
      </c>
      <c r="T381" t="e">
        <f>VLOOKUP($B381,[1]ბიუჯეტი!$B$59:$K$464,10,FALSE)</f>
        <v>#N/A</v>
      </c>
      <c r="U381" s="53" t="e">
        <f t="shared" ref="U381:U444" si="102">K381-T381</f>
        <v>#N/A</v>
      </c>
    </row>
    <row r="382" spans="1:21" hidden="1" outlineLevel="1" x14ac:dyDescent="0.35">
      <c r="A382" s="29">
        <v>2</v>
      </c>
      <c r="B382" s="7" t="s">
        <v>125</v>
      </c>
      <c r="C382" s="8" t="s">
        <v>55</v>
      </c>
      <c r="D382" s="5">
        <v>0</v>
      </c>
      <c r="E382" s="5"/>
      <c r="F382" s="5">
        <f t="shared" si="96"/>
        <v>0</v>
      </c>
      <c r="G382" s="5"/>
      <c r="H382" s="5">
        <f>D382*G382</f>
        <v>0</v>
      </c>
      <c r="I382" s="5">
        <f>1950/1.18</f>
        <v>1652.542372881356</v>
      </c>
      <c r="J382" s="5">
        <f t="shared" si="97"/>
        <v>0</v>
      </c>
      <c r="K382" s="5">
        <f t="shared" si="90"/>
        <v>0</v>
      </c>
      <c r="L382">
        <f>VLOOKUP($B382,[1]ბიუჯეტი!$B$59:$K$464,3,FALSE)</f>
        <v>9</v>
      </c>
      <c r="M382" s="53">
        <f t="shared" si="98"/>
        <v>-9</v>
      </c>
      <c r="N382">
        <f>VLOOKUP($B382,[1]ბიუჯეტი!$B$59:$K$464,4,FALSE)</f>
        <v>0</v>
      </c>
      <c r="O382" s="53">
        <f t="shared" si="99"/>
        <v>0</v>
      </c>
      <c r="P382">
        <f>VLOOKUP($B382,[1]ბიუჯეტი!$B$59:$K$464,6,FALSE)</f>
        <v>0</v>
      </c>
      <c r="Q382" s="53">
        <f t="shared" si="100"/>
        <v>0</v>
      </c>
      <c r="R382">
        <f>VLOOKUP($B382,[1]ბიუჯეტი!$B$59:$K$464,8,FALSE)</f>
        <v>1567.7966101694917</v>
      </c>
      <c r="S382" s="53">
        <f t="shared" si="101"/>
        <v>84.745762711864245</v>
      </c>
      <c r="T382">
        <f>VLOOKUP($B382,[1]ბიუჯეტი!$B$59:$K$464,10,FALSE)</f>
        <v>14110.169491525425</v>
      </c>
      <c r="U382" s="53">
        <f t="shared" si="102"/>
        <v>-14110.169491525425</v>
      </c>
    </row>
    <row r="383" spans="1:21" hidden="1" outlineLevel="1" x14ac:dyDescent="0.35">
      <c r="A383" s="29">
        <v>3</v>
      </c>
      <c r="B383" s="7" t="s">
        <v>126</v>
      </c>
      <c r="C383" s="8" t="s">
        <v>55</v>
      </c>
      <c r="D383" s="5">
        <v>30</v>
      </c>
      <c r="E383" s="5"/>
      <c r="F383" s="5">
        <f t="shared" si="96"/>
        <v>0</v>
      </c>
      <c r="G383" s="5"/>
      <c r="H383" s="5">
        <f>D383*G383</f>
        <v>0</v>
      </c>
      <c r="I383" s="5">
        <f>1950/1.18</f>
        <v>1652.542372881356</v>
      </c>
      <c r="J383" s="5">
        <f t="shared" si="97"/>
        <v>49576.271186440681</v>
      </c>
      <c r="K383" s="5">
        <f t="shared" si="90"/>
        <v>49576.271186440681</v>
      </c>
      <c r="L383">
        <f>VLOOKUP($B383,[1]ბიუჯეტი!$B$59:$K$464,3,FALSE)</f>
        <v>30</v>
      </c>
      <c r="M383" s="53">
        <f t="shared" si="98"/>
        <v>0</v>
      </c>
      <c r="N383">
        <f>VLOOKUP($B383,[1]ბიუჯეტი!$B$59:$K$464,4,FALSE)</f>
        <v>0</v>
      </c>
      <c r="O383" s="53">
        <f t="shared" si="99"/>
        <v>0</v>
      </c>
      <c r="P383">
        <f>VLOOKUP($B383,[1]ბიუჯეტი!$B$59:$K$464,6,FALSE)</f>
        <v>0</v>
      </c>
      <c r="Q383" s="53">
        <f t="shared" si="100"/>
        <v>0</v>
      </c>
      <c r="R383">
        <f>VLOOKUP($B383,[1]ბიუჯეტი!$B$59:$K$464,8,FALSE)</f>
        <v>1567.7966101694917</v>
      </c>
      <c r="S383" s="53">
        <f t="shared" si="101"/>
        <v>84.745762711864245</v>
      </c>
      <c r="T383">
        <f>VLOOKUP($B383,[1]ბიუჯეტი!$B$59:$K$464,10,FALSE)</f>
        <v>47033.898305084753</v>
      </c>
      <c r="U383" s="53">
        <f t="shared" si="102"/>
        <v>2542.3728813559283</v>
      </c>
    </row>
    <row r="384" spans="1:21" collapsed="1" x14ac:dyDescent="0.35">
      <c r="A384" s="29">
        <v>49</v>
      </c>
      <c r="B384" s="30" t="s">
        <v>127</v>
      </c>
      <c r="C384" s="8" t="s">
        <v>128</v>
      </c>
      <c r="D384" s="5">
        <f>SUM(D387,D385)</f>
        <v>30</v>
      </c>
      <c r="E384" s="5">
        <f>SUM(K388:K388,K386,)/D384</f>
        <v>381.3559322033899</v>
      </c>
      <c r="F384" s="5">
        <f t="shared" si="96"/>
        <v>11440.677966101697</v>
      </c>
      <c r="G384" s="5">
        <f>SUM(H385:H388)/D384</f>
        <v>140.25</v>
      </c>
      <c r="H384" s="5">
        <f>G384*D384</f>
        <v>4207.5</v>
      </c>
      <c r="I384" s="5">
        <v>0</v>
      </c>
      <c r="J384" s="5">
        <v>0</v>
      </c>
      <c r="K384" s="5">
        <f t="shared" ref="K384:K422" si="103">F384+H384</f>
        <v>15648.177966101697</v>
      </c>
      <c r="L384">
        <f>VLOOKUP($B384,[1]ბიუჯეტი!$B$59:$K$464,3,FALSE)</f>
        <v>39</v>
      </c>
      <c r="M384" s="53">
        <f t="shared" si="98"/>
        <v>-9</v>
      </c>
      <c r="N384">
        <f>VLOOKUP($B384,[1]ბიუჯეტი!$B$59:$K$464,4,FALSE)</f>
        <v>410.69100391134282</v>
      </c>
      <c r="O384" s="53">
        <f t="shared" si="99"/>
        <v>-29.33507170795292</v>
      </c>
      <c r="P384">
        <f>VLOOKUP($B384,[1]ბიუჯეტი!$B$59:$K$464,6,FALSE)</f>
        <v>114.74999999999997</v>
      </c>
      <c r="Q384" s="53">
        <f t="shared" si="100"/>
        <v>25.500000000000028</v>
      </c>
      <c r="R384">
        <f>VLOOKUP($B384,[1]ბიუჯეტი!$B$59:$K$464,8,FALSE)</f>
        <v>0</v>
      </c>
      <c r="S384" s="53">
        <f t="shared" si="101"/>
        <v>0</v>
      </c>
      <c r="T384">
        <f>VLOOKUP($B384,[1]ბიუჯეტი!$B$59:$K$464,10,FALSE)</f>
        <v>20492.199152542369</v>
      </c>
      <c r="U384" s="53">
        <f t="shared" si="102"/>
        <v>-4844.021186440672</v>
      </c>
    </row>
    <row r="385" spans="1:21" hidden="1" outlineLevel="1" x14ac:dyDescent="0.35">
      <c r="A385" s="29">
        <v>1</v>
      </c>
      <c r="B385" s="30" t="s">
        <v>129</v>
      </c>
      <c r="C385" s="8" t="s">
        <v>128</v>
      </c>
      <c r="D385" s="5">
        <f>D358</f>
        <v>0</v>
      </c>
      <c r="E385" s="5"/>
      <c r="F385" s="5">
        <f t="shared" si="96"/>
        <v>0</v>
      </c>
      <c r="G385" s="5">
        <f>(110)*1.275</f>
        <v>140.25</v>
      </c>
      <c r="H385" s="5">
        <f>G385*D385</f>
        <v>0</v>
      </c>
      <c r="I385" s="5"/>
      <c r="J385" s="5"/>
      <c r="K385" s="5">
        <f t="shared" si="103"/>
        <v>0</v>
      </c>
      <c r="L385">
        <f>VLOOKUP($B385,[1]ბიუჯეტი!$B$59:$K$464,3,FALSE)</f>
        <v>9</v>
      </c>
      <c r="M385" s="53">
        <f t="shared" si="98"/>
        <v>-9</v>
      </c>
      <c r="N385">
        <f>VLOOKUP($B385,[1]ბიუჯეტი!$B$59:$K$464,4,FALSE)</f>
        <v>0</v>
      </c>
      <c r="O385" s="53">
        <f t="shared" si="99"/>
        <v>0</v>
      </c>
      <c r="P385">
        <f>VLOOKUP($B385,[1]ბიუჯეტი!$B$59:$K$464,6,FALSE)</f>
        <v>114.74999999999999</v>
      </c>
      <c r="Q385" s="53">
        <f t="shared" si="100"/>
        <v>25.500000000000014</v>
      </c>
      <c r="R385">
        <f>VLOOKUP($B385,[1]ბიუჯეტი!$B$59:$K$464,8,FALSE)</f>
        <v>0</v>
      </c>
      <c r="S385" s="53">
        <f t="shared" si="101"/>
        <v>0</v>
      </c>
      <c r="T385">
        <f>VLOOKUP($B385,[1]ბიუჯეტი!$B$59:$K$464,10,FALSE)</f>
        <v>1032.7499999999998</v>
      </c>
      <c r="U385" s="53">
        <f t="shared" si="102"/>
        <v>-1032.7499999999998</v>
      </c>
    </row>
    <row r="386" spans="1:21" hidden="1" outlineLevel="1" x14ac:dyDescent="0.35">
      <c r="A386" s="29"/>
      <c r="B386" s="7" t="s">
        <v>130</v>
      </c>
      <c r="C386" s="8" t="s">
        <v>40</v>
      </c>
      <c r="D386" s="5">
        <f>D385*250</f>
        <v>0</v>
      </c>
      <c r="E386" s="5">
        <f>3/1.18</f>
        <v>2.5423728813559325</v>
      </c>
      <c r="F386" s="5">
        <f t="shared" si="96"/>
        <v>0</v>
      </c>
      <c r="G386" s="5"/>
      <c r="H386" s="5">
        <f>D386*G386</f>
        <v>0</v>
      </c>
      <c r="I386" s="5"/>
      <c r="J386" s="5"/>
      <c r="K386" s="5">
        <f t="shared" si="103"/>
        <v>0</v>
      </c>
      <c r="L386">
        <f>VLOOKUP($B386,[1]ბიუჯეტი!$B$59:$K$464,3,FALSE)</f>
        <v>2250</v>
      </c>
      <c r="M386" s="53">
        <f t="shared" si="98"/>
        <v>-2250</v>
      </c>
      <c r="N386">
        <f>VLOOKUP($B386,[1]ბიუჯეტი!$B$59:$K$464,4,FALSE)</f>
        <v>2.3728813559322033</v>
      </c>
      <c r="O386" s="53">
        <f t="shared" si="99"/>
        <v>0.16949152542372925</v>
      </c>
      <c r="P386">
        <f>VLOOKUP($B386,[1]ბიუჯეტი!$B$59:$K$464,6,FALSE)</f>
        <v>0</v>
      </c>
      <c r="Q386" s="53">
        <f t="shared" si="100"/>
        <v>0</v>
      </c>
      <c r="R386">
        <f>VLOOKUP($B386,[1]ბიუჯეტი!$B$59:$K$464,8,FALSE)</f>
        <v>0</v>
      </c>
      <c r="S386" s="53">
        <f t="shared" si="101"/>
        <v>0</v>
      </c>
      <c r="T386">
        <f>VLOOKUP($B386,[1]ბიუჯეტი!$B$59:$K$464,10,FALSE)</f>
        <v>5338.983050847457</v>
      </c>
      <c r="U386" s="53">
        <f t="shared" si="102"/>
        <v>-5338.983050847457</v>
      </c>
    </row>
    <row r="387" spans="1:21" hidden="1" outlineLevel="1" x14ac:dyDescent="0.35">
      <c r="A387" s="29">
        <v>2</v>
      </c>
      <c r="B387" s="30" t="s">
        <v>199</v>
      </c>
      <c r="C387" s="8" t="s">
        <v>128</v>
      </c>
      <c r="D387" s="5">
        <f>D359</f>
        <v>30</v>
      </c>
      <c r="E387" s="5"/>
      <c r="F387" s="5">
        <f t="shared" si="96"/>
        <v>0</v>
      </c>
      <c r="G387" s="5">
        <f>(110)*1.275</f>
        <v>140.25</v>
      </c>
      <c r="H387" s="5">
        <f>G387*D387</f>
        <v>4207.5</v>
      </c>
      <c r="I387" s="5"/>
      <c r="J387" s="5"/>
      <c r="K387" s="5">
        <f t="shared" si="103"/>
        <v>4207.5</v>
      </c>
      <c r="L387">
        <f>VLOOKUP($B387,[1]ბიუჯეტი!$B$59:$K$464,3,FALSE)</f>
        <v>30</v>
      </c>
      <c r="M387" s="53">
        <f t="shared" si="98"/>
        <v>0</v>
      </c>
      <c r="N387">
        <f>VLOOKUP($B387,[1]ბიუჯეტი!$B$59:$K$464,4,FALSE)</f>
        <v>0</v>
      </c>
      <c r="O387" s="53">
        <f t="shared" si="99"/>
        <v>0</v>
      </c>
      <c r="P387">
        <f>VLOOKUP($B387,[1]ბიუჯეტი!$B$59:$K$464,6,FALSE)</f>
        <v>114.74999999999999</v>
      </c>
      <c r="Q387" s="53">
        <f t="shared" si="100"/>
        <v>25.500000000000014</v>
      </c>
      <c r="R387">
        <f>VLOOKUP($B387,[1]ბიუჯეტი!$B$59:$K$464,8,FALSE)</f>
        <v>0</v>
      </c>
      <c r="S387" s="53">
        <f t="shared" si="101"/>
        <v>0</v>
      </c>
      <c r="T387">
        <f>VLOOKUP($B387,[1]ბიუჯეტი!$B$59:$K$464,10,FALSE)</f>
        <v>3442.4999999999995</v>
      </c>
      <c r="U387" s="53">
        <f t="shared" si="102"/>
        <v>765.00000000000045</v>
      </c>
    </row>
    <row r="388" spans="1:21" hidden="1" outlineLevel="1" x14ac:dyDescent="0.35">
      <c r="A388" s="29"/>
      <c r="B388" s="7" t="s">
        <v>130</v>
      </c>
      <c r="C388" s="8" t="s">
        <v>40</v>
      </c>
      <c r="D388" s="5">
        <f>D387*150</f>
        <v>4500</v>
      </c>
      <c r="E388" s="5">
        <f>3/1.18</f>
        <v>2.5423728813559325</v>
      </c>
      <c r="F388" s="5">
        <f t="shared" si="96"/>
        <v>11440.677966101697</v>
      </c>
      <c r="G388" s="5"/>
      <c r="H388" s="5">
        <f>D388*G388</f>
        <v>0</v>
      </c>
      <c r="I388" s="5"/>
      <c r="J388" s="5"/>
      <c r="K388" s="5">
        <f t="shared" si="103"/>
        <v>11440.677966101697</v>
      </c>
      <c r="L388">
        <f>VLOOKUP($B388,[1]ბიუჯეტი!$B$59:$K$464,3,FALSE)</f>
        <v>2250</v>
      </c>
      <c r="M388" s="53">
        <f t="shared" si="98"/>
        <v>2250</v>
      </c>
      <c r="N388">
        <f>VLOOKUP($B388,[1]ბიუჯეტი!$B$59:$K$464,4,FALSE)</f>
        <v>2.3728813559322033</v>
      </c>
      <c r="O388" s="53">
        <f t="shared" si="99"/>
        <v>0.16949152542372925</v>
      </c>
      <c r="P388">
        <f>VLOOKUP($B388,[1]ბიუჯეტი!$B$59:$K$464,6,FALSE)</f>
        <v>0</v>
      </c>
      <c r="Q388" s="53">
        <f t="shared" si="100"/>
        <v>0</v>
      </c>
      <c r="R388">
        <f>VLOOKUP($B388,[1]ბიუჯეტი!$B$59:$K$464,8,FALSE)</f>
        <v>0</v>
      </c>
      <c r="S388" s="53">
        <f t="shared" si="101"/>
        <v>0</v>
      </c>
      <c r="T388">
        <f>VLOOKUP($B388,[1]ბიუჯეტი!$B$59:$K$464,10,FALSE)</f>
        <v>5338.983050847457</v>
      </c>
      <c r="U388" s="53">
        <f t="shared" si="102"/>
        <v>6101.6949152542402</v>
      </c>
    </row>
    <row r="389" spans="1:21" collapsed="1" x14ac:dyDescent="0.35">
      <c r="A389" s="29">
        <v>50</v>
      </c>
      <c r="B389" s="30" t="s">
        <v>131</v>
      </c>
      <c r="C389" s="8" t="s">
        <v>49</v>
      </c>
      <c r="D389" s="5">
        <v>64</v>
      </c>
      <c r="E389" s="5">
        <v>106.33305084745764</v>
      </c>
      <c r="F389" s="5">
        <f t="shared" si="96"/>
        <v>6805.3152542372891</v>
      </c>
      <c r="G389" s="5">
        <f>(22+60)*1.275</f>
        <v>104.55</v>
      </c>
      <c r="H389" s="5">
        <f>G389*D389</f>
        <v>6691.2</v>
      </c>
      <c r="I389" s="5">
        <v>0</v>
      </c>
      <c r="J389" s="5">
        <f>I389*D389</f>
        <v>0</v>
      </c>
      <c r="K389" s="5">
        <f>J389+H389+F389</f>
        <v>13496.515254237289</v>
      </c>
      <c r="L389">
        <f>VLOOKUP($B389,[1]ბიუჯეტი!$B$59:$K$464,3,FALSE)</f>
        <v>64</v>
      </c>
      <c r="M389" s="53">
        <f t="shared" si="98"/>
        <v>0</v>
      </c>
      <c r="N389">
        <f>VLOOKUP($B389,[1]ბიუჯეტი!$B$59:$K$464,4,FALSE)</f>
        <v>106.33305084745764</v>
      </c>
      <c r="O389" s="53">
        <f t="shared" si="99"/>
        <v>0</v>
      </c>
      <c r="P389">
        <f>VLOOKUP($B389,[1]ბიუჯეტი!$B$59:$K$464,6,FALSE)</f>
        <v>22.95</v>
      </c>
      <c r="Q389" s="53">
        <f t="shared" si="100"/>
        <v>81.599999999999994</v>
      </c>
      <c r="R389">
        <f>VLOOKUP($B389,[1]ბიუჯეტი!$B$59:$K$464,8,FALSE)</f>
        <v>0</v>
      </c>
      <c r="S389" s="53">
        <f t="shared" si="101"/>
        <v>0</v>
      </c>
      <c r="T389">
        <f>VLOOKUP($B389,[1]ბიუჯეტი!$B$59:$K$464,10,FALSE)</f>
        <v>8274.1152542372893</v>
      </c>
      <c r="U389" s="53">
        <f t="shared" si="102"/>
        <v>5222.3999999999996</v>
      </c>
    </row>
    <row r="390" spans="1:21" x14ac:dyDescent="0.35">
      <c r="A390" s="29">
        <v>51</v>
      </c>
      <c r="B390" s="30" t="s">
        <v>132</v>
      </c>
      <c r="C390" s="8" t="s">
        <v>49</v>
      </c>
      <c r="D390" s="5">
        <v>170</v>
      </c>
      <c r="E390" s="5">
        <v>19.200278910105126</v>
      </c>
      <c r="F390" s="5">
        <f t="shared" si="96"/>
        <v>3264.0474147178716</v>
      </c>
      <c r="G390" s="5">
        <f>22*1.275</f>
        <v>28.049999999999997</v>
      </c>
      <c r="H390" s="5">
        <f>G390*D390</f>
        <v>4768.4999999999991</v>
      </c>
      <c r="I390" s="5">
        <v>0</v>
      </c>
      <c r="J390" s="5">
        <f>I390*D390</f>
        <v>0</v>
      </c>
      <c r="K390" s="5">
        <f>J390+H390+F390</f>
        <v>8032.5474147178702</v>
      </c>
      <c r="L390">
        <f>VLOOKUP($B390,[1]ბიუჯეტი!$B$59:$K$464,3,FALSE)</f>
        <v>225</v>
      </c>
      <c r="M390" s="53">
        <f t="shared" si="98"/>
        <v>-55</v>
      </c>
      <c r="N390">
        <f>VLOOKUP($B390,[1]ბიუჯეტი!$B$59:$K$464,4,FALSE)</f>
        <v>19.200278910105126</v>
      </c>
      <c r="O390" s="53">
        <f t="shared" si="99"/>
        <v>0</v>
      </c>
      <c r="P390">
        <f>VLOOKUP($B390,[1]ბიუჯეტი!$B$59:$K$464,6,FALSE)</f>
        <v>17.849999999999998</v>
      </c>
      <c r="Q390" s="53">
        <f t="shared" si="100"/>
        <v>10.199999999999999</v>
      </c>
      <c r="R390">
        <f>VLOOKUP($B390,[1]ბიუჯეტი!$B$59:$K$464,8,FALSE)</f>
        <v>0</v>
      </c>
      <c r="S390" s="53">
        <f t="shared" si="101"/>
        <v>0</v>
      </c>
      <c r="T390">
        <f>VLOOKUP($B390,[1]ბიუჯეტი!$B$59:$K$464,10,FALSE)</f>
        <v>8336.3127547736531</v>
      </c>
      <c r="U390" s="53">
        <f t="shared" si="102"/>
        <v>-303.76534005578287</v>
      </c>
    </row>
    <row r="391" spans="1:21" x14ac:dyDescent="0.35">
      <c r="A391" s="29">
        <v>52</v>
      </c>
      <c r="B391" s="30" t="s">
        <v>133</v>
      </c>
      <c r="C391" s="8" t="s">
        <v>134</v>
      </c>
      <c r="D391" s="5">
        <f>SUM(D398,D392,)</f>
        <v>3450</v>
      </c>
      <c r="E391" s="5">
        <f>SUM(K399:K403,K393:K397)/D391</f>
        <v>13.110169491525426</v>
      </c>
      <c r="F391" s="5">
        <f t="shared" si="96"/>
        <v>45230.084745762717</v>
      </c>
      <c r="G391" s="5">
        <f>SUM(H392:H403)/D391</f>
        <v>10.199999999999999</v>
      </c>
      <c r="H391" s="5">
        <f>G391*D391</f>
        <v>35190</v>
      </c>
      <c r="I391" s="5">
        <v>0</v>
      </c>
      <c r="J391" s="5">
        <v>0</v>
      </c>
      <c r="K391" s="5">
        <f t="shared" si="103"/>
        <v>80420.084745762724</v>
      </c>
      <c r="L391">
        <f>VLOOKUP($B391,[1]ბიუჯეტი!$B$59:$K$464,3,FALSE)</f>
        <v>4485</v>
      </c>
      <c r="M391" s="53">
        <f t="shared" si="98"/>
        <v>-1035</v>
      </c>
      <c r="N391">
        <f>VLOOKUP($B391,[1]ბიუჯეტი!$B$59:$K$464,4,FALSE)</f>
        <v>13.151238591916561</v>
      </c>
      <c r="O391" s="53">
        <f t="shared" si="99"/>
        <v>-4.1069100391135649E-2</v>
      </c>
      <c r="P391">
        <f>VLOOKUP($B391,[1]ბიუჯეტი!$B$59:$K$464,6,FALSE)</f>
        <v>10.199999999999999</v>
      </c>
      <c r="Q391" s="53">
        <f t="shared" si="100"/>
        <v>0</v>
      </c>
      <c r="R391">
        <f>VLOOKUP($B391,[1]ბიუჯეტი!$B$59:$K$464,8,FALSE)</f>
        <v>0</v>
      </c>
      <c r="S391" s="53">
        <f t="shared" si="101"/>
        <v>0</v>
      </c>
      <c r="T391">
        <f>VLOOKUP($B391,[1]ბიუჯეტი!$B$59:$K$464,10,FALSE)</f>
        <v>104730.30508474578</v>
      </c>
      <c r="U391" s="53">
        <f t="shared" si="102"/>
        <v>-24310.220338983054</v>
      </c>
    </row>
    <row r="392" spans="1:21" hidden="1" outlineLevel="1" x14ac:dyDescent="0.35">
      <c r="A392" s="29">
        <v>0</v>
      </c>
      <c r="B392" s="30" t="s">
        <v>135</v>
      </c>
      <c r="C392" s="8" t="s">
        <v>134</v>
      </c>
      <c r="D392" s="5">
        <v>0</v>
      </c>
      <c r="E392" s="5"/>
      <c r="F392" s="5">
        <f t="shared" si="96"/>
        <v>0</v>
      </c>
      <c r="G392" s="5">
        <f>8*1.275</f>
        <v>10.199999999999999</v>
      </c>
      <c r="H392" s="5">
        <f>D392*G392</f>
        <v>0</v>
      </c>
      <c r="I392" s="5"/>
      <c r="J392" s="5"/>
      <c r="K392" s="5">
        <f t="shared" si="103"/>
        <v>0</v>
      </c>
      <c r="L392">
        <f>VLOOKUP($B392,[1]ბიუჯეტი!$B$59:$K$464,3,FALSE)</f>
        <v>1035</v>
      </c>
      <c r="M392" s="53">
        <f t="shared" si="98"/>
        <v>-1035</v>
      </c>
      <c r="N392">
        <f>VLOOKUP($B392,[1]ბიუჯეტი!$B$59:$K$464,4,FALSE)</f>
        <v>0</v>
      </c>
      <c r="O392" s="53">
        <f t="shared" si="99"/>
        <v>0</v>
      </c>
      <c r="P392">
        <f>VLOOKUP($B392,[1]ბიუჯეტი!$B$59:$K$464,6,FALSE)</f>
        <v>10.199999999999999</v>
      </c>
      <c r="Q392" s="53">
        <f t="shared" si="100"/>
        <v>0</v>
      </c>
      <c r="R392">
        <f>VLOOKUP($B392,[1]ბიუჯეტი!$B$59:$K$464,8,FALSE)</f>
        <v>0</v>
      </c>
      <c r="S392" s="53">
        <f t="shared" si="101"/>
        <v>0</v>
      </c>
      <c r="T392">
        <f>VLOOKUP($B392,[1]ბიუჯეტი!$B$59:$K$464,10,FALSE)</f>
        <v>10557</v>
      </c>
      <c r="U392" s="53">
        <f t="shared" si="102"/>
        <v>-10557</v>
      </c>
    </row>
    <row r="393" spans="1:21" hidden="1" outlineLevel="1" x14ac:dyDescent="0.35">
      <c r="A393" s="29"/>
      <c r="B393" s="7" t="s">
        <v>136</v>
      </c>
      <c r="C393" s="8" t="s">
        <v>40</v>
      </c>
      <c r="D393" s="5">
        <f>D392*3*1.05</f>
        <v>0</v>
      </c>
      <c r="E393" s="5">
        <f>3.1/1.18</f>
        <v>2.6271186440677967</v>
      </c>
      <c r="F393" s="5">
        <f t="shared" si="96"/>
        <v>0</v>
      </c>
      <c r="G393" s="5"/>
      <c r="H393" s="5"/>
      <c r="I393" s="5"/>
      <c r="J393" s="5"/>
      <c r="K393" s="5">
        <f t="shared" si="103"/>
        <v>0</v>
      </c>
      <c r="L393">
        <f>VLOOKUP($B393,[1]ბიუჯეტი!$B$59:$K$464,3,FALSE)</f>
        <v>3260.25</v>
      </c>
      <c r="M393" s="53">
        <f t="shared" si="98"/>
        <v>-3260.25</v>
      </c>
      <c r="N393">
        <f>VLOOKUP($B393,[1]ბიუჯეტი!$B$59:$K$464,4,FALSE)</f>
        <v>2.6271186440677967</v>
      </c>
      <c r="O393" s="53">
        <f t="shared" si="99"/>
        <v>0</v>
      </c>
      <c r="P393">
        <f>VLOOKUP($B393,[1]ბიუჯეტი!$B$59:$K$464,6,FALSE)</f>
        <v>0</v>
      </c>
      <c r="Q393" s="53">
        <f t="shared" si="100"/>
        <v>0</v>
      </c>
      <c r="R393">
        <f>VLOOKUP($B393,[1]ბიუჯეტი!$B$59:$K$464,8,FALSE)</f>
        <v>0</v>
      </c>
      <c r="S393" s="53">
        <f t="shared" si="101"/>
        <v>0</v>
      </c>
      <c r="T393">
        <f>VLOOKUP($B393,[1]ბიუჯეტი!$B$59:$K$464,10,FALSE)</f>
        <v>8565.0635593220341</v>
      </c>
      <c r="U393" s="53">
        <f t="shared" si="102"/>
        <v>-8565.0635593220341</v>
      </c>
    </row>
    <row r="394" spans="1:21" hidden="1" outlineLevel="1" x14ac:dyDescent="0.35">
      <c r="A394" s="29"/>
      <c r="B394" s="7" t="s">
        <v>137</v>
      </c>
      <c r="C394" s="8" t="s">
        <v>40</v>
      </c>
      <c r="D394" s="5">
        <f>D392*0.85*1.05</f>
        <v>0</v>
      </c>
      <c r="E394" s="5">
        <f>2/1.18</f>
        <v>1.6949152542372883</v>
      </c>
      <c r="F394" s="5">
        <f t="shared" si="96"/>
        <v>0</v>
      </c>
      <c r="G394" s="5"/>
      <c r="H394" s="5"/>
      <c r="I394" s="5"/>
      <c r="J394" s="5"/>
      <c r="K394" s="5">
        <f t="shared" si="103"/>
        <v>0</v>
      </c>
      <c r="L394">
        <f>VLOOKUP($B394,[1]ბიუჯეტი!$B$59:$K$464,3,FALSE)</f>
        <v>923.73750000000007</v>
      </c>
      <c r="M394" s="53">
        <f t="shared" si="98"/>
        <v>-923.73750000000007</v>
      </c>
      <c r="N394">
        <f>VLOOKUP($B394,[1]ბიუჯეტი!$B$59:$K$464,4,FALSE)</f>
        <v>1.6949152542372883</v>
      </c>
      <c r="O394" s="53">
        <f t="shared" si="99"/>
        <v>0</v>
      </c>
      <c r="P394">
        <f>VLOOKUP($B394,[1]ბიუჯეტი!$B$59:$K$464,6,FALSE)</f>
        <v>0</v>
      </c>
      <c r="Q394" s="53">
        <f t="shared" si="100"/>
        <v>0</v>
      </c>
      <c r="R394">
        <f>VLOOKUP($B394,[1]ბიუჯეტი!$B$59:$K$464,8,FALSE)</f>
        <v>0</v>
      </c>
      <c r="S394" s="53">
        <f t="shared" si="101"/>
        <v>0</v>
      </c>
      <c r="T394">
        <f>VLOOKUP($B394,[1]ბიუჯეტი!$B$59:$K$464,10,FALSE)</f>
        <v>1565.6567796610173</v>
      </c>
      <c r="U394" s="53">
        <f t="shared" si="102"/>
        <v>-1565.6567796610173</v>
      </c>
    </row>
    <row r="395" spans="1:21" hidden="1" outlineLevel="1" x14ac:dyDescent="0.35">
      <c r="A395" s="29"/>
      <c r="B395" s="7" t="s">
        <v>138</v>
      </c>
      <c r="C395" s="8" t="s">
        <v>40</v>
      </c>
      <c r="D395" s="5">
        <f>D392*1.75*1.05</f>
        <v>0</v>
      </c>
      <c r="E395" s="5">
        <f>1.4/1.18</f>
        <v>1.1864406779661016</v>
      </c>
      <c r="F395" s="5">
        <f t="shared" si="96"/>
        <v>0</v>
      </c>
      <c r="G395" s="5"/>
      <c r="H395" s="5"/>
      <c r="I395" s="5"/>
      <c r="J395" s="5"/>
      <c r="K395" s="5">
        <f t="shared" si="103"/>
        <v>0</v>
      </c>
      <c r="L395">
        <f>VLOOKUP($B395,[1]ბიუჯეტი!$B$59:$K$464,3,FALSE)</f>
        <v>1901.8125</v>
      </c>
      <c r="M395" s="53">
        <f t="shared" si="98"/>
        <v>-1901.8125</v>
      </c>
      <c r="N395">
        <f>VLOOKUP($B395,[1]ბიუჯეტი!$B$59:$K$464,4,FALSE)</f>
        <v>1.1864406779661016</v>
      </c>
      <c r="O395" s="53">
        <f t="shared" si="99"/>
        <v>0</v>
      </c>
      <c r="P395">
        <f>VLOOKUP($B395,[1]ბიუჯეტი!$B$59:$K$464,6,FALSE)</f>
        <v>0</v>
      </c>
      <c r="Q395" s="53">
        <f t="shared" si="100"/>
        <v>0</v>
      </c>
      <c r="R395">
        <f>VLOOKUP($B395,[1]ბიუჯეტი!$B$59:$K$464,8,FALSE)</f>
        <v>0</v>
      </c>
      <c r="S395" s="53">
        <f t="shared" si="101"/>
        <v>0</v>
      </c>
      <c r="T395">
        <f>VLOOKUP($B395,[1]ბიუჯეტი!$B$59:$K$464,10,FALSE)</f>
        <v>2256.3877118644068</v>
      </c>
      <c r="U395" s="53">
        <f t="shared" si="102"/>
        <v>-2256.3877118644068</v>
      </c>
    </row>
    <row r="396" spans="1:21" hidden="1" outlineLevel="1" x14ac:dyDescent="0.35">
      <c r="A396" s="29"/>
      <c r="B396" s="7" t="s">
        <v>139</v>
      </c>
      <c r="C396" s="8" t="s">
        <v>40</v>
      </c>
      <c r="D396" s="5">
        <f>D392*0.65</f>
        <v>0</v>
      </c>
      <c r="E396" s="5">
        <f>1.55/1.18</f>
        <v>1.3135593220338984</v>
      </c>
      <c r="F396" s="5">
        <f t="shared" si="96"/>
        <v>0</v>
      </c>
      <c r="G396" s="5"/>
      <c r="H396" s="5"/>
      <c r="I396" s="5"/>
      <c r="J396" s="5"/>
      <c r="K396" s="5">
        <f t="shared" si="103"/>
        <v>0</v>
      </c>
      <c r="L396">
        <f>VLOOKUP($B396,[1]ბიუჯეტი!$B$59:$K$464,3,FALSE)</f>
        <v>672.75</v>
      </c>
      <c r="M396" s="53">
        <f t="shared" si="98"/>
        <v>-672.75</v>
      </c>
      <c r="N396">
        <f>VLOOKUP($B396,[1]ბიუჯეტი!$B$59:$K$464,4,FALSE)</f>
        <v>1.3135593220338984</v>
      </c>
      <c r="O396" s="53">
        <f t="shared" si="99"/>
        <v>0</v>
      </c>
      <c r="P396">
        <f>VLOOKUP($B396,[1]ბიუჯეტი!$B$59:$K$464,6,FALSE)</f>
        <v>0</v>
      </c>
      <c r="Q396" s="53">
        <f t="shared" si="100"/>
        <v>0</v>
      </c>
      <c r="R396">
        <f>VLOOKUP($B396,[1]ბიუჯეტი!$B$59:$K$464,8,FALSE)</f>
        <v>0</v>
      </c>
      <c r="S396" s="53">
        <f t="shared" si="101"/>
        <v>0</v>
      </c>
      <c r="T396">
        <f>VLOOKUP($B396,[1]ბიუჯეტი!$B$59:$K$464,10,FALSE)</f>
        <v>883.69703389830511</v>
      </c>
      <c r="U396" s="53">
        <f t="shared" si="102"/>
        <v>-883.69703389830511</v>
      </c>
    </row>
    <row r="397" spans="1:21" hidden="1" outlineLevel="1" x14ac:dyDescent="0.35">
      <c r="A397" s="29"/>
      <c r="B397" s="7" t="s">
        <v>14</v>
      </c>
      <c r="C397" s="8" t="s">
        <v>134</v>
      </c>
      <c r="D397" s="5">
        <f>D392</f>
        <v>0</v>
      </c>
      <c r="E397" s="5">
        <f>0.55/1.18</f>
        <v>0.46610169491525427</v>
      </c>
      <c r="F397" s="5">
        <f t="shared" si="96"/>
        <v>0</v>
      </c>
      <c r="G397" s="5"/>
      <c r="H397" s="5"/>
      <c r="I397" s="5"/>
      <c r="J397" s="5"/>
      <c r="K397" s="5">
        <f t="shared" si="103"/>
        <v>0</v>
      </c>
      <c r="L397">
        <f>VLOOKUP($B397,[1]ბიუჯეტი!$B$59:$K$464,3,FALSE)</f>
        <v>0</v>
      </c>
      <c r="M397" s="53">
        <f t="shared" si="98"/>
        <v>0</v>
      </c>
      <c r="N397">
        <f>VLOOKUP($B397,[1]ბიუჯეტი!$B$59:$K$464,4,FALSE)</f>
        <v>0.84745762711864414</v>
      </c>
      <c r="O397" s="53">
        <f t="shared" si="99"/>
        <v>-0.38135593220338987</v>
      </c>
      <c r="P397">
        <f>VLOOKUP($B397,[1]ბიუჯეტი!$B$59:$K$464,6,FALSE)</f>
        <v>0</v>
      </c>
      <c r="Q397" s="53">
        <f t="shared" si="100"/>
        <v>0</v>
      </c>
      <c r="R397">
        <f>VLOOKUP($B397,[1]ბიუჯეტი!$B$59:$K$464,8,FALSE)</f>
        <v>0</v>
      </c>
      <c r="S397" s="53">
        <f t="shared" si="101"/>
        <v>0</v>
      </c>
      <c r="T397">
        <f>VLOOKUP($B397,[1]ბიუჯეტი!$B$59:$K$464,10,FALSE)</f>
        <v>0</v>
      </c>
      <c r="U397" s="53">
        <f t="shared" si="102"/>
        <v>0</v>
      </c>
    </row>
    <row r="398" spans="1:21" hidden="1" outlineLevel="1" x14ac:dyDescent="0.35">
      <c r="A398" s="29">
        <v>1</v>
      </c>
      <c r="B398" s="30" t="s">
        <v>140</v>
      </c>
      <c r="C398" s="8" t="s">
        <v>134</v>
      </c>
      <c r="D398" s="5">
        <f>115*30</f>
        <v>3450</v>
      </c>
      <c r="E398" s="5"/>
      <c r="F398" s="5">
        <f t="shared" si="96"/>
        <v>0</v>
      </c>
      <c r="G398" s="5">
        <f>8*1.275</f>
        <v>10.199999999999999</v>
      </c>
      <c r="H398" s="5">
        <f>G398*D398</f>
        <v>35190</v>
      </c>
      <c r="I398" s="5"/>
      <c r="J398" s="5"/>
      <c r="K398" s="5">
        <f t="shared" si="103"/>
        <v>35190</v>
      </c>
      <c r="L398">
        <f>VLOOKUP($B398,[1]ბიუჯეტი!$B$59:$K$464,3,FALSE)</f>
        <v>3450</v>
      </c>
      <c r="M398" s="53">
        <f t="shared" si="98"/>
        <v>0</v>
      </c>
      <c r="N398">
        <f>VLOOKUP($B398,[1]ბიუჯეტი!$B$59:$K$464,4,FALSE)</f>
        <v>0</v>
      </c>
      <c r="O398" s="53">
        <f t="shared" si="99"/>
        <v>0</v>
      </c>
      <c r="P398">
        <f>VLOOKUP($B398,[1]ბიუჯეტი!$B$59:$K$464,6,FALSE)</f>
        <v>10.199999999999999</v>
      </c>
      <c r="Q398" s="53">
        <f t="shared" si="100"/>
        <v>0</v>
      </c>
      <c r="R398">
        <f>VLOOKUP($B398,[1]ბიუჯეტი!$B$59:$K$464,8,FALSE)</f>
        <v>0</v>
      </c>
      <c r="S398" s="53">
        <f t="shared" si="101"/>
        <v>0</v>
      </c>
      <c r="T398">
        <f>VLOOKUP($B398,[1]ბიუჯეტი!$B$59:$K$464,10,FALSE)</f>
        <v>35190</v>
      </c>
      <c r="U398" s="53">
        <f t="shared" si="102"/>
        <v>0</v>
      </c>
    </row>
    <row r="399" spans="1:21" hidden="1" outlineLevel="1" x14ac:dyDescent="0.35">
      <c r="A399" s="29"/>
      <c r="B399" s="7" t="s">
        <v>136</v>
      </c>
      <c r="C399" s="8" t="s">
        <v>40</v>
      </c>
      <c r="D399" s="5">
        <f>D398*3*1.05</f>
        <v>10867.5</v>
      </c>
      <c r="E399" s="5">
        <f>3.1/1.18</f>
        <v>2.6271186440677967</v>
      </c>
      <c r="F399" s="5">
        <f t="shared" si="96"/>
        <v>28550.211864406781</v>
      </c>
      <c r="G399" s="5"/>
      <c r="H399" s="5"/>
      <c r="I399" s="5"/>
      <c r="J399" s="5"/>
      <c r="K399" s="5">
        <f t="shared" si="103"/>
        <v>28550.211864406781</v>
      </c>
      <c r="L399">
        <f>VLOOKUP($B399,[1]ბიუჯეტი!$B$59:$K$464,3,FALSE)</f>
        <v>3260.25</v>
      </c>
      <c r="M399" s="53">
        <f t="shared" si="98"/>
        <v>7607.25</v>
      </c>
      <c r="N399">
        <f>VLOOKUP($B399,[1]ბიუჯეტი!$B$59:$K$464,4,FALSE)</f>
        <v>2.6271186440677967</v>
      </c>
      <c r="O399" s="53">
        <f t="shared" si="99"/>
        <v>0</v>
      </c>
      <c r="P399">
        <f>VLOOKUP($B399,[1]ბიუჯეტი!$B$59:$K$464,6,FALSE)</f>
        <v>0</v>
      </c>
      <c r="Q399" s="53">
        <f t="shared" si="100"/>
        <v>0</v>
      </c>
      <c r="R399">
        <f>VLOOKUP($B399,[1]ბიუჯეტი!$B$59:$K$464,8,FALSE)</f>
        <v>0</v>
      </c>
      <c r="S399" s="53">
        <f t="shared" si="101"/>
        <v>0</v>
      </c>
      <c r="T399">
        <f>VLOOKUP($B399,[1]ბიუჯეტი!$B$59:$K$464,10,FALSE)</f>
        <v>8565.0635593220341</v>
      </c>
      <c r="U399" s="53">
        <f t="shared" si="102"/>
        <v>19985.148305084746</v>
      </c>
    </row>
    <row r="400" spans="1:21" hidden="1" outlineLevel="1" x14ac:dyDescent="0.35">
      <c r="A400" s="29"/>
      <c r="B400" s="7" t="s">
        <v>137</v>
      </c>
      <c r="C400" s="8" t="s">
        <v>40</v>
      </c>
      <c r="D400" s="5">
        <f>D398*0.75*1.05</f>
        <v>2716.875</v>
      </c>
      <c r="E400" s="5">
        <f>2/1.18</f>
        <v>1.6949152542372883</v>
      </c>
      <c r="F400" s="5">
        <f t="shared" si="96"/>
        <v>4604.8728813559328</v>
      </c>
      <c r="G400" s="5"/>
      <c r="H400" s="5"/>
      <c r="I400" s="5"/>
      <c r="J400" s="5"/>
      <c r="K400" s="5">
        <f t="shared" si="103"/>
        <v>4604.8728813559328</v>
      </c>
      <c r="L400">
        <f>VLOOKUP($B400,[1]ბიუჯეტი!$B$59:$K$464,3,FALSE)</f>
        <v>923.73750000000007</v>
      </c>
      <c r="M400" s="53">
        <f t="shared" si="98"/>
        <v>1793.1374999999998</v>
      </c>
      <c r="N400">
        <f>VLOOKUP($B400,[1]ბიუჯეტი!$B$59:$K$464,4,FALSE)</f>
        <v>1.6949152542372883</v>
      </c>
      <c r="O400" s="53">
        <f t="shared" si="99"/>
        <v>0</v>
      </c>
      <c r="P400">
        <f>VLOOKUP($B400,[1]ბიუჯეტი!$B$59:$K$464,6,FALSE)</f>
        <v>0</v>
      </c>
      <c r="Q400" s="53">
        <f t="shared" si="100"/>
        <v>0</v>
      </c>
      <c r="R400">
        <f>VLOOKUP($B400,[1]ბიუჯეტი!$B$59:$K$464,8,FALSE)</f>
        <v>0</v>
      </c>
      <c r="S400" s="53">
        <f t="shared" si="101"/>
        <v>0</v>
      </c>
      <c r="T400">
        <f>VLOOKUP($B400,[1]ბიუჯეტი!$B$59:$K$464,10,FALSE)</f>
        <v>1565.6567796610173</v>
      </c>
      <c r="U400" s="53">
        <f t="shared" si="102"/>
        <v>3039.2161016949158</v>
      </c>
    </row>
    <row r="401" spans="1:21" hidden="1" outlineLevel="1" x14ac:dyDescent="0.35">
      <c r="A401" s="29"/>
      <c r="B401" s="7" t="s">
        <v>138</v>
      </c>
      <c r="C401" s="8" t="s">
        <v>40</v>
      </c>
      <c r="D401" s="5">
        <f>D398*1.75*1.05</f>
        <v>6339.375</v>
      </c>
      <c r="E401" s="5">
        <f>1.4/1.18</f>
        <v>1.1864406779661016</v>
      </c>
      <c r="F401" s="5">
        <f t="shared" si="96"/>
        <v>7521.2923728813557</v>
      </c>
      <c r="G401" s="5"/>
      <c r="H401" s="5"/>
      <c r="I401" s="5"/>
      <c r="J401" s="5"/>
      <c r="K401" s="5">
        <f t="shared" si="103"/>
        <v>7521.2923728813557</v>
      </c>
      <c r="L401">
        <f>VLOOKUP($B401,[1]ბიუჯეტი!$B$59:$K$464,3,FALSE)</f>
        <v>1901.8125</v>
      </c>
      <c r="M401" s="53">
        <f t="shared" si="98"/>
        <v>4437.5625</v>
      </c>
      <c r="N401">
        <f>VLOOKUP($B401,[1]ბიუჯეტი!$B$59:$K$464,4,FALSE)</f>
        <v>1.1864406779661016</v>
      </c>
      <c r="O401" s="53">
        <f t="shared" si="99"/>
        <v>0</v>
      </c>
      <c r="P401">
        <f>VLOOKUP($B401,[1]ბიუჯეტი!$B$59:$K$464,6,FALSE)</f>
        <v>0</v>
      </c>
      <c r="Q401" s="53">
        <f t="shared" si="100"/>
        <v>0</v>
      </c>
      <c r="R401">
        <f>VLOOKUP($B401,[1]ბიუჯეტი!$B$59:$K$464,8,FALSE)</f>
        <v>0</v>
      </c>
      <c r="S401" s="53">
        <f t="shared" si="101"/>
        <v>0</v>
      </c>
      <c r="T401">
        <f>VLOOKUP($B401,[1]ბიუჯეტი!$B$59:$K$464,10,FALSE)</f>
        <v>2256.3877118644068</v>
      </c>
      <c r="U401" s="53">
        <f t="shared" si="102"/>
        <v>5264.9046610169489</v>
      </c>
    </row>
    <row r="402" spans="1:21" hidden="1" outlineLevel="1" x14ac:dyDescent="0.35">
      <c r="A402" s="29"/>
      <c r="B402" s="7" t="s">
        <v>139</v>
      </c>
      <c r="C402" s="8" t="s">
        <v>40</v>
      </c>
      <c r="D402" s="5">
        <f>D398*0.65</f>
        <v>2242.5</v>
      </c>
      <c r="E402" s="5">
        <f>1.55/1.18</f>
        <v>1.3135593220338984</v>
      </c>
      <c r="F402" s="5">
        <f t="shared" si="96"/>
        <v>2945.656779661017</v>
      </c>
      <c r="G402" s="5"/>
      <c r="H402" s="5"/>
      <c r="I402" s="5"/>
      <c r="J402" s="5"/>
      <c r="K402" s="5">
        <f t="shared" si="103"/>
        <v>2945.656779661017</v>
      </c>
      <c r="L402">
        <f>VLOOKUP($B402,[1]ბიუჯეტი!$B$59:$K$464,3,FALSE)</f>
        <v>672.75</v>
      </c>
      <c r="M402" s="53">
        <f t="shared" si="98"/>
        <v>1569.75</v>
      </c>
      <c r="N402">
        <f>VLOOKUP($B402,[1]ბიუჯეტი!$B$59:$K$464,4,FALSE)</f>
        <v>1.3135593220338984</v>
      </c>
      <c r="O402" s="53">
        <f t="shared" si="99"/>
        <v>0</v>
      </c>
      <c r="P402">
        <f>VLOOKUP($B402,[1]ბიუჯეტი!$B$59:$K$464,6,FALSE)</f>
        <v>0</v>
      </c>
      <c r="Q402" s="53">
        <f t="shared" si="100"/>
        <v>0</v>
      </c>
      <c r="R402">
        <f>VLOOKUP($B402,[1]ბიუჯეტი!$B$59:$K$464,8,FALSE)</f>
        <v>0</v>
      </c>
      <c r="S402" s="53">
        <f t="shared" si="101"/>
        <v>0</v>
      </c>
      <c r="T402">
        <f>VLOOKUP($B402,[1]ბიუჯეტი!$B$59:$K$464,10,FALSE)</f>
        <v>883.69703389830511</v>
      </c>
      <c r="U402" s="53">
        <f t="shared" si="102"/>
        <v>2061.9597457627119</v>
      </c>
    </row>
    <row r="403" spans="1:21" hidden="1" outlineLevel="1" x14ac:dyDescent="0.35">
      <c r="A403" s="29"/>
      <c r="B403" s="7" t="s">
        <v>14</v>
      </c>
      <c r="C403" s="8" t="s">
        <v>134</v>
      </c>
      <c r="D403" s="5">
        <f>D398</f>
        <v>3450</v>
      </c>
      <c r="E403" s="5">
        <f>0.55/1.18</f>
        <v>0.46610169491525427</v>
      </c>
      <c r="F403" s="5">
        <f t="shared" si="96"/>
        <v>1608.0508474576272</v>
      </c>
      <c r="G403" s="5"/>
      <c r="H403" s="5"/>
      <c r="I403" s="5"/>
      <c r="J403" s="5"/>
      <c r="K403" s="5">
        <f t="shared" si="103"/>
        <v>1608.0508474576272</v>
      </c>
      <c r="L403">
        <f>VLOOKUP($B403,[1]ბიუჯეტი!$B$59:$K$464,3,FALSE)</f>
        <v>0</v>
      </c>
      <c r="M403" s="53">
        <f t="shared" si="98"/>
        <v>3450</v>
      </c>
      <c r="N403">
        <f>VLOOKUP($B403,[1]ბიუჯეტი!$B$59:$K$464,4,FALSE)</f>
        <v>0.84745762711864414</v>
      </c>
      <c r="O403" s="53">
        <f t="shared" si="99"/>
        <v>-0.38135593220338987</v>
      </c>
      <c r="P403">
        <f>VLOOKUP($B403,[1]ბიუჯეტი!$B$59:$K$464,6,FALSE)</f>
        <v>0</v>
      </c>
      <c r="Q403" s="53">
        <f t="shared" si="100"/>
        <v>0</v>
      </c>
      <c r="R403">
        <f>VLOOKUP($B403,[1]ბიუჯეტი!$B$59:$K$464,8,FALSE)</f>
        <v>0</v>
      </c>
      <c r="S403" s="53">
        <f t="shared" si="101"/>
        <v>0</v>
      </c>
      <c r="T403">
        <f>VLOOKUP($B403,[1]ბიუჯეტი!$B$59:$K$464,10,FALSE)</f>
        <v>0</v>
      </c>
      <c r="U403" s="53">
        <f t="shared" si="102"/>
        <v>1608.0508474576272</v>
      </c>
    </row>
    <row r="404" spans="1:21" collapsed="1" x14ac:dyDescent="0.35">
      <c r="A404" s="29">
        <v>53</v>
      </c>
      <c r="B404" s="30" t="s">
        <v>141</v>
      </c>
      <c r="C404" s="8" t="s">
        <v>55</v>
      </c>
      <c r="D404" s="5">
        <f>SUM(D405,D407)</f>
        <v>32</v>
      </c>
      <c r="E404" s="5">
        <f>SUM(K406,K408)/D404</f>
        <v>21.186440677966104</v>
      </c>
      <c r="F404" s="5">
        <f t="shared" si="96"/>
        <v>677.96610169491532</v>
      </c>
      <c r="G404" s="5">
        <f>8*1.275</f>
        <v>10.199999999999999</v>
      </c>
      <c r="H404" s="5">
        <f>G404*D404</f>
        <v>326.39999999999998</v>
      </c>
      <c r="I404" s="5">
        <v>0</v>
      </c>
      <c r="J404" s="5">
        <v>0</v>
      </c>
      <c r="K404" s="5">
        <f t="shared" si="103"/>
        <v>1004.3661016949153</v>
      </c>
      <c r="L404">
        <f>VLOOKUP($B404,[1]ბიუჯეტი!$B$59:$K$464,3,FALSE)</f>
        <v>48</v>
      </c>
      <c r="M404" s="53">
        <f t="shared" si="98"/>
        <v>-16</v>
      </c>
      <c r="N404">
        <f>VLOOKUP($B404,[1]ბიუჯეტი!$B$59:$K$464,4,FALSE)</f>
        <v>21.186440677966104</v>
      </c>
      <c r="O404" s="53">
        <f t="shared" si="99"/>
        <v>0</v>
      </c>
      <c r="P404">
        <f>VLOOKUP($B404,[1]ბიუჯეტი!$B$59:$K$464,6,FALSE)</f>
        <v>10.199999999999999</v>
      </c>
      <c r="Q404" s="53">
        <f t="shared" si="100"/>
        <v>0</v>
      </c>
      <c r="R404">
        <f>VLOOKUP($B404,[1]ბიუჯეტი!$B$59:$K$464,8,FALSE)</f>
        <v>0</v>
      </c>
      <c r="S404" s="53">
        <f t="shared" si="101"/>
        <v>0</v>
      </c>
      <c r="T404">
        <f>VLOOKUP($B404,[1]ბიუჯეტი!$B$59:$K$464,10,FALSE)</f>
        <v>1506.5491525423729</v>
      </c>
      <c r="U404" s="53">
        <f t="shared" si="102"/>
        <v>-502.18305084745759</v>
      </c>
    </row>
    <row r="405" spans="1:21" hidden="1" outlineLevel="1" x14ac:dyDescent="0.35">
      <c r="A405" s="29">
        <v>1</v>
      </c>
      <c r="B405" s="30" t="s">
        <v>142</v>
      </c>
      <c r="C405" s="8" t="s">
        <v>55</v>
      </c>
      <c r="D405" s="5">
        <v>0</v>
      </c>
      <c r="E405" s="5"/>
      <c r="F405" s="5">
        <f t="shared" si="96"/>
        <v>0</v>
      </c>
      <c r="G405" s="5">
        <f>8*1.275</f>
        <v>10.199999999999999</v>
      </c>
      <c r="H405" s="5">
        <f>G405*D405</f>
        <v>0</v>
      </c>
      <c r="I405" s="5"/>
      <c r="J405" s="5"/>
      <c r="K405" s="5">
        <f t="shared" si="103"/>
        <v>0</v>
      </c>
      <c r="L405">
        <f>VLOOKUP($B405,[1]ბიუჯეტი!$B$59:$K$464,3,FALSE)</f>
        <v>16</v>
      </c>
      <c r="M405" s="53">
        <f t="shared" si="98"/>
        <v>-16</v>
      </c>
      <c r="N405">
        <f>VLOOKUP($B405,[1]ბიუჯეტი!$B$59:$K$464,4,FALSE)</f>
        <v>0</v>
      </c>
      <c r="O405" s="53">
        <f t="shared" si="99"/>
        <v>0</v>
      </c>
      <c r="P405">
        <f>VLOOKUP($B405,[1]ბიუჯეტი!$B$59:$K$464,6,FALSE)</f>
        <v>10.199999999999999</v>
      </c>
      <c r="Q405" s="53">
        <f t="shared" si="100"/>
        <v>0</v>
      </c>
      <c r="R405">
        <f>VLOOKUP($B405,[1]ბიუჯეტი!$B$59:$K$464,8,FALSE)</f>
        <v>0</v>
      </c>
      <c r="S405" s="53">
        <f t="shared" si="101"/>
        <v>0</v>
      </c>
      <c r="T405">
        <f>VLOOKUP($B405,[1]ბიუჯეტი!$B$59:$K$464,10,FALSE)</f>
        <v>163.19999999999999</v>
      </c>
      <c r="U405" s="53">
        <f t="shared" si="102"/>
        <v>-163.19999999999999</v>
      </c>
    </row>
    <row r="406" spans="1:21" hidden="1" outlineLevel="1" x14ac:dyDescent="0.35">
      <c r="A406" s="29"/>
      <c r="B406" s="7" t="s">
        <v>143</v>
      </c>
      <c r="C406" s="8" t="s">
        <v>55</v>
      </c>
      <c r="D406" s="5">
        <f>D405</f>
        <v>0</v>
      </c>
      <c r="E406" s="5">
        <f>25/1.18</f>
        <v>21.186440677966104</v>
      </c>
      <c r="F406" s="5">
        <f t="shared" si="96"/>
        <v>0</v>
      </c>
      <c r="G406" s="5"/>
      <c r="H406" s="5"/>
      <c r="I406" s="5"/>
      <c r="J406" s="5"/>
      <c r="K406" s="5">
        <f t="shared" si="103"/>
        <v>0</v>
      </c>
      <c r="L406">
        <f>VLOOKUP($B406,[1]ბიუჯეტი!$B$59:$K$464,3,FALSE)</f>
        <v>16</v>
      </c>
      <c r="M406" s="53">
        <f t="shared" si="98"/>
        <v>-16</v>
      </c>
      <c r="N406">
        <f>VLOOKUP($B406,[1]ბიუჯეტი!$B$59:$K$464,4,FALSE)</f>
        <v>21.186440677966104</v>
      </c>
      <c r="O406" s="53">
        <f t="shared" si="99"/>
        <v>0</v>
      </c>
      <c r="P406">
        <f>VLOOKUP($B406,[1]ბიუჯეტი!$B$59:$K$464,6,FALSE)</f>
        <v>0</v>
      </c>
      <c r="Q406" s="53">
        <f t="shared" si="100"/>
        <v>0</v>
      </c>
      <c r="R406">
        <f>VLOOKUP($B406,[1]ბიუჯეტი!$B$59:$K$464,8,FALSE)</f>
        <v>0</v>
      </c>
      <c r="S406" s="53">
        <f t="shared" si="101"/>
        <v>0</v>
      </c>
      <c r="T406">
        <f>VLOOKUP($B406,[1]ბიუჯეტი!$B$59:$K$464,10,FALSE)</f>
        <v>338.98305084745766</v>
      </c>
      <c r="U406" s="53">
        <f t="shared" si="102"/>
        <v>-338.98305084745766</v>
      </c>
    </row>
    <row r="407" spans="1:21" hidden="1" outlineLevel="1" x14ac:dyDescent="0.35">
      <c r="A407" s="29">
        <v>2</v>
      </c>
      <c r="B407" s="30" t="s">
        <v>144</v>
      </c>
      <c r="C407" s="8" t="s">
        <v>55</v>
      </c>
      <c r="D407" s="5">
        <v>32</v>
      </c>
      <c r="E407" s="5"/>
      <c r="F407" s="5">
        <f t="shared" si="96"/>
        <v>0</v>
      </c>
      <c r="G407" s="5">
        <f>8*1.275</f>
        <v>10.199999999999999</v>
      </c>
      <c r="H407" s="5">
        <f>G407*D407</f>
        <v>326.39999999999998</v>
      </c>
      <c r="I407" s="5"/>
      <c r="J407" s="5"/>
      <c r="K407" s="5">
        <f t="shared" si="103"/>
        <v>326.39999999999998</v>
      </c>
      <c r="L407">
        <f>VLOOKUP($B407,[1]ბიუჯეტი!$B$59:$K$464,3,FALSE)</f>
        <v>32</v>
      </c>
      <c r="M407" s="53">
        <f t="shared" si="98"/>
        <v>0</v>
      </c>
      <c r="N407">
        <f>VLOOKUP($B407,[1]ბიუჯეტი!$B$59:$K$464,4,FALSE)</f>
        <v>0</v>
      </c>
      <c r="O407" s="53">
        <f t="shared" si="99"/>
        <v>0</v>
      </c>
      <c r="P407">
        <f>VLOOKUP($B407,[1]ბიუჯეტი!$B$59:$K$464,6,FALSE)</f>
        <v>10.199999999999999</v>
      </c>
      <c r="Q407" s="53">
        <f t="shared" si="100"/>
        <v>0</v>
      </c>
      <c r="R407">
        <f>VLOOKUP($B407,[1]ბიუჯეტი!$B$59:$K$464,8,FALSE)</f>
        <v>0</v>
      </c>
      <c r="S407" s="53">
        <f t="shared" si="101"/>
        <v>0</v>
      </c>
      <c r="T407">
        <f>VLOOKUP($B407,[1]ბიუჯეტი!$B$59:$K$464,10,FALSE)</f>
        <v>326.39999999999998</v>
      </c>
      <c r="U407" s="53">
        <f t="shared" si="102"/>
        <v>0</v>
      </c>
    </row>
    <row r="408" spans="1:21" hidden="1" outlineLevel="1" x14ac:dyDescent="0.35">
      <c r="A408" s="29"/>
      <c r="B408" s="7" t="s">
        <v>143</v>
      </c>
      <c r="C408" s="8" t="s">
        <v>55</v>
      </c>
      <c r="D408" s="5">
        <f>D407</f>
        <v>32</v>
      </c>
      <c r="E408" s="5">
        <f>25/1.18</f>
        <v>21.186440677966104</v>
      </c>
      <c r="F408" s="5">
        <f t="shared" si="96"/>
        <v>677.96610169491532</v>
      </c>
      <c r="G408" s="5"/>
      <c r="H408" s="5"/>
      <c r="I408" s="5"/>
      <c r="J408" s="5"/>
      <c r="K408" s="5">
        <f t="shared" si="103"/>
        <v>677.96610169491532</v>
      </c>
      <c r="L408">
        <f>VLOOKUP($B408,[1]ბიუჯეტი!$B$59:$K$464,3,FALSE)</f>
        <v>16</v>
      </c>
      <c r="M408" s="53">
        <f t="shared" si="98"/>
        <v>16</v>
      </c>
      <c r="N408">
        <f>VLOOKUP($B408,[1]ბიუჯეტი!$B$59:$K$464,4,FALSE)</f>
        <v>21.186440677966104</v>
      </c>
      <c r="O408" s="53">
        <f t="shared" si="99"/>
        <v>0</v>
      </c>
      <c r="P408">
        <f>VLOOKUP($B408,[1]ბიუჯეტი!$B$59:$K$464,6,FALSE)</f>
        <v>0</v>
      </c>
      <c r="Q408" s="53">
        <f t="shared" si="100"/>
        <v>0</v>
      </c>
      <c r="R408">
        <f>VLOOKUP($B408,[1]ბიუჯეტი!$B$59:$K$464,8,FALSE)</f>
        <v>0</v>
      </c>
      <c r="S408" s="53">
        <f t="shared" si="101"/>
        <v>0</v>
      </c>
      <c r="T408">
        <f>VLOOKUP($B408,[1]ბიუჯეტი!$B$59:$K$464,10,FALSE)</f>
        <v>338.98305084745766</v>
      </c>
      <c r="U408" s="53">
        <f t="shared" si="102"/>
        <v>338.98305084745766</v>
      </c>
    </row>
    <row r="409" spans="1:21" collapsed="1" x14ac:dyDescent="0.35">
      <c r="A409" s="55">
        <v>54</v>
      </c>
      <c r="B409" s="56" t="s">
        <v>145</v>
      </c>
      <c r="C409" s="57" t="s">
        <v>55</v>
      </c>
      <c r="D409" s="58">
        <f>D413+D415</f>
        <v>42</v>
      </c>
      <c r="E409" s="58">
        <f>SUM(F410:F414)/D409</f>
        <v>14.124293785310735</v>
      </c>
      <c r="F409" s="58">
        <f t="shared" si="96"/>
        <v>593.22033898305085</v>
      </c>
      <c r="G409" s="58">
        <f>25*1.275</f>
        <v>31.874999999999996</v>
      </c>
      <c r="H409" s="58">
        <f>G409*D409</f>
        <v>1338.7499999999998</v>
      </c>
      <c r="I409" s="58">
        <v>0</v>
      </c>
      <c r="J409" s="58">
        <v>0</v>
      </c>
      <c r="K409" s="58">
        <f t="shared" si="103"/>
        <v>1931.9703389830506</v>
      </c>
      <c r="L409">
        <f>VLOOKUP($B409,[1]ბიუჯეტი!$B$59:$K$464,3,FALSE)</f>
        <v>40</v>
      </c>
      <c r="M409" s="53">
        <f t="shared" si="98"/>
        <v>2</v>
      </c>
      <c r="N409">
        <f>VLOOKUP($B409,[1]ბიუჯეტი!$B$59:$K$464,4,FALSE)</f>
        <v>13.771186440677969</v>
      </c>
      <c r="O409" s="53">
        <f t="shared" si="99"/>
        <v>0.35310734463276638</v>
      </c>
      <c r="P409">
        <f>VLOOKUP($B409,[1]ბიუჯეტი!$B$59:$K$464,6,FALSE)</f>
        <v>19.125</v>
      </c>
      <c r="Q409" s="53">
        <f t="shared" si="100"/>
        <v>12.749999999999996</v>
      </c>
      <c r="R409">
        <f>VLOOKUP($B409,[1]ბიუჯეტი!$B$59:$K$464,8,FALSE)</f>
        <v>0</v>
      </c>
      <c r="S409" s="53">
        <f t="shared" si="101"/>
        <v>0</v>
      </c>
      <c r="T409">
        <f>VLOOKUP($B409,[1]ბიუჯეტი!$B$59:$K$464,10,FALSE)</f>
        <v>1315.8474576271187</v>
      </c>
      <c r="U409" s="53">
        <f t="shared" si="102"/>
        <v>616.1228813559319</v>
      </c>
    </row>
    <row r="410" spans="1:21" hidden="1" outlineLevel="1" x14ac:dyDescent="0.35">
      <c r="A410" s="29">
        <v>2</v>
      </c>
      <c r="B410" s="30" t="s">
        <v>146</v>
      </c>
      <c r="C410" s="8" t="s">
        <v>55</v>
      </c>
      <c r="D410" s="5">
        <v>0</v>
      </c>
      <c r="E410" s="5"/>
      <c r="F410" s="5">
        <f t="shared" si="96"/>
        <v>0</v>
      </c>
      <c r="G410" s="58">
        <f>25*1.275</f>
        <v>31.874999999999996</v>
      </c>
      <c r="H410" s="5">
        <f>G410*D410</f>
        <v>0</v>
      </c>
      <c r="I410" s="5"/>
      <c r="J410" s="5"/>
      <c r="K410" s="5">
        <f t="shared" si="103"/>
        <v>0</v>
      </c>
      <c r="L410">
        <f>VLOOKUP($B410,[1]ბიუჯეტი!$B$59:$K$464,3,FALSE)</f>
        <v>0</v>
      </c>
      <c r="M410" s="53">
        <f t="shared" si="98"/>
        <v>0</v>
      </c>
      <c r="N410">
        <f>VLOOKUP($B410,[1]ბიუჯეტი!$B$59:$K$464,4,FALSE)</f>
        <v>0</v>
      </c>
      <c r="O410" s="53">
        <f t="shared" si="99"/>
        <v>0</v>
      </c>
      <c r="P410">
        <f>VLOOKUP($B410,[1]ბიუჯეტი!$B$59:$K$464,6,FALSE)</f>
        <v>19.125</v>
      </c>
      <c r="Q410" s="53">
        <f t="shared" si="100"/>
        <v>12.749999999999996</v>
      </c>
      <c r="R410">
        <f>VLOOKUP($B410,[1]ბიუჯეტი!$B$59:$K$464,8,FALSE)</f>
        <v>0</v>
      </c>
      <c r="S410" s="53">
        <f t="shared" si="101"/>
        <v>0</v>
      </c>
      <c r="T410">
        <f>VLOOKUP($B410,[1]ბიუჯეტი!$B$59:$K$464,10,FALSE)</f>
        <v>0</v>
      </c>
      <c r="U410" s="53">
        <f t="shared" si="102"/>
        <v>0</v>
      </c>
    </row>
    <row r="411" spans="1:21" hidden="1" outlineLevel="1" x14ac:dyDescent="0.35">
      <c r="A411" s="29"/>
      <c r="B411" s="7" t="s">
        <v>143</v>
      </c>
      <c r="C411" s="8" t="s">
        <v>55</v>
      </c>
      <c r="D411" s="5">
        <v>0</v>
      </c>
      <c r="E411" s="5">
        <f>70/1.18</f>
        <v>59.322033898305087</v>
      </c>
      <c r="F411" s="5">
        <f t="shared" si="96"/>
        <v>0</v>
      </c>
      <c r="G411" s="5"/>
      <c r="H411" s="5">
        <f>D411*G411</f>
        <v>0</v>
      </c>
      <c r="I411" s="5"/>
      <c r="J411" s="5"/>
      <c r="K411" s="5">
        <f t="shared" si="103"/>
        <v>0</v>
      </c>
      <c r="L411">
        <f>VLOOKUP($B411,[1]ბიუჯეტი!$B$59:$K$464,3,FALSE)</f>
        <v>16</v>
      </c>
      <c r="M411" s="53">
        <f t="shared" si="98"/>
        <v>-16</v>
      </c>
      <c r="N411">
        <f>VLOOKUP($B411,[1]ბიუჯეტი!$B$59:$K$464,4,FALSE)</f>
        <v>21.186440677966104</v>
      </c>
      <c r="O411" s="53">
        <f t="shared" si="99"/>
        <v>38.135593220338983</v>
      </c>
      <c r="P411">
        <f>VLOOKUP($B411,[1]ბიუჯეტი!$B$59:$K$464,6,FALSE)</f>
        <v>0</v>
      </c>
      <c r="Q411" s="53">
        <f t="shared" si="100"/>
        <v>0</v>
      </c>
      <c r="R411">
        <f>VLOOKUP($B411,[1]ბიუჯეტი!$B$59:$K$464,8,FALSE)</f>
        <v>0</v>
      </c>
      <c r="S411" s="53">
        <f t="shared" si="101"/>
        <v>0</v>
      </c>
      <c r="T411">
        <f>VLOOKUP($B411,[1]ბიუჯეტი!$B$59:$K$464,10,FALSE)</f>
        <v>338.98305084745766</v>
      </c>
      <c r="U411" s="53">
        <f t="shared" si="102"/>
        <v>-338.98305084745766</v>
      </c>
    </row>
    <row r="412" spans="1:21" hidden="1" outlineLevel="1" x14ac:dyDescent="0.35">
      <c r="A412" s="29">
        <v>3</v>
      </c>
      <c r="B412" s="30" t="s">
        <v>142</v>
      </c>
      <c r="C412" s="8" t="s">
        <v>55</v>
      </c>
      <c r="D412" s="5">
        <f>D413</f>
        <v>10</v>
      </c>
      <c r="E412" s="5"/>
      <c r="F412" s="5">
        <f t="shared" si="96"/>
        <v>0</v>
      </c>
      <c r="G412" s="58">
        <f>25*1.275</f>
        <v>31.874999999999996</v>
      </c>
      <c r="H412" s="5">
        <f>G412*D412</f>
        <v>318.74999999999994</v>
      </c>
      <c r="I412" s="5"/>
      <c r="J412" s="5"/>
      <c r="K412" s="5">
        <f t="shared" si="103"/>
        <v>318.74999999999994</v>
      </c>
      <c r="L412">
        <f>VLOOKUP($B412,[1]ბიუჯეტი!$B$59:$K$464,3,FALSE)</f>
        <v>16</v>
      </c>
      <c r="M412" s="53">
        <f t="shared" si="98"/>
        <v>-6</v>
      </c>
      <c r="N412">
        <f>VLOOKUP($B412,[1]ბიუჯეტი!$B$59:$K$464,4,FALSE)</f>
        <v>0</v>
      </c>
      <c r="O412" s="53">
        <f t="shared" si="99"/>
        <v>0</v>
      </c>
      <c r="P412">
        <f>VLOOKUP($B412,[1]ბიუჯეტი!$B$59:$K$464,6,FALSE)</f>
        <v>10.199999999999999</v>
      </c>
      <c r="Q412" s="53">
        <f t="shared" si="100"/>
        <v>21.674999999999997</v>
      </c>
      <c r="R412">
        <f>VLOOKUP($B412,[1]ბიუჯეტი!$B$59:$K$464,8,FALSE)</f>
        <v>0</v>
      </c>
      <c r="S412" s="53">
        <f t="shared" si="101"/>
        <v>0</v>
      </c>
      <c r="T412">
        <f>VLOOKUP($B412,[1]ბიუჯეტი!$B$59:$K$464,10,FALSE)</f>
        <v>163.19999999999999</v>
      </c>
      <c r="U412" s="53">
        <f t="shared" si="102"/>
        <v>155.54999999999995</v>
      </c>
    </row>
    <row r="413" spans="1:21" hidden="1" outlineLevel="1" x14ac:dyDescent="0.35">
      <c r="A413" s="29"/>
      <c r="B413" s="7" t="s">
        <v>143</v>
      </c>
      <c r="C413" s="8" t="s">
        <v>55</v>
      </c>
      <c r="D413" s="5">
        <v>10</v>
      </c>
      <c r="E413" s="5">
        <f>70/1.18</f>
        <v>59.322033898305087</v>
      </c>
      <c r="F413" s="5">
        <f t="shared" si="96"/>
        <v>593.22033898305085</v>
      </c>
      <c r="G413" s="5"/>
      <c r="H413" s="5">
        <f>D413*G413</f>
        <v>0</v>
      </c>
      <c r="I413" s="5"/>
      <c r="J413" s="5"/>
      <c r="K413" s="5">
        <f t="shared" si="103"/>
        <v>593.22033898305085</v>
      </c>
      <c r="L413">
        <f>VLOOKUP($B413,[1]ბიუჯეტი!$B$59:$K$464,3,FALSE)</f>
        <v>16</v>
      </c>
      <c r="M413" s="53">
        <f t="shared" si="98"/>
        <v>-6</v>
      </c>
      <c r="N413">
        <f>VLOOKUP($B413,[1]ბიუჯეტი!$B$59:$K$464,4,FALSE)</f>
        <v>21.186440677966104</v>
      </c>
      <c r="O413" s="53">
        <f t="shared" si="99"/>
        <v>38.135593220338983</v>
      </c>
      <c r="P413">
        <f>VLOOKUP($B413,[1]ბიუჯეტი!$B$59:$K$464,6,FALSE)</f>
        <v>0</v>
      </c>
      <c r="Q413" s="53">
        <f t="shared" si="100"/>
        <v>0</v>
      </c>
      <c r="R413">
        <f>VLOOKUP($B413,[1]ბიუჯეტი!$B$59:$K$464,8,FALSE)</f>
        <v>0</v>
      </c>
      <c r="S413" s="53">
        <f t="shared" si="101"/>
        <v>0</v>
      </c>
      <c r="T413">
        <f>VLOOKUP($B413,[1]ბიუჯეტი!$B$59:$K$464,10,FALSE)</f>
        <v>338.98305084745766</v>
      </c>
      <c r="U413" s="53">
        <f t="shared" si="102"/>
        <v>254.23728813559319</v>
      </c>
    </row>
    <row r="414" spans="1:21" hidden="1" outlineLevel="1" x14ac:dyDescent="0.35">
      <c r="A414" s="29">
        <v>4</v>
      </c>
      <c r="B414" s="30" t="s">
        <v>296</v>
      </c>
      <c r="C414" s="8" t="s">
        <v>55</v>
      </c>
      <c r="D414" s="5">
        <v>32</v>
      </c>
      <c r="E414" s="5"/>
      <c r="F414" s="5">
        <f t="shared" si="96"/>
        <v>0</v>
      </c>
      <c r="G414" s="58">
        <f>25*1.275</f>
        <v>31.874999999999996</v>
      </c>
      <c r="H414" s="5">
        <f>G414*D414</f>
        <v>1019.9999999999999</v>
      </c>
      <c r="I414" s="5"/>
      <c r="J414" s="5"/>
      <c r="K414" s="5">
        <f t="shared" si="103"/>
        <v>1019.9999999999999</v>
      </c>
      <c r="L414" t="e">
        <f>VLOOKUP($B414,[1]ბიუჯეტი!$B$59:$K$464,3,FALSE)</f>
        <v>#N/A</v>
      </c>
      <c r="M414" s="53" t="e">
        <f t="shared" si="98"/>
        <v>#N/A</v>
      </c>
      <c r="N414" t="e">
        <f>VLOOKUP($B414,[1]ბიუჯეტი!$B$59:$K$464,4,FALSE)</f>
        <v>#N/A</v>
      </c>
      <c r="O414" s="53" t="e">
        <f t="shared" si="99"/>
        <v>#N/A</v>
      </c>
      <c r="P414" t="e">
        <f>VLOOKUP($B414,[1]ბიუჯეტი!$B$59:$K$464,6,FALSE)</f>
        <v>#N/A</v>
      </c>
      <c r="Q414" s="53" t="e">
        <f t="shared" si="100"/>
        <v>#N/A</v>
      </c>
      <c r="R414" t="e">
        <f>VLOOKUP($B414,[1]ბიუჯეტი!$B$59:$K$464,8,FALSE)</f>
        <v>#N/A</v>
      </c>
      <c r="S414" s="53" t="e">
        <f t="shared" si="101"/>
        <v>#N/A</v>
      </c>
      <c r="T414" t="e">
        <f>VLOOKUP($B414,[1]ბიუჯეტი!$B$59:$K$464,10,FALSE)</f>
        <v>#N/A</v>
      </c>
      <c r="U414" s="53" t="e">
        <f t="shared" si="102"/>
        <v>#N/A</v>
      </c>
    </row>
    <row r="415" spans="1:21" hidden="1" outlineLevel="1" x14ac:dyDescent="0.35">
      <c r="A415" s="29"/>
      <c r="B415" s="7" t="s">
        <v>143</v>
      </c>
      <c r="C415" s="8" t="s">
        <v>55</v>
      </c>
      <c r="D415" s="5">
        <f>D414</f>
        <v>32</v>
      </c>
      <c r="E415" s="5">
        <f>70/1.18</f>
        <v>59.322033898305087</v>
      </c>
      <c r="F415" s="5">
        <f t="shared" si="96"/>
        <v>1898.3050847457628</v>
      </c>
      <c r="G415" s="5"/>
      <c r="H415" s="5">
        <f>D415*G415</f>
        <v>0</v>
      </c>
      <c r="I415" s="5"/>
      <c r="J415" s="5"/>
      <c r="K415" s="5">
        <f t="shared" si="103"/>
        <v>1898.3050847457628</v>
      </c>
      <c r="L415">
        <f>VLOOKUP($B415,[1]ბიუჯეტი!$B$59:$K$464,3,FALSE)</f>
        <v>16</v>
      </c>
      <c r="M415" s="53">
        <f t="shared" si="98"/>
        <v>16</v>
      </c>
      <c r="N415">
        <f>VLOOKUP($B415,[1]ბიუჯეტი!$B$59:$K$464,4,FALSE)</f>
        <v>21.186440677966104</v>
      </c>
      <c r="O415" s="53">
        <f t="shared" si="99"/>
        <v>38.135593220338983</v>
      </c>
      <c r="P415">
        <f>VLOOKUP($B415,[1]ბიუჯეტი!$B$59:$K$464,6,FALSE)</f>
        <v>0</v>
      </c>
      <c r="Q415" s="53">
        <f t="shared" si="100"/>
        <v>0</v>
      </c>
      <c r="R415">
        <f>VLOOKUP($B415,[1]ბიუჯეტი!$B$59:$K$464,8,FALSE)</f>
        <v>0</v>
      </c>
      <c r="S415" s="53">
        <f t="shared" si="101"/>
        <v>0</v>
      </c>
      <c r="T415">
        <f>VLOOKUP($B415,[1]ბიუჯეტი!$B$59:$K$464,10,FALSE)</f>
        <v>338.98305084745766</v>
      </c>
      <c r="U415" s="53">
        <f t="shared" si="102"/>
        <v>1559.3220338983051</v>
      </c>
    </row>
    <row r="416" spans="1:21" collapsed="1" x14ac:dyDescent="0.35">
      <c r="A416" s="55">
        <v>55</v>
      </c>
      <c r="B416" s="56" t="s">
        <v>147</v>
      </c>
      <c r="C416" s="57" t="s">
        <v>55</v>
      </c>
      <c r="D416" s="58">
        <f>D427</f>
        <v>30</v>
      </c>
      <c r="E416" s="58">
        <v>0</v>
      </c>
      <c r="F416" s="58">
        <f t="shared" si="96"/>
        <v>0</v>
      </c>
      <c r="G416" s="58">
        <f>45*1.275</f>
        <v>57.374999999999993</v>
      </c>
      <c r="H416" s="58">
        <f>G416*D416</f>
        <v>1721.2499999999998</v>
      </c>
      <c r="I416" s="58">
        <v>0</v>
      </c>
      <c r="J416" s="58">
        <v>0</v>
      </c>
      <c r="K416" s="58">
        <f t="shared" si="103"/>
        <v>1721.2499999999998</v>
      </c>
      <c r="L416">
        <f>VLOOKUP($B416,[1]ბიუჯეტი!$B$59:$K$464,3,FALSE)</f>
        <v>47</v>
      </c>
      <c r="M416" s="53">
        <f t="shared" si="98"/>
        <v>-17</v>
      </c>
      <c r="N416">
        <f>VLOOKUP($B416,[1]ბიუჯეტი!$B$59:$K$464,4,FALSE)</f>
        <v>336.59172376487555</v>
      </c>
      <c r="O416" s="53">
        <f t="shared" si="99"/>
        <v>-336.59172376487555</v>
      </c>
      <c r="P416">
        <f>VLOOKUP($B416,[1]ბიუჯეტი!$B$59:$K$464,6,FALSE)</f>
        <v>142.83390957446807</v>
      </c>
      <c r="Q416" s="53">
        <f t="shared" si="100"/>
        <v>-85.458909574468066</v>
      </c>
      <c r="R416">
        <f>VLOOKUP($B416,[1]ბიუჯეტი!$B$59:$K$464,8,FALSE)</f>
        <v>0</v>
      </c>
      <c r="S416" s="53">
        <f t="shared" si="101"/>
        <v>0</v>
      </c>
      <c r="T416">
        <f>VLOOKUP($B416,[1]ბიუჯეტი!$B$59:$K$464,10,FALSE)</f>
        <v>22533.004766949151</v>
      </c>
      <c r="U416" s="53">
        <f t="shared" si="102"/>
        <v>-20811.754766949151</v>
      </c>
    </row>
    <row r="417" spans="1:21" hidden="1" outlineLevel="1" x14ac:dyDescent="0.35">
      <c r="A417" s="29">
        <v>2</v>
      </c>
      <c r="B417" s="30" t="s">
        <v>148</v>
      </c>
      <c r="C417" s="8" t="s">
        <v>55</v>
      </c>
      <c r="D417" s="5"/>
      <c r="E417" s="5"/>
      <c r="F417" s="5">
        <f t="shared" si="96"/>
        <v>0</v>
      </c>
      <c r="G417" s="5">
        <f>45*1.275</f>
        <v>57.374999999999993</v>
      </c>
      <c r="H417" s="5">
        <f>G417*D417</f>
        <v>0</v>
      </c>
      <c r="I417" s="5"/>
      <c r="J417" s="5"/>
      <c r="K417" s="5">
        <f t="shared" si="103"/>
        <v>0</v>
      </c>
      <c r="L417" t="e">
        <f>VLOOKUP($B417,[1]ბიუჯეტი!$B$59:$K$464,3,FALSE)</f>
        <v>#N/A</v>
      </c>
      <c r="M417" s="53" t="e">
        <f t="shared" si="98"/>
        <v>#N/A</v>
      </c>
      <c r="N417" t="e">
        <f>VLOOKUP($B417,[1]ბიუჯეტი!$B$59:$K$464,4,FALSE)</f>
        <v>#N/A</v>
      </c>
      <c r="O417" s="53" t="e">
        <f t="shared" si="99"/>
        <v>#N/A</v>
      </c>
      <c r="P417" t="e">
        <f>VLOOKUP($B417,[1]ბიუჯეტი!$B$59:$K$464,6,FALSE)</f>
        <v>#N/A</v>
      </c>
      <c r="Q417" s="53" t="e">
        <f t="shared" si="100"/>
        <v>#N/A</v>
      </c>
      <c r="R417" t="e">
        <f>VLOOKUP($B417,[1]ბიუჯეტი!$B$59:$K$464,8,FALSE)</f>
        <v>#N/A</v>
      </c>
      <c r="S417" s="53" t="e">
        <f t="shared" si="101"/>
        <v>#N/A</v>
      </c>
      <c r="T417" t="e">
        <f>VLOOKUP($B417,[1]ბიუჯეტი!$B$59:$K$464,10,FALSE)</f>
        <v>#N/A</v>
      </c>
      <c r="U417" s="53" t="e">
        <f t="shared" si="102"/>
        <v>#N/A</v>
      </c>
    </row>
    <row r="418" spans="1:21" hidden="1" outlineLevel="1" x14ac:dyDescent="0.35">
      <c r="A418" s="29"/>
      <c r="B418" s="7" t="s">
        <v>149</v>
      </c>
      <c r="C418" s="8" t="s">
        <v>40</v>
      </c>
      <c r="D418" s="5"/>
      <c r="E418" s="5">
        <f>15.5/1.18</f>
        <v>13.135593220338984</v>
      </c>
      <c r="F418" s="5">
        <f t="shared" ref="F418:F462" si="104">D418*E418</f>
        <v>0</v>
      </c>
      <c r="G418" s="5"/>
      <c r="H418" s="5"/>
      <c r="I418" s="5"/>
      <c r="J418" s="5"/>
      <c r="K418" s="5">
        <f t="shared" si="103"/>
        <v>0</v>
      </c>
      <c r="L418" t="e">
        <f>VLOOKUP($B418,[1]ბიუჯეტი!$B$59:$K$464,3,FALSE)</f>
        <v>#N/A</v>
      </c>
      <c r="M418" s="53" t="e">
        <f t="shared" si="98"/>
        <v>#N/A</v>
      </c>
      <c r="N418" t="e">
        <f>VLOOKUP($B418,[1]ბიუჯეტი!$B$59:$K$464,4,FALSE)</f>
        <v>#N/A</v>
      </c>
      <c r="O418" s="53" t="e">
        <f t="shared" si="99"/>
        <v>#N/A</v>
      </c>
      <c r="P418" t="e">
        <f>VLOOKUP($B418,[1]ბიუჯეტი!$B$59:$K$464,6,FALSE)</f>
        <v>#N/A</v>
      </c>
      <c r="Q418" s="53" t="e">
        <f t="shared" si="100"/>
        <v>#N/A</v>
      </c>
      <c r="R418" t="e">
        <f>VLOOKUP($B418,[1]ბიუჯეტი!$B$59:$K$464,8,FALSE)</f>
        <v>#N/A</v>
      </c>
      <c r="S418" s="53" t="e">
        <f t="shared" si="101"/>
        <v>#N/A</v>
      </c>
      <c r="T418" t="e">
        <f>VLOOKUP($B418,[1]ბიუჯეტი!$B$59:$K$464,10,FALSE)</f>
        <v>#N/A</v>
      </c>
      <c r="U418" s="53" t="e">
        <f t="shared" si="102"/>
        <v>#N/A</v>
      </c>
    </row>
    <row r="419" spans="1:21" hidden="1" outlineLevel="1" x14ac:dyDescent="0.35">
      <c r="A419" s="29"/>
      <c r="B419" s="7" t="s">
        <v>150</v>
      </c>
      <c r="C419" s="8" t="s">
        <v>40</v>
      </c>
      <c r="D419" s="5"/>
      <c r="E419" s="5">
        <f>2.3/1.18</f>
        <v>1.9491525423728813</v>
      </c>
      <c r="F419" s="5">
        <f t="shared" si="104"/>
        <v>0</v>
      </c>
      <c r="G419" s="5"/>
      <c r="H419" s="5"/>
      <c r="I419" s="5"/>
      <c r="J419" s="5"/>
      <c r="K419" s="5">
        <f t="shared" si="103"/>
        <v>0</v>
      </c>
      <c r="L419" t="e">
        <f>VLOOKUP($B419,[1]ბიუჯეტი!$B$59:$K$464,3,FALSE)</f>
        <v>#N/A</v>
      </c>
      <c r="M419" s="53" t="e">
        <f t="shared" si="98"/>
        <v>#N/A</v>
      </c>
      <c r="N419" t="e">
        <f>VLOOKUP($B419,[1]ბიუჯეტი!$B$59:$K$464,4,FALSE)</f>
        <v>#N/A</v>
      </c>
      <c r="O419" s="53" t="e">
        <f t="shared" si="99"/>
        <v>#N/A</v>
      </c>
      <c r="P419" t="e">
        <f>VLOOKUP($B419,[1]ბიუჯეტი!$B$59:$K$464,6,FALSE)</f>
        <v>#N/A</v>
      </c>
      <c r="Q419" s="53" t="e">
        <f t="shared" si="100"/>
        <v>#N/A</v>
      </c>
      <c r="R419" t="e">
        <f>VLOOKUP($B419,[1]ბიუჯეტი!$B$59:$K$464,8,FALSE)</f>
        <v>#N/A</v>
      </c>
      <c r="S419" s="53" t="e">
        <f t="shared" si="101"/>
        <v>#N/A</v>
      </c>
      <c r="T419" t="e">
        <f>VLOOKUP($B419,[1]ბიუჯეტი!$B$59:$K$464,10,FALSE)</f>
        <v>#N/A</v>
      </c>
      <c r="U419" s="53" t="e">
        <f t="shared" si="102"/>
        <v>#N/A</v>
      </c>
    </row>
    <row r="420" spans="1:21" hidden="1" outlineLevel="1" x14ac:dyDescent="0.35">
      <c r="A420" s="29"/>
      <c r="B420" s="7" t="s">
        <v>138</v>
      </c>
      <c r="C420" s="8" t="s">
        <v>40</v>
      </c>
      <c r="D420" s="5"/>
      <c r="E420" s="5">
        <f>1.4/1.18</f>
        <v>1.1864406779661016</v>
      </c>
      <c r="F420" s="5">
        <f t="shared" si="104"/>
        <v>0</v>
      </c>
      <c r="G420" s="5"/>
      <c r="H420" s="5"/>
      <c r="I420" s="5"/>
      <c r="J420" s="5"/>
      <c r="K420" s="5">
        <f t="shared" si="103"/>
        <v>0</v>
      </c>
      <c r="L420">
        <f>VLOOKUP($B420,[1]ბიუჯეტი!$B$59:$K$464,3,FALSE)</f>
        <v>1901.8125</v>
      </c>
      <c r="M420" s="53">
        <f t="shared" si="98"/>
        <v>-1901.8125</v>
      </c>
      <c r="N420">
        <f>VLOOKUP($B420,[1]ბიუჯეტი!$B$59:$K$464,4,FALSE)</f>
        <v>1.1864406779661016</v>
      </c>
      <c r="O420" s="53">
        <f t="shared" si="99"/>
        <v>0</v>
      </c>
      <c r="P420">
        <f>VLOOKUP($B420,[1]ბიუჯეტი!$B$59:$K$464,6,FALSE)</f>
        <v>0</v>
      </c>
      <c r="Q420" s="53">
        <f t="shared" si="100"/>
        <v>0</v>
      </c>
      <c r="R420">
        <f>VLOOKUP($B420,[1]ბიუჯეტი!$B$59:$K$464,8,FALSE)</f>
        <v>0</v>
      </c>
      <c r="S420" s="53">
        <f t="shared" si="101"/>
        <v>0</v>
      </c>
      <c r="T420">
        <f>VLOOKUP($B420,[1]ბიუჯეტი!$B$59:$K$464,10,FALSE)</f>
        <v>2256.3877118644068</v>
      </c>
      <c r="U420" s="53">
        <f t="shared" si="102"/>
        <v>-2256.3877118644068</v>
      </c>
    </row>
    <row r="421" spans="1:21" hidden="1" outlineLevel="1" x14ac:dyDescent="0.35">
      <c r="A421" s="29"/>
      <c r="B421" s="7" t="s">
        <v>14</v>
      </c>
      <c r="C421" s="8" t="s">
        <v>40</v>
      </c>
      <c r="D421" s="5"/>
      <c r="E421" s="5">
        <f>1/1.18</f>
        <v>0.84745762711864414</v>
      </c>
      <c r="F421" s="5">
        <f t="shared" si="104"/>
        <v>0</v>
      </c>
      <c r="G421" s="5"/>
      <c r="H421" s="5"/>
      <c r="I421" s="5"/>
      <c r="J421" s="5"/>
      <c r="K421" s="5">
        <f t="shared" si="103"/>
        <v>0</v>
      </c>
      <c r="L421">
        <f>VLOOKUP($B421,[1]ბიუჯეტი!$B$59:$K$464,3,FALSE)</f>
        <v>0</v>
      </c>
      <c r="M421" s="53">
        <f t="shared" si="98"/>
        <v>0</v>
      </c>
      <c r="N421">
        <f>VLOOKUP($B421,[1]ბიუჯეტი!$B$59:$K$464,4,FALSE)</f>
        <v>0.84745762711864414</v>
      </c>
      <c r="O421" s="53">
        <f t="shared" si="99"/>
        <v>0</v>
      </c>
      <c r="P421">
        <f>VLOOKUP($B421,[1]ბიუჯეტი!$B$59:$K$464,6,FALSE)</f>
        <v>0</v>
      </c>
      <c r="Q421" s="53">
        <f t="shared" si="100"/>
        <v>0</v>
      </c>
      <c r="R421">
        <f>VLOOKUP($B421,[1]ბიუჯეტი!$B$59:$K$464,8,FALSE)</f>
        <v>0</v>
      </c>
      <c r="S421" s="53">
        <f t="shared" si="101"/>
        <v>0</v>
      </c>
      <c r="T421">
        <f>VLOOKUP($B421,[1]ბიუჯეტი!$B$59:$K$464,10,FALSE)</f>
        <v>0</v>
      </c>
      <c r="U421" s="53">
        <f t="shared" si="102"/>
        <v>0</v>
      </c>
    </row>
    <row r="422" spans="1:21" hidden="1" outlineLevel="1" x14ac:dyDescent="0.35">
      <c r="A422" s="29">
        <v>3</v>
      </c>
      <c r="B422" s="30" t="s">
        <v>135</v>
      </c>
      <c r="C422" s="8" t="s">
        <v>55</v>
      </c>
      <c r="D422" s="5"/>
      <c r="E422" s="5"/>
      <c r="F422" s="5">
        <f t="shared" si="104"/>
        <v>0</v>
      </c>
      <c r="G422" s="5">
        <f>45*1.275</f>
        <v>57.374999999999993</v>
      </c>
      <c r="H422" s="5">
        <f>G422*D422</f>
        <v>0</v>
      </c>
      <c r="I422" s="5"/>
      <c r="J422" s="5"/>
      <c r="K422" s="5">
        <f t="shared" si="103"/>
        <v>0</v>
      </c>
      <c r="L422">
        <f>VLOOKUP($B422,[1]ბიუჯეტი!$B$59:$K$464,3,FALSE)</f>
        <v>1035</v>
      </c>
      <c r="M422" s="53">
        <f t="shared" si="98"/>
        <v>-1035</v>
      </c>
      <c r="N422">
        <f>VLOOKUP($B422,[1]ბიუჯეტი!$B$59:$K$464,4,FALSE)</f>
        <v>0</v>
      </c>
      <c r="O422" s="53">
        <f t="shared" si="99"/>
        <v>0</v>
      </c>
      <c r="P422">
        <f>VLOOKUP($B422,[1]ბიუჯეტი!$B$59:$K$464,6,FALSE)</f>
        <v>10.199999999999999</v>
      </c>
      <c r="Q422" s="53">
        <f t="shared" si="100"/>
        <v>47.174999999999997</v>
      </c>
      <c r="R422">
        <f>VLOOKUP($B422,[1]ბიუჯეტი!$B$59:$K$464,8,FALSE)</f>
        <v>0</v>
      </c>
      <c r="S422" s="53">
        <f t="shared" si="101"/>
        <v>0</v>
      </c>
      <c r="T422">
        <f>VLOOKUP($B422,[1]ბიუჯეტი!$B$59:$K$464,10,FALSE)</f>
        <v>10557</v>
      </c>
      <c r="U422" s="53">
        <f t="shared" si="102"/>
        <v>-10557</v>
      </c>
    </row>
    <row r="423" spans="1:21" hidden="1" outlineLevel="1" x14ac:dyDescent="0.35">
      <c r="A423" s="29"/>
      <c r="B423" s="7" t="s">
        <v>149</v>
      </c>
      <c r="C423" s="8" t="s">
        <v>40</v>
      </c>
      <c r="D423" s="5"/>
      <c r="E423" s="5">
        <f>15.5/1.18</f>
        <v>13.135593220338984</v>
      </c>
      <c r="F423" s="5">
        <f t="shared" si="104"/>
        <v>0</v>
      </c>
      <c r="G423" s="5"/>
      <c r="H423" s="5"/>
      <c r="I423" s="5"/>
      <c r="J423" s="5"/>
      <c r="K423" s="5">
        <f t="shared" ref="K423:K458" si="105">F423+H423</f>
        <v>0</v>
      </c>
      <c r="L423" t="e">
        <f>VLOOKUP($B423,[1]ბიუჯეტი!$B$59:$K$464,3,FALSE)</f>
        <v>#N/A</v>
      </c>
      <c r="M423" s="53" t="e">
        <f t="shared" si="98"/>
        <v>#N/A</v>
      </c>
      <c r="N423" t="e">
        <f>VLOOKUP($B423,[1]ბიუჯეტი!$B$59:$K$464,4,FALSE)</f>
        <v>#N/A</v>
      </c>
      <c r="O423" s="53" t="e">
        <f t="shared" si="99"/>
        <v>#N/A</v>
      </c>
      <c r="P423" t="e">
        <f>VLOOKUP($B423,[1]ბიუჯეტი!$B$59:$K$464,6,FALSE)</f>
        <v>#N/A</v>
      </c>
      <c r="Q423" s="53" t="e">
        <f t="shared" si="100"/>
        <v>#N/A</v>
      </c>
      <c r="R423" t="e">
        <f>VLOOKUP($B423,[1]ბიუჯეტი!$B$59:$K$464,8,FALSE)</f>
        <v>#N/A</v>
      </c>
      <c r="S423" s="53" t="e">
        <f t="shared" si="101"/>
        <v>#N/A</v>
      </c>
      <c r="T423" t="e">
        <f>VLOOKUP($B423,[1]ბიუჯეტი!$B$59:$K$464,10,FALSE)</f>
        <v>#N/A</v>
      </c>
      <c r="U423" s="53" t="e">
        <f t="shared" si="102"/>
        <v>#N/A</v>
      </c>
    </row>
    <row r="424" spans="1:21" hidden="1" outlineLevel="1" x14ac:dyDescent="0.35">
      <c r="A424" s="29"/>
      <c r="B424" s="7" t="s">
        <v>212</v>
      </c>
      <c r="C424" s="8" t="s">
        <v>40</v>
      </c>
      <c r="D424" s="5"/>
      <c r="E424" s="5">
        <f>2.3/1.18</f>
        <v>1.9491525423728813</v>
      </c>
      <c r="F424" s="5">
        <f t="shared" si="104"/>
        <v>0</v>
      </c>
      <c r="G424" s="5"/>
      <c r="H424" s="5"/>
      <c r="I424" s="5"/>
      <c r="J424" s="5"/>
      <c r="K424" s="5">
        <f t="shared" si="105"/>
        <v>0</v>
      </c>
      <c r="L424" t="e">
        <f>VLOOKUP($B424,[1]ბიუჯეტი!$B$59:$K$464,3,FALSE)</f>
        <v>#N/A</v>
      </c>
      <c r="M424" s="53" t="e">
        <f t="shared" si="98"/>
        <v>#N/A</v>
      </c>
      <c r="N424" t="e">
        <f>VLOOKUP($B424,[1]ბიუჯეტი!$B$59:$K$464,4,FALSE)</f>
        <v>#N/A</v>
      </c>
      <c r="O424" s="53" t="e">
        <f t="shared" si="99"/>
        <v>#N/A</v>
      </c>
      <c r="P424" t="e">
        <f>VLOOKUP($B424,[1]ბიუჯეტი!$B$59:$K$464,6,FALSE)</f>
        <v>#N/A</v>
      </c>
      <c r="Q424" s="53" t="e">
        <f t="shared" si="100"/>
        <v>#N/A</v>
      </c>
      <c r="R424" t="e">
        <f>VLOOKUP($B424,[1]ბიუჯეტი!$B$59:$K$464,8,FALSE)</f>
        <v>#N/A</v>
      </c>
      <c r="S424" s="53" t="e">
        <f t="shared" si="101"/>
        <v>#N/A</v>
      </c>
      <c r="T424" t="e">
        <f>VLOOKUP($B424,[1]ბიუჯეტი!$B$59:$K$464,10,FALSE)</f>
        <v>#N/A</v>
      </c>
      <c r="U424" s="53" t="e">
        <f t="shared" si="102"/>
        <v>#N/A</v>
      </c>
    </row>
    <row r="425" spans="1:21" hidden="1" outlineLevel="1" x14ac:dyDescent="0.35">
      <c r="A425" s="29"/>
      <c r="B425" s="7" t="s">
        <v>213</v>
      </c>
      <c r="C425" s="8" t="s">
        <v>40</v>
      </c>
      <c r="D425" s="5">
        <v>60</v>
      </c>
      <c r="E425" s="5">
        <f>7/1.18</f>
        <v>5.9322033898305087</v>
      </c>
      <c r="F425" s="5">
        <f t="shared" si="104"/>
        <v>355.93220338983053</v>
      </c>
      <c r="G425" s="5"/>
      <c r="H425" s="5"/>
      <c r="I425" s="5"/>
      <c r="J425" s="5"/>
      <c r="K425" s="5">
        <f t="shared" si="105"/>
        <v>355.93220338983053</v>
      </c>
      <c r="L425" t="e">
        <f>VLOOKUP($B425,[1]ბიუჯეტი!$B$59:$K$464,3,FALSE)</f>
        <v>#N/A</v>
      </c>
      <c r="M425" s="53" t="e">
        <f t="shared" si="98"/>
        <v>#N/A</v>
      </c>
      <c r="N425" t="e">
        <f>VLOOKUP($B425,[1]ბიუჯეტი!$B$59:$K$464,4,FALSE)</f>
        <v>#N/A</v>
      </c>
      <c r="O425" s="53" t="e">
        <f t="shared" si="99"/>
        <v>#N/A</v>
      </c>
      <c r="P425" t="e">
        <f>VLOOKUP($B425,[1]ბიუჯეტი!$B$59:$K$464,6,FALSE)</f>
        <v>#N/A</v>
      </c>
      <c r="Q425" s="53" t="e">
        <f t="shared" si="100"/>
        <v>#N/A</v>
      </c>
      <c r="R425" t="e">
        <f>VLOOKUP($B425,[1]ბიუჯეტი!$B$59:$K$464,8,FALSE)</f>
        <v>#N/A</v>
      </c>
      <c r="S425" s="53" t="e">
        <f t="shared" si="101"/>
        <v>#N/A</v>
      </c>
      <c r="T425" t="e">
        <f>VLOOKUP($B425,[1]ბიუჯეტი!$B$59:$K$464,10,FALSE)</f>
        <v>#N/A</v>
      </c>
      <c r="U425" s="53" t="e">
        <f t="shared" si="102"/>
        <v>#N/A</v>
      </c>
    </row>
    <row r="426" spans="1:21" hidden="1" outlineLevel="1" x14ac:dyDescent="0.35">
      <c r="A426" s="29"/>
      <c r="B426" s="7" t="s">
        <v>14</v>
      </c>
      <c r="C426" s="8" t="s">
        <v>55</v>
      </c>
      <c r="D426" s="5">
        <v>60</v>
      </c>
      <c r="E426" s="5">
        <f>4/1.18</f>
        <v>3.3898305084745766</v>
      </c>
      <c r="F426" s="5">
        <f t="shared" si="104"/>
        <v>203.3898305084746</v>
      </c>
      <c r="G426" s="5"/>
      <c r="H426" s="5"/>
      <c r="I426" s="5"/>
      <c r="J426" s="5"/>
      <c r="K426" s="5">
        <f t="shared" si="105"/>
        <v>203.3898305084746</v>
      </c>
      <c r="L426">
        <f>VLOOKUP($B426,[1]ბიუჯეტი!$B$59:$K$464,3,FALSE)</f>
        <v>0</v>
      </c>
      <c r="M426" s="53">
        <f t="shared" si="98"/>
        <v>60</v>
      </c>
      <c r="N426">
        <f>VLOOKUP($B426,[1]ბიუჯეტი!$B$59:$K$464,4,FALSE)</f>
        <v>0.84745762711864414</v>
      </c>
      <c r="O426" s="53">
        <f t="shared" si="99"/>
        <v>2.5423728813559325</v>
      </c>
      <c r="P426">
        <f>VLOOKUP($B426,[1]ბიუჯეტი!$B$59:$K$464,6,FALSE)</f>
        <v>0</v>
      </c>
      <c r="Q426" s="53">
        <f t="shared" si="100"/>
        <v>0</v>
      </c>
      <c r="R426">
        <f>VLOOKUP($B426,[1]ბიუჯეტი!$B$59:$K$464,8,FALSE)</f>
        <v>0</v>
      </c>
      <c r="S426" s="53">
        <f t="shared" si="101"/>
        <v>0</v>
      </c>
      <c r="T426">
        <f>VLOOKUP($B426,[1]ბიუჯეტი!$B$59:$K$464,10,FALSE)</f>
        <v>0</v>
      </c>
      <c r="U426" s="53">
        <f t="shared" si="102"/>
        <v>203.3898305084746</v>
      </c>
    </row>
    <row r="427" spans="1:21" hidden="1" outlineLevel="1" x14ac:dyDescent="0.35">
      <c r="A427" s="29">
        <v>4</v>
      </c>
      <c r="B427" s="30" t="s">
        <v>297</v>
      </c>
      <c r="C427" s="8" t="s">
        <v>55</v>
      </c>
      <c r="D427" s="5">
        <v>30</v>
      </c>
      <c r="E427" s="5"/>
      <c r="F427" s="5">
        <f t="shared" si="104"/>
        <v>0</v>
      </c>
      <c r="G427" s="5">
        <f>45*1.275</f>
        <v>57.374999999999993</v>
      </c>
      <c r="H427" s="5">
        <f>G427*D427</f>
        <v>1721.2499999999998</v>
      </c>
      <c r="I427" s="5"/>
      <c r="J427" s="5"/>
      <c r="K427" s="5">
        <f t="shared" si="105"/>
        <v>1721.2499999999998</v>
      </c>
      <c r="L427" t="e">
        <f>VLOOKUP($B427,[1]ბიუჯეტი!$B$59:$K$464,3,FALSE)</f>
        <v>#N/A</v>
      </c>
      <c r="M427" s="53" t="e">
        <f t="shared" si="98"/>
        <v>#N/A</v>
      </c>
      <c r="N427" t="e">
        <f>VLOOKUP($B427,[1]ბიუჯეტი!$B$59:$K$464,4,FALSE)</f>
        <v>#N/A</v>
      </c>
      <c r="O427" s="53" t="e">
        <f t="shared" si="99"/>
        <v>#N/A</v>
      </c>
      <c r="P427" t="e">
        <f>VLOOKUP($B427,[1]ბიუჯეტი!$B$59:$K$464,6,FALSE)</f>
        <v>#N/A</v>
      </c>
      <c r="Q427" s="53" t="e">
        <f t="shared" si="100"/>
        <v>#N/A</v>
      </c>
      <c r="R427" t="e">
        <f>VLOOKUP($B427,[1]ბიუჯეტი!$B$59:$K$464,8,FALSE)</f>
        <v>#N/A</v>
      </c>
      <c r="S427" s="53" t="e">
        <f t="shared" si="101"/>
        <v>#N/A</v>
      </c>
      <c r="T427" t="e">
        <f>VLOOKUP($B427,[1]ბიუჯეტი!$B$59:$K$464,10,FALSE)</f>
        <v>#N/A</v>
      </c>
      <c r="U427" s="53" t="e">
        <f t="shared" si="102"/>
        <v>#N/A</v>
      </c>
    </row>
    <row r="428" spans="1:21" hidden="1" outlineLevel="1" x14ac:dyDescent="0.35">
      <c r="A428" s="29"/>
      <c r="B428" s="7" t="s">
        <v>149</v>
      </c>
      <c r="C428" s="8" t="s">
        <v>40</v>
      </c>
      <c r="D428" s="5">
        <f>30*30</f>
        <v>900</v>
      </c>
      <c r="E428" s="5">
        <f>15.5/1.18</f>
        <v>13.135593220338984</v>
      </c>
      <c r="F428" s="5">
        <f t="shared" si="104"/>
        <v>11822.033898305086</v>
      </c>
      <c r="G428" s="5"/>
      <c r="H428" s="5"/>
      <c r="I428" s="5"/>
      <c r="J428" s="5"/>
      <c r="K428" s="5">
        <f t="shared" si="105"/>
        <v>11822.033898305086</v>
      </c>
      <c r="L428" t="e">
        <f>VLOOKUP($B428,[1]ბიუჯეტი!$B$59:$K$464,3,FALSE)</f>
        <v>#N/A</v>
      </c>
      <c r="M428" s="53" t="e">
        <f t="shared" si="98"/>
        <v>#N/A</v>
      </c>
      <c r="N428" t="e">
        <f>VLOOKUP($B428,[1]ბიუჯეტი!$B$59:$K$464,4,FALSE)</f>
        <v>#N/A</v>
      </c>
      <c r="O428" s="53" t="e">
        <f t="shared" si="99"/>
        <v>#N/A</v>
      </c>
      <c r="P428" t="e">
        <f>VLOOKUP($B428,[1]ბიუჯეტი!$B$59:$K$464,6,FALSE)</f>
        <v>#N/A</v>
      </c>
      <c r="Q428" s="53" t="e">
        <f t="shared" si="100"/>
        <v>#N/A</v>
      </c>
      <c r="R428" t="e">
        <f>VLOOKUP($B428,[1]ბიუჯეტი!$B$59:$K$464,8,FALSE)</f>
        <v>#N/A</v>
      </c>
      <c r="S428" s="53" t="e">
        <f t="shared" si="101"/>
        <v>#N/A</v>
      </c>
      <c r="T428" t="e">
        <f>VLOOKUP($B428,[1]ბიუჯეტი!$B$59:$K$464,10,FALSE)</f>
        <v>#N/A</v>
      </c>
      <c r="U428" s="53" t="e">
        <f t="shared" si="102"/>
        <v>#N/A</v>
      </c>
    </row>
    <row r="429" spans="1:21" hidden="1" outlineLevel="1" x14ac:dyDescent="0.35">
      <c r="A429" s="29"/>
      <c r="B429" s="7" t="s">
        <v>212</v>
      </c>
      <c r="C429" s="8" t="s">
        <v>40</v>
      </c>
      <c r="D429" s="5">
        <v>180</v>
      </c>
      <c r="E429" s="5">
        <f>2.5/1.18</f>
        <v>2.1186440677966103</v>
      </c>
      <c r="F429" s="5">
        <f t="shared" si="104"/>
        <v>381.35593220338984</v>
      </c>
      <c r="G429" s="5"/>
      <c r="H429" s="5"/>
      <c r="I429" s="5"/>
      <c r="J429" s="5"/>
      <c r="K429" s="5">
        <f t="shared" si="105"/>
        <v>381.35593220338984</v>
      </c>
      <c r="L429" t="e">
        <f>VLOOKUP($B429,[1]ბიუჯეტი!$B$59:$K$464,3,FALSE)</f>
        <v>#N/A</v>
      </c>
      <c r="M429" s="53" t="e">
        <f t="shared" si="98"/>
        <v>#N/A</v>
      </c>
      <c r="N429" t="e">
        <f>VLOOKUP($B429,[1]ბიუჯეტი!$B$59:$K$464,4,FALSE)</f>
        <v>#N/A</v>
      </c>
      <c r="O429" s="53" t="e">
        <f t="shared" si="99"/>
        <v>#N/A</v>
      </c>
      <c r="P429" t="e">
        <f>VLOOKUP($B429,[1]ბიუჯეტი!$B$59:$K$464,6,FALSE)</f>
        <v>#N/A</v>
      </c>
      <c r="Q429" s="53" t="e">
        <f t="shared" si="100"/>
        <v>#N/A</v>
      </c>
      <c r="R429" t="e">
        <f>VLOOKUP($B429,[1]ბიუჯეტი!$B$59:$K$464,8,FALSE)</f>
        <v>#N/A</v>
      </c>
      <c r="S429" s="53" t="e">
        <f t="shared" si="101"/>
        <v>#N/A</v>
      </c>
      <c r="T429" t="e">
        <f>VLOOKUP($B429,[1]ბიუჯეტი!$B$59:$K$464,10,FALSE)</f>
        <v>#N/A</v>
      </c>
      <c r="U429" s="53" t="e">
        <f t="shared" si="102"/>
        <v>#N/A</v>
      </c>
    </row>
    <row r="430" spans="1:21" hidden="1" outlineLevel="1" x14ac:dyDescent="0.35">
      <c r="A430" s="29"/>
      <c r="B430" s="7" t="s">
        <v>213</v>
      </c>
      <c r="C430" s="8" t="s">
        <v>40</v>
      </c>
      <c r="D430" s="5">
        <v>180</v>
      </c>
      <c r="E430" s="5">
        <f>1.9/1.18</f>
        <v>1.6101694915254237</v>
      </c>
      <c r="F430" s="5">
        <f t="shared" si="104"/>
        <v>289.83050847457628</v>
      </c>
      <c r="G430" s="5"/>
      <c r="H430" s="5"/>
      <c r="I430" s="5"/>
      <c r="J430" s="5"/>
      <c r="K430" s="5">
        <f t="shared" si="105"/>
        <v>289.83050847457628</v>
      </c>
      <c r="L430" t="e">
        <f>VLOOKUP($B430,[1]ბიუჯეტი!$B$59:$K$464,3,FALSE)</f>
        <v>#N/A</v>
      </c>
      <c r="M430" s="53" t="e">
        <f t="shared" si="98"/>
        <v>#N/A</v>
      </c>
      <c r="N430" t="e">
        <f>VLOOKUP($B430,[1]ბიუჯეტი!$B$59:$K$464,4,FALSE)</f>
        <v>#N/A</v>
      </c>
      <c r="O430" s="53" t="e">
        <f t="shared" si="99"/>
        <v>#N/A</v>
      </c>
      <c r="P430" t="e">
        <f>VLOOKUP($B430,[1]ბიუჯეტი!$B$59:$K$464,6,FALSE)</f>
        <v>#N/A</v>
      </c>
      <c r="Q430" s="53" t="e">
        <f t="shared" si="100"/>
        <v>#N/A</v>
      </c>
      <c r="R430" t="e">
        <f>VLOOKUP($B430,[1]ბიუჯეტი!$B$59:$K$464,8,FALSE)</f>
        <v>#N/A</v>
      </c>
      <c r="S430" s="53" t="e">
        <f t="shared" si="101"/>
        <v>#N/A</v>
      </c>
      <c r="T430" t="e">
        <f>VLOOKUP($B430,[1]ბიუჯეტი!$B$59:$K$464,10,FALSE)</f>
        <v>#N/A</v>
      </c>
      <c r="U430" s="53" t="e">
        <f t="shared" si="102"/>
        <v>#N/A</v>
      </c>
    </row>
    <row r="431" spans="1:21" hidden="1" outlineLevel="1" x14ac:dyDescent="0.35">
      <c r="A431" s="29"/>
      <c r="B431" s="7" t="s">
        <v>14</v>
      </c>
      <c r="C431" s="8" t="s">
        <v>55</v>
      </c>
      <c r="D431" s="5"/>
      <c r="E431" s="5">
        <f>7/1.18</f>
        <v>5.9322033898305087</v>
      </c>
      <c r="F431" s="5">
        <f t="shared" si="104"/>
        <v>0</v>
      </c>
      <c r="G431" s="5"/>
      <c r="H431" s="5"/>
      <c r="I431" s="5"/>
      <c r="J431" s="5"/>
      <c r="K431" s="5">
        <f t="shared" si="105"/>
        <v>0</v>
      </c>
      <c r="L431">
        <f>VLOOKUP($B431,[1]ბიუჯეტი!$B$59:$K$464,3,FALSE)</f>
        <v>0</v>
      </c>
      <c r="M431" s="53">
        <f t="shared" si="98"/>
        <v>0</v>
      </c>
      <c r="N431">
        <f>VLOOKUP($B431,[1]ბიუჯეტი!$B$59:$K$464,4,FALSE)</f>
        <v>0.84745762711864414</v>
      </c>
      <c r="O431" s="53">
        <f t="shared" si="99"/>
        <v>5.0847457627118642</v>
      </c>
      <c r="P431">
        <f>VLOOKUP($B431,[1]ბიუჯეტი!$B$59:$K$464,6,FALSE)</f>
        <v>0</v>
      </c>
      <c r="Q431" s="53">
        <f t="shared" si="100"/>
        <v>0</v>
      </c>
      <c r="R431">
        <f>VLOOKUP($B431,[1]ბიუჯეტი!$B$59:$K$464,8,FALSE)</f>
        <v>0</v>
      </c>
      <c r="S431" s="53">
        <f t="shared" si="101"/>
        <v>0</v>
      </c>
      <c r="T431">
        <f>VLOOKUP($B431,[1]ბიუჯეტი!$B$59:$K$464,10,FALSE)</f>
        <v>0</v>
      </c>
      <c r="U431" s="53">
        <f t="shared" si="102"/>
        <v>0</v>
      </c>
    </row>
    <row r="432" spans="1:21" collapsed="1" x14ac:dyDescent="0.35">
      <c r="A432" s="29">
        <v>56</v>
      </c>
      <c r="B432" s="30" t="s">
        <v>151</v>
      </c>
      <c r="C432" s="8" t="s">
        <v>40</v>
      </c>
      <c r="D432" s="5">
        <f>SUM(D433,D436,D439,D442,)</f>
        <v>36</v>
      </c>
      <c r="E432" s="5">
        <f>SUM(K434:K435,K437:K438,K440:K441,K443:K444,)/D432</f>
        <v>7.3728813559322042</v>
      </c>
      <c r="F432" s="5">
        <f t="shared" si="104"/>
        <v>265.42372881355936</v>
      </c>
      <c r="G432" s="5">
        <f>SUM(H433:H444)/D432</f>
        <v>121.12499999999997</v>
      </c>
      <c r="H432" s="5">
        <f>G432*D432</f>
        <v>4360.4999999999991</v>
      </c>
      <c r="I432" s="5">
        <v>0</v>
      </c>
      <c r="J432" s="5">
        <v>0</v>
      </c>
      <c r="K432" s="5">
        <f t="shared" si="105"/>
        <v>4625.9237288135582</v>
      </c>
      <c r="L432">
        <f>VLOOKUP($B432,[1]ბიუჯეტი!$B$59:$K$464,3,FALSE)</f>
        <v>36</v>
      </c>
      <c r="M432" s="53">
        <f t="shared" si="98"/>
        <v>0</v>
      </c>
      <c r="N432">
        <f>VLOOKUP($B432,[1]ბიუჯეტი!$B$59:$K$464,4,FALSE)</f>
        <v>7.3728813559322042</v>
      </c>
      <c r="O432" s="53">
        <f t="shared" si="99"/>
        <v>0</v>
      </c>
      <c r="P432">
        <f>VLOOKUP($B432,[1]ბიუჯეტი!$B$59:$K$464,6,FALSE)</f>
        <v>44.625</v>
      </c>
      <c r="Q432" s="53">
        <f t="shared" si="100"/>
        <v>76.499999999999972</v>
      </c>
      <c r="R432">
        <f>VLOOKUP($B432,[1]ბიუჯეტი!$B$59:$K$464,8,FALSE)</f>
        <v>0</v>
      </c>
      <c r="S432" s="53">
        <f t="shared" si="101"/>
        <v>0</v>
      </c>
      <c r="T432">
        <f>VLOOKUP($B432,[1]ბიუჯეტი!$B$59:$K$464,10,FALSE)</f>
        <v>1871.9237288135594</v>
      </c>
      <c r="U432" s="53">
        <f t="shared" si="102"/>
        <v>2753.9999999999991</v>
      </c>
    </row>
    <row r="433" spans="1:21" hidden="1" outlineLevel="1" x14ac:dyDescent="0.35">
      <c r="A433" s="29">
        <v>2</v>
      </c>
      <c r="B433" s="30" t="s">
        <v>152</v>
      </c>
      <c r="C433" s="8" t="s">
        <v>40</v>
      </c>
      <c r="D433" s="5">
        <v>0</v>
      </c>
      <c r="E433" s="5"/>
      <c r="F433" s="5">
        <f t="shared" si="104"/>
        <v>0</v>
      </c>
      <c r="G433" s="5">
        <f>35*1.275</f>
        <v>44.625</v>
      </c>
      <c r="H433" s="5">
        <f>D433*G433</f>
        <v>0</v>
      </c>
      <c r="I433" s="5"/>
      <c r="J433" s="5"/>
      <c r="K433" s="5">
        <f t="shared" si="105"/>
        <v>0</v>
      </c>
      <c r="L433">
        <f>VLOOKUP($B433,[1]ბიუჯეტი!$B$59:$K$464,3,FALSE)</f>
        <v>0</v>
      </c>
      <c r="M433" s="53">
        <f t="shared" si="98"/>
        <v>0</v>
      </c>
      <c r="N433">
        <f>VLOOKUP($B433,[1]ბიუჯეტი!$B$59:$K$464,4,FALSE)</f>
        <v>0</v>
      </c>
      <c r="O433" s="53">
        <f t="shared" si="99"/>
        <v>0</v>
      </c>
      <c r="P433">
        <f>VLOOKUP($B433,[1]ბიუჯეტი!$B$59:$K$464,6,FALSE)</f>
        <v>44.625</v>
      </c>
      <c r="Q433" s="53">
        <f t="shared" si="100"/>
        <v>0</v>
      </c>
      <c r="R433">
        <f>VLOOKUP($B433,[1]ბიუჯეტი!$B$59:$K$464,8,FALSE)</f>
        <v>0</v>
      </c>
      <c r="S433" s="53">
        <f t="shared" si="101"/>
        <v>0</v>
      </c>
      <c r="T433">
        <f>VLOOKUP($B433,[1]ბიუჯეტი!$B$59:$K$464,10,FALSE)</f>
        <v>0</v>
      </c>
      <c r="U433" s="53">
        <f t="shared" si="102"/>
        <v>0</v>
      </c>
    </row>
    <row r="434" spans="1:21" hidden="1" outlineLevel="1" x14ac:dyDescent="0.35">
      <c r="A434" s="29"/>
      <c r="B434" s="7" t="s">
        <v>153</v>
      </c>
      <c r="C434" s="8" t="s">
        <v>40</v>
      </c>
      <c r="D434" s="5">
        <f>D433</f>
        <v>0</v>
      </c>
      <c r="E434" s="5">
        <f>4.8/1.18</f>
        <v>4.0677966101694913</v>
      </c>
      <c r="F434" s="5">
        <f t="shared" si="104"/>
        <v>0</v>
      </c>
      <c r="G434" s="5"/>
      <c r="H434" s="5"/>
      <c r="I434" s="5"/>
      <c r="J434" s="5"/>
      <c r="K434" s="5">
        <f t="shared" si="105"/>
        <v>0</v>
      </c>
      <c r="L434">
        <f>VLOOKUP($B434,[1]ბიუჯეტი!$B$59:$K$464,3,FALSE)</f>
        <v>0</v>
      </c>
      <c r="M434" s="53">
        <f t="shared" si="98"/>
        <v>0</v>
      </c>
      <c r="N434">
        <f>VLOOKUP($B434,[1]ბიუჯეტი!$B$59:$K$464,4,FALSE)</f>
        <v>4.0677966101694913</v>
      </c>
      <c r="O434" s="53">
        <f t="shared" si="99"/>
        <v>0</v>
      </c>
      <c r="P434">
        <f>VLOOKUP($B434,[1]ბიუჯეტი!$B$59:$K$464,6,FALSE)</f>
        <v>0</v>
      </c>
      <c r="Q434" s="53">
        <f t="shared" si="100"/>
        <v>0</v>
      </c>
      <c r="R434">
        <f>VLOOKUP($B434,[1]ბიუჯეტი!$B$59:$K$464,8,FALSE)</f>
        <v>0</v>
      </c>
      <c r="S434" s="53">
        <f t="shared" si="101"/>
        <v>0</v>
      </c>
      <c r="T434">
        <f>VLOOKUP($B434,[1]ბიუჯეტი!$B$59:$K$464,10,FALSE)</f>
        <v>0</v>
      </c>
      <c r="U434" s="53">
        <f t="shared" si="102"/>
        <v>0</v>
      </c>
    </row>
    <row r="435" spans="1:21" hidden="1" outlineLevel="1" x14ac:dyDescent="0.35">
      <c r="A435" s="29"/>
      <c r="B435" s="7" t="s">
        <v>14</v>
      </c>
      <c r="C435" s="8" t="s">
        <v>40</v>
      </c>
      <c r="D435" s="5">
        <f>D433</f>
        <v>0</v>
      </c>
      <c r="E435" s="5">
        <f>3.9/1.18</f>
        <v>3.3050847457627119</v>
      </c>
      <c r="F435" s="5">
        <f t="shared" si="104"/>
        <v>0</v>
      </c>
      <c r="G435" s="5"/>
      <c r="H435" s="5"/>
      <c r="I435" s="5"/>
      <c r="J435" s="5"/>
      <c r="K435" s="5">
        <f t="shared" si="105"/>
        <v>0</v>
      </c>
      <c r="L435">
        <f>VLOOKUP($B435,[1]ბიუჯეტი!$B$59:$K$464,3,FALSE)</f>
        <v>0</v>
      </c>
      <c r="M435" s="53">
        <f t="shared" si="98"/>
        <v>0</v>
      </c>
      <c r="N435">
        <f>VLOOKUP($B435,[1]ბიუჯეტი!$B$59:$K$464,4,FALSE)</f>
        <v>0.84745762711864414</v>
      </c>
      <c r="O435" s="53">
        <f t="shared" si="99"/>
        <v>2.4576271186440679</v>
      </c>
      <c r="P435">
        <f>VLOOKUP($B435,[1]ბიუჯეტი!$B$59:$K$464,6,FALSE)</f>
        <v>0</v>
      </c>
      <c r="Q435" s="53">
        <f t="shared" si="100"/>
        <v>0</v>
      </c>
      <c r="R435">
        <f>VLOOKUP($B435,[1]ბიუჯეტი!$B$59:$K$464,8,FALSE)</f>
        <v>0</v>
      </c>
      <c r="S435" s="53">
        <f t="shared" si="101"/>
        <v>0</v>
      </c>
      <c r="T435">
        <f>VLOOKUP($B435,[1]ბიუჯეტი!$B$59:$K$464,10,FALSE)</f>
        <v>0</v>
      </c>
      <c r="U435" s="53">
        <f t="shared" si="102"/>
        <v>0</v>
      </c>
    </row>
    <row r="436" spans="1:21" hidden="1" outlineLevel="1" x14ac:dyDescent="0.35">
      <c r="A436" s="29">
        <v>3</v>
      </c>
      <c r="B436" s="30" t="s">
        <v>154</v>
      </c>
      <c r="C436" s="8" t="s">
        <v>40</v>
      </c>
      <c r="D436" s="5">
        <v>9</v>
      </c>
      <c r="E436" s="5"/>
      <c r="F436" s="5">
        <f t="shared" si="104"/>
        <v>0</v>
      </c>
      <c r="G436" s="5">
        <f>95*1.275</f>
        <v>121.12499999999999</v>
      </c>
      <c r="H436" s="5">
        <f>D436*G436</f>
        <v>1090.1249999999998</v>
      </c>
      <c r="I436" s="5"/>
      <c r="J436" s="5"/>
      <c r="K436" s="5">
        <f t="shared" si="105"/>
        <v>1090.1249999999998</v>
      </c>
      <c r="L436">
        <f>VLOOKUP($B436,[1]ბიუჯეტი!$B$59:$K$464,3,FALSE)</f>
        <v>9</v>
      </c>
      <c r="M436" s="53">
        <f t="shared" si="98"/>
        <v>0</v>
      </c>
      <c r="N436">
        <f>VLOOKUP($B436,[1]ბიუჯეტი!$B$59:$K$464,4,FALSE)</f>
        <v>0</v>
      </c>
      <c r="O436" s="53">
        <f t="shared" si="99"/>
        <v>0</v>
      </c>
      <c r="P436">
        <f>VLOOKUP($B436,[1]ბიუჯეტი!$B$59:$K$464,6,FALSE)</f>
        <v>44.625</v>
      </c>
      <c r="Q436" s="53">
        <f t="shared" si="100"/>
        <v>76.499999999999986</v>
      </c>
      <c r="R436">
        <f>VLOOKUP($B436,[1]ბიუჯეტი!$B$59:$K$464,8,FALSE)</f>
        <v>0</v>
      </c>
      <c r="S436" s="53">
        <f t="shared" si="101"/>
        <v>0</v>
      </c>
      <c r="T436">
        <f>VLOOKUP($B436,[1]ბიუჯეტი!$B$59:$K$464,10,FALSE)</f>
        <v>401.625</v>
      </c>
      <c r="U436" s="53">
        <f t="shared" si="102"/>
        <v>688.49999999999977</v>
      </c>
    </row>
    <row r="437" spans="1:21" hidden="1" outlineLevel="1" x14ac:dyDescent="0.35">
      <c r="A437" s="29"/>
      <c r="B437" s="7" t="s">
        <v>153</v>
      </c>
      <c r="C437" s="8" t="s">
        <v>40</v>
      </c>
      <c r="D437" s="5">
        <f>D436</f>
        <v>9</v>
      </c>
      <c r="E437" s="5">
        <f>4.8/1.18</f>
        <v>4.0677966101694913</v>
      </c>
      <c r="F437" s="5">
        <f t="shared" si="104"/>
        <v>36.610169491525426</v>
      </c>
      <c r="G437" s="5"/>
      <c r="H437" s="5"/>
      <c r="I437" s="5"/>
      <c r="J437" s="5"/>
      <c r="K437" s="5">
        <f t="shared" si="105"/>
        <v>36.610169491525426</v>
      </c>
      <c r="L437">
        <f>VLOOKUP($B437,[1]ბიუჯეტი!$B$59:$K$464,3,FALSE)</f>
        <v>0</v>
      </c>
      <c r="M437" s="53">
        <f t="shared" si="98"/>
        <v>9</v>
      </c>
      <c r="N437">
        <f>VLOOKUP($B437,[1]ბიუჯეტი!$B$59:$K$464,4,FALSE)</f>
        <v>4.0677966101694913</v>
      </c>
      <c r="O437" s="53">
        <f t="shared" si="99"/>
        <v>0</v>
      </c>
      <c r="P437">
        <f>VLOOKUP($B437,[1]ბიუჯეტი!$B$59:$K$464,6,FALSE)</f>
        <v>0</v>
      </c>
      <c r="Q437" s="53">
        <f t="shared" si="100"/>
        <v>0</v>
      </c>
      <c r="R437">
        <f>VLOOKUP($B437,[1]ბიუჯეტი!$B$59:$K$464,8,FALSE)</f>
        <v>0</v>
      </c>
      <c r="S437" s="53">
        <f t="shared" si="101"/>
        <v>0</v>
      </c>
      <c r="T437">
        <f>VLOOKUP($B437,[1]ბიუჯეტი!$B$59:$K$464,10,FALSE)</f>
        <v>0</v>
      </c>
      <c r="U437" s="53">
        <f t="shared" si="102"/>
        <v>36.610169491525426</v>
      </c>
    </row>
    <row r="438" spans="1:21" hidden="1" outlineLevel="1" x14ac:dyDescent="0.35">
      <c r="A438" s="29"/>
      <c r="B438" s="7" t="s">
        <v>14</v>
      </c>
      <c r="C438" s="8" t="s">
        <v>40</v>
      </c>
      <c r="D438" s="5">
        <f>D436</f>
        <v>9</v>
      </c>
      <c r="E438" s="5">
        <f>3.9/1.18</f>
        <v>3.3050847457627119</v>
      </c>
      <c r="F438" s="5">
        <f t="shared" si="104"/>
        <v>29.745762711864408</v>
      </c>
      <c r="G438" s="5"/>
      <c r="H438" s="5"/>
      <c r="I438" s="5"/>
      <c r="J438" s="5"/>
      <c r="K438" s="5">
        <f t="shared" si="105"/>
        <v>29.745762711864408</v>
      </c>
      <c r="L438">
        <f>VLOOKUP($B438,[1]ბიუჯეტი!$B$59:$K$464,3,FALSE)</f>
        <v>0</v>
      </c>
      <c r="M438" s="53">
        <f t="shared" si="98"/>
        <v>9</v>
      </c>
      <c r="N438">
        <f>VLOOKUP($B438,[1]ბიუჯეტი!$B$59:$K$464,4,FALSE)</f>
        <v>0.84745762711864414</v>
      </c>
      <c r="O438" s="53">
        <f t="shared" si="99"/>
        <v>2.4576271186440679</v>
      </c>
      <c r="P438">
        <f>VLOOKUP($B438,[1]ბიუჯეტი!$B$59:$K$464,6,FALSE)</f>
        <v>0</v>
      </c>
      <c r="Q438" s="53">
        <f t="shared" si="100"/>
        <v>0</v>
      </c>
      <c r="R438">
        <f>VLOOKUP($B438,[1]ბიუჯეტი!$B$59:$K$464,8,FALSE)</f>
        <v>0</v>
      </c>
      <c r="S438" s="53">
        <f t="shared" si="101"/>
        <v>0</v>
      </c>
      <c r="T438">
        <f>VLOOKUP($B438,[1]ბიუჯეტი!$B$59:$K$464,10,FALSE)</f>
        <v>0</v>
      </c>
      <c r="U438" s="53">
        <f t="shared" si="102"/>
        <v>29.745762711864408</v>
      </c>
    </row>
    <row r="439" spans="1:21" hidden="1" outlineLevel="1" x14ac:dyDescent="0.35">
      <c r="A439" s="29">
        <v>4</v>
      </c>
      <c r="B439" s="30" t="s">
        <v>298</v>
      </c>
      <c r="C439" s="8" t="s">
        <v>40</v>
      </c>
      <c r="D439" s="5">
        <v>9</v>
      </c>
      <c r="E439" s="5"/>
      <c r="F439" s="5">
        <f t="shared" si="104"/>
        <v>0</v>
      </c>
      <c r="G439" s="5">
        <f>95*1.275</f>
        <v>121.12499999999999</v>
      </c>
      <c r="H439" s="5">
        <f>D439*G439</f>
        <v>1090.1249999999998</v>
      </c>
      <c r="I439" s="5"/>
      <c r="J439" s="5"/>
      <c r="K439" s="5">
        <f t="shared" si="105"/>
        <v>1090.1249999999998</v>
      </c>
      <c r="L439" t="e">
        <f>VLOOKUP($B439,[1]ბიუჯეტი!$B$59:$K$464,3,FALSE)</f>
        <v>#N/A</v>
      </c>
      <c r="M439" s="53" t="e">
        <f t="shared" si="98"/>
        <v>#N/A</v>
      </c>
      <c r="N439" t="e">
        <f>VLOOKUP($B439,[1]ბიუჯეტი!$B$59:$K$464,4,FALSE)</f>
        <v>#N/A</v>
      </c>
      <c r="O439" s="53" t="e">
        <f t="shared" si="99"/>
        <v>#N/A</v>
      </c>
      <c r="P439" t="e">
        <f>VLOOKUP($B439,[1]ბიუჯეტი!$B$59:$K$464,6,FALSE)</f>
        <v>#N/A</v>
      </c>
      <c r="Q439" s="53" t="e">
        <f t="shared" si="100"/>
        <v>#N/A</v>
      </c>
      <c r="R439" t="e">
        <f>VLOOKUP($B439,[1]ბიუჯეტი!$B$59:$K$464,8,FALSE)</f>
        <v>#N/A</v>
      </c>
      <c r="S439" s="53" t="e">
        <f t="shared" si="101"/>
        <v>#N/A</v>
      </c>
      <c r="T439" t="e">
        <f>VLOOKUP($B439,[1]ბიუჯეტი!$B$59:$K$464,10,FALSE)</f>
        <v>#N/A</v>
      </c>
      <c r="U439" s="53" t="e">
        <f t="shared" si="102"/>
        <v>#N/A</v>
      </c>
    </row>
    <row r="440" spans="1:21" hidden="1" outlineLevel="1" x14ac:dyDescent="0.35">
      <c r="A440" s="29"/>
      <c r="B440" s="7" t="s">
        <v>153</v>
      </c>
      <c r="C440" s="8" t="s">
        <v>40</v>
      </c>
      <c r="D440" s="5">
        <f>D439</f>
        <v>9</v>
      </c>
      <c r="E440" s="5">
        <f>4.8/1.18</f>
        <v>4.0677966101694913</v>
      </c>
      <c r="F440" s="5">
        <f t="shared" si="104"/>
        <v>36.610169491525426</v>
      </c>
      <c r="G440" s="5"/>
      <c r="H440" s="5"/>
      <c r="I440" s="5"/>
      <c r="J440" s="5"/>
      <c r="K440" s="5">
        <f t="shared" si="105"/>
        <v>36.610169491525426</v>
      </c>
      <c r="L440">
        <f>VLOOKUP($B440,[1]ბიუჯეტი!$B$59:$K$464,3,FALSE)</f>
        <v>0</v>
      </c>
      <c r="M440" s="53">
        <f t="shared" si="98"/>
        <v>9</v>
      </c>
      <c r="N440">
        <f>VLOOKUP($B440,[1]ბიუჯეტი!$B$59:$K$464,4,FALSE)</f>
        <v>4.0677966101694913</v>
      </c>
      <c r="O440" s="53">
        <f t="shared" si="99"/>
        <v>0</v>
      </c>
      <c r="P440">
        <f>VLOOKUP($B440,[1]ბიუჯეტი!$B$59:$K$464,6,FALSE)</f>
        <v>0</v>
      </c>
      <c r="Q440" s="53">
        <f t="shared" si="100"/>
        <v>0</v>
      </c>
      <c r="R440">
        <f>VLOOKUP($B440,[1]ბიუჯეტი!$B$59:$K$464,8,FALSE)</f>
        <v>0</v>
      </c>
      <c r="S440" s="53">
        <f t="shared" si="101"/>
        <v>0</v>
      </c>
      <c r="T440">
        <f>VLOOKUP($B440,[1]ბიუჯეტი!$B$59:$K$464,10,FALSE)</f>
        <v>0</v>
      </c>
      <c r="U440" s="53">
        <f t="shared" si="102"/>
        <v>36.610169491525426</v>
      </c>
    </row>
    <row r="441" spans="1:21" hidden="1" outlineLevel="1" x14ac:dyDescent="0.35">
      <c r="A441" s="29"/>
      <c r="B441" s="7" t="s">
        <v>14</v>
      </c>
      <c r="C441" s="8" t="s">
        <v>40</v>
      </c>
      <c r="D441" s="5">
        <f>D439</f>
        <v>9</v>
      </c>
      <c r="E441" s="5">
        <f>3.9/1.18</f>
        <v>3.3050847457627119</v>
      </c>
      <c r="F441" s="5">
        <f t="shared" si="104"/>
        <v>29.745762711864408</v>
      </c>
      <c r="G441" s="5"/>
      <c r="H441" s="5"/>
      <c r="I441" s="5"/>
      <c r="J441" s="5"/>
      <c r="K441" s="5">
        <f t="shared" si="105"/>
        <v>29.745762711864408</v>
      </c>
      <c r="L441">
        <f>VLOOKUP($B441,[1]ბიუჯეტი!$B$59:$K$464,3,FALSE)</f>
        <v>0</v>
      </c>
      <c r="M441" s="53">
        <f t="shared" si="98"/>
        <v>9</v>
      </c>
      <c r="N441">
        <f>VLOOKUP($B441,[1]ბიუჯეტი!$B$59:$K$464,4,FALSE)</f>
        <v>0.84745762711864414</v>
      </c>
      <c r="O441" s="53">
        <f t="shared" si="99"/>
        <v>2.4576271186440679</v>
      </c>
      <c r="P441">
        <f>VLOOKUP($B441,[1]ბიუჯეტი!$B$59:$K$464,6,FALSE)</f>
        <v>0</v>
      </c>
      <c r="Q441" s="53">
        <f t="shared" si="100"/>
        <v>0</v>
      </c>
      <c r="R441">
        <f>VLOOKUP($B441,[1]ბიუჯეტი!$B$59:$K$464,8,FALSE)</f>
        <v>0</v>
      </c>
      <c r="S441" s="53">
        <f t="shared" si="101"/>
        <v>0</v>
      </c>
      <c r="T441">
        <f>VLOOKUP($B441,[1]ბიუჯეტი!$B$59:$K$464,10,FALSE)</f>
        <v>0</v>
      </c>
      <c r="U441" s="53">
        <f t="shared" si="102"/>
        <v>29.745762711864408</v>
      </c>
    </row>
    <row r="442" spans="1:21" hidden="1" outlineLevel="1" x14ac:dyDescent="0.35">
      <c r="A442" s="29">
        <v>9</v>
      </c>
      <c r="B442" s="30" t="s">
        <v>299</v>
      </c>
      <c r="C442" s="8" t="s">
        <v>40</v>
      </c>
      <c r="D442" s="5">
        <v>18</v>
      </c>
      <c r="E442" s="5"/>
      <c r="F442" s="5">
        <f t="shared" si="104"/>
        <v>0</v>
      </c>
      <c r="G442" s="5">
        <f>95*1.275</f>
        <v>121.12499999999999</v>
      </c>
      <c r="H442" s="5">
        <f>D442*G442</f>
        <v>2180.2499999999995</v>
      </c>
      <c r="I442" s="5"/>
      <c r="J442" s="5"/>
      <c r="K442" s="5">
        <f t="shared" si="105"/>
        <v>2180.2499999999995</v>
      </c>
      <c r="L442" t="e">
        <f>VLOOKUP($B442,[1]ბიუჯეტი!$B$59:$K$464,3,FALSE)</f>
        <v>#N/A</v>
      </c>
      <c r="M442" s="53" t="e">
        <f t="shared" si="98"/>
        <v>#N/A</v>
      </c>
      <c r="N442" t="e">
        <f>VLOOKUP($B442,[1]ბიუჯეტი!$B$59:$K$464,4,FALSE)</f>
        <v>#N/A</v>
      </c>
      <c r="O442" s="53" t="e">
        <f t="shared" si="99"/>
        <v>#N/A</v>
      </c>
      <c r="P442" t="e">
        <f>VLOOKUP($B442,[1]ბიუჯეტი!$B$59:$K$464,6,FALSE)</f>
        <v>#N/A</v>
      </c>
      <c r="Q442" s="53" t="e">
        <f t="shared" si="100"/>
        <v>#N/A</v>
      </c>
      <c r="R442" t="e">
        <f>VLOOKUP($B442,[1]ბიუჯეტი!$B$59:$K$464,8,FALSE)</f>
        <v>#N/A</v>
      </c>
      <c r="S442" s="53" t="e">
        <f t="shared" si="101"/>
        <v>#N/A</v>
      </c>
      <c r="T442" t="e">
        <f>VLOOKUP($B442,[1]ბიუჯეტი!$B$59:$K$464,10,FALSE)</f>
        <v>#N/A</v>
      </c>
      <c r="U442" s="53" t="e">
        <f t="shared" si="102"/>
        <v>#N/A</v>
      </c>
    </row>
    <row r="443" spans="1:21" hidden="1" outlineLevel="1" x14ac:dyDescent="0.35">
      <c r="A443" s="29"/>
      <c r="B443" s="7" t="s">
        <v>153</v>
      </c>
      <c r="C443" s="8" t="s">
        <v>40</v>
      </c>
      <c r="D443" s="5">
        <f>D442</f>
        <v>18</v>
      </c>
      <c r="E443" s="5">
        <f>4.8/1.18</f>
        <v>4.0677966101694913</v>
      </c>
      <c r="F443" s="5">
        <f t="shared" si="104"/>
        <v>73.220338983050851</v>
      </c>
      <c r="G443" s="5"/>
      <c r="H443" s="5"/>
      <c r="I443" s="5"/>
      <c r="J443" s="5"/>
      <c r="K443" s="5">
        <f t="shared" si="105"/>
        <v>73.220338983050851</v>
      </c>
      <c r="L443">
        <f>VLOOKUP($B443,[1]ბიუჯეტი!$B$59:$K$464,3,FALSE)</f>
        <v>0</v>
      </c>
      <c r="M443" s="53">
        <f t="shared" si="98"/>
        <v>18</v>
      </c>
      <c r="N443">
        <f>VLOOKUP($B443,[1]ბიუჯეტი!$B$59:$K$464,4,FALSE)</f>
        <v>4.0677966101694913</v>
      </c>
      <c r="O443" s="53">
        <f t="shared" si="99"/>
        <v>0</v>
      </c>
      <c r="P443">
        <f>VLOOKUP($B443,[1]ბიუჯეტი!$B$59:$K$464,6,FALSE)</f>
        <v>0</v>
      </c>
      <c r="Q443" s="53">
        <f t="shared" si="100"/>
        <v>0</v>
      </c>
      <c r="R443">
        <f>VLOOKUP($B443,[1]ბიუჯეტი!$B$59:$K$464,8,FALSE)</f>
        <v>0</v>
      </c>
      <c r="S443" s="53">
        <f t="shared" si="101"/>
        <v>0</v>
      </c>
      <c r="T443">
        <f>VLOOKUP($B443,[1]ბიუჯეტი!$B$59:$K$464,10,FALSE)</f>
        <v>0</v>
      </c>
      <c r="U443" s="53">
        <f t="shared" si="102"/>
        <v>73.220338983050851</v>
      </c>
    </row>
    <row r="444" spans="1:21" hidden="1" outlineLevel="1" x14ac:dyDescent="0.35">
      <c r="A444" s="29"/>
      <c r="B444" s="7" t="s">
        <v>14</v>
      </c>
      <c r="C444" s="8" t="s">
        <v>40</v>
      </c>
      <c r="D444" s="5">
        <f>D442</f>
        <v>18</v>
      </c>
      <c r="E444" s="5">
        <f>3.9/1.18</f>
        <v>3.3050847457627119</v>
      </c>
      <c r="F444" s="5">
        <f t="shared" si="104"/>
        <v>59.491525423728817</v>
      </c>
      <c r="G444" s="5"/>
      <c r="H444" s="5"/>
      <c r="I444" s="5"/>
      <c r="J444" s="5"/>
      <c r="K444" s="5">
        <f t="shared" si="105"/>
        <v>59.491525423728817</v>
      </c>
      <c r="L444">
        <f>VLOOKUP($B444,[1]ბიუჯეტი!$B$59:$K$464,3,FALSE)</f>
        <v>0</v>
      </c>
      <c r="M444" s="53">
        <f t="shared" si="98"/>
        <v>18</v>
      </c>
      <c r="N444">
        <f>VLOOKUP($B444,[1]ბიუჯეტი!$B$59:$K$464,4,FALSE)</f>
        <v>0.84745762711864414</v>
      </c>
      <c r="O444" s="53">
        <f t="shared" si="99"/>
        <v>2.4576271186440679</v>
      </c>
      <c r="P444">
        <f>VLOOKUP($B444,[1]ბიუჯეტი!$B$59:$K$464,6,FALSE)</f>
        <v>0</v>
      </c>
      <c r="Q444" s="53">
        <f t="shared" si="100"/>
        <v>0</v>
      </c>
      <c r="R444">
        <f>VLOOKUP($B444,[1]ბიუჯეტი!$B$59:$K$464,8,FALSE)</f>
        <v>0</v>
      </c>
      <c r="S444" s="53">
        <f t="shared" si="101"/>
        <v>0</v>
      </c>
      <c r="T444">
        <f>VLOOKUP($B444,[1]ბიუჯეტი!$B$59:$K$464,10,FALSE)</f>
        <v>0</v>
      </c>
      <c r="U444" s="53">
        <f t="shared" si="102"/>
        <v>59.491525423728817</v>
      </c>
    </row>
    <row r="445" spans="1:21" collapsed="1" x14ac:dyDescent="0.35">
      <c r="A445" s="48">
        <v>57</v>
      </c>
      <c r="B445" s="49" t="s">
        <v>155</v>
      </c>
      <c r="C445" s="50" t="s">
        <v>128</v>
      </c>
      <c r="D445" s="51">
        <v>0</v>
      </c>
      <c r="E445" s="51">
        <v>0</v>
      </c>
      <c r="F445" s="51">
        <f>D445*E445</f>
        <v>0</v>
      </c>
      <c r="G445" s="51">
        <v>0</v>
      </c>
      <c r="H445" s="51">
        <f>G445*D445</f>
        <v>0</v>
      </c>
      <c r="I445" s="51">
        <v>0</v>
      </c>
      <c r="J445" s="51">
        <v>0</v>
      </c>
      <c r="K445" s="51">
        <f t="shared" si="105"/>
        <v>0</v>
      </c>
      <c r="L445">
        <f>VLOOKUP($B445,[1]ბიუჯეტი!$B$59:$K$464,3,FALSE)</f>
        <v>0</v>
      </c>
      <c r="M445" s="53">
        <f t="shared" ref="M445:M472" si="106">D445-L445</f>
        <v>0</v>
      </c>
      <c r="N445">
        <f>VLOOKUP($B445,[1]ბიუჯეტი!$B$59:$K$464,4,FALSE)</f>
        <v>0</v>
      </c>
      <c r="O445" s="53">
        <f t="shared" ref="O445:O472" si="107">E445-N445</f>
        <v>0</v>
      </c>
      <c r="P445">
        <f>VLOOKUP($B445,[1]ბიუჯეტი!$B$59:$K$464,6,FALSE)</f>
        <v>0</v>
      </c>
      <c r="Q445" s="53">
        <f t="shared" ref="Q445:Q472" si="108">G445-P445</f>
        <v>0</v>
      </c>
      <c r="R445">
        <f>VLOOKUP($B445,[1]ბიუჯეტი!$B$59:$K$464,8,FALSE)</f>
        <v>0</v>
      </c>
      <c r="S445" s="53">
        <f t="shared" ref="S445:S472" si="109">I445-R445</f>
        <v>0</v>
      </c>
      <c r="T445">
        <f>VLOOKUP($B445,[1]ბიუჯეტი!$B$59:$K$464,10,FALSE)</f>
        <v>0</v>
      </c>
      <c r="U445" s="53">
        <f t="shared" ref="U445:U472" si="110">K445-T445</f>
        <v>0</v>
      </c>
    </row>
    <row r="446" spans="1:21" hidden="1" outlineLevel="1" x14ac:dyDescent="0.35">
      <c r="A446" s="29">
        <v>1</v>
      </c>
      <c r="B446" s="30" t="s">
        <v>156</v>
      </c>
      <c r="C446" s="8" t="s">
        <v>128</v>
      </c>
      <c r="D446" s="5">
        <v>0</v>
      </c>
      <c r="E446" s="5"/>
      <c r="F446" s="5">
        <f>D446*E446</f>
        <v>0</v>
      </c>
      <c r="G446" s="5">
        <f>25*1.275</f>
        <v>31.874999999999996</v>
      </c>
      <c r="H446" s="5">
        <f>D446*G446</f>
        <v>0</v>
      </c>
      <c r="I446" s="5"/>
      <c r="J446" s="5"/>
      <c r="K446" s="5">
        <f t="shared" si="105"/>
        <v>0</v>
      </c>
      <c r="L446">
        <f>VLOOKUP($B446,[1]ბიუჯეტი!$B$59:$K$464,3,FALSE)</f>
        <v>0</v>
      </c>
      <c r="M446" s="53">
        <f t="shared" si="106"/>
        <v>0</v>
      </c>
      <c r="N446">
        <f>VLOOKUP($B446,[1]ბიუჯეტი!$B$59:$K$464,4,FALSE)</f>
        <v>0</v>
      </c>
      <c r="O446" s="53">
        <f t="shared" si="107"/>
        <v>0</v>
      </c>
      <c r="P446">
        <f>VLOOKUP($B446,[1]ბიუჯეტი!$B$59:$K$464,6,FALSE)</f>
        <v>31.874999999999996</v>
      </c>
      <c r="Q446" s="53">
        <f t="shared" si="108"/>
        <v>0</v>
      </c>
      <c r="R446">
        <f>VLOOKUP($B446,[1]ბიუჯეტი!$B$59:$K$464,8,FALSE)</f>
        <v>0</v>
      </c>
      <c r="S446" s="53">
        <f t="shared" si="109"/>
        <v>0</v>
      </c>
      <c r="T446">
        <f>VLOOKUP($B446,[1]ბიუჯეტი!$B$59:$K$464,10,FALSE)</f>
        <v>0</v>
      </c>
      <c r="U446" s="53">
        <f t="shared" si="110"/>
        <v>0</v>
      </c>
    </row>
    <row r="447" spans="1:21" hidden="1" outlineLevel="1" x14ac:dyDescent="0.35">
      <c r="A447" s="29"/>
      <c r="B447" s="7" t="s">
        <v>157</v>
      </c>
      <c r="C447" s="8" t="s">
        <v>49</v>
      </c>
      <c r="D447" s="5">
        <f>D446</f>
        <v>0</v>
      </c>
      <c r="E447" s="5">
        <f>35/1.18</f>
        <v>29.661016949152543</v>
      </c>
      <c r="F447" s="5">
        <f>D447*E447</f>
        <v>0</v>
      </c>
      <c r="G447" s="5"/>
      <c r="H447" s="5"/>
      <c r="I447" s="5"/>
      <c r="J447" s="5"/>
      <c r="K447" s="5">
        <f t="shared" si="105"/>
        <v>0</v>
      </c>
      <c r="L447">
        <f>VLOOKUP($B447,[1]ბიუჯეტი!$B$59:$K$464,3,FALSE)</f>
        <v>0</v>
      </c>
      <c r="M447" s="53">
        <f t="shared" si="106"/>
        <v>0</v>
      </c>
      <c r="N447">
        <f>VLOOKUP($B447,[1]ბიუჯეტი!$B$59:$K$464,4,FALSE)</f>
        <v>29.661016949152543</v>
      </c>
      <c r="O447" s="53">
        <f t="shared" si="107"/>
        <v>0</v>
      </c>
      <c r="P447">
        <f>VLOOKUP($B447,[1]ბიუჯეტი!$B$59:$K$464,6,FALSE)</f>
        <v>0</v>
      </c>
      <c r="Q447" s="53">
        <f t="shared" si="108"/>
        <v>0</v>
      </c>
      <c r="R447">
        <f>VLOOKUP($B447,[1]ბიუჯეტი!$B$59:$K$464,8,FALSE)</f>
        <v>0</v>
      </c>
      <c r="S447" s="53">
        <f t="shared" si="109"/>
        <v>0</v>
      </c>
      <c r="T447">
        <f>VLOOKUP($B447,[1]ბიუჯეტი!$B$59:$K$464,10,FALSE)</f>
        <v>0</v>
      </c>
      <c r="U447" s="53">
        <f t="shared" si="110"/>
        <v>0</v>
      </c>
    </row>
    <row r="448" spans="1:21" hidden="1" outlineLevel="1" x14ac:dyDescent="0.35">
      <c r="A448" s="29"/>
      <c r="B448" s="7" t="s">
        <v>14</v>
      </c>
      <c r="C448" s="8" t="s">
        <v>49</v>
      </c>
      <c r="D448" s="5">
        <f>D446</f>
        <v>0</v>
      </c>
      <c r="E448" s="5">
        <f>3/1.18</f>
        <v>2.5423728813559325</v>
      </c>
      <c r="F448" s="5">
        <f>D448*E448</f>
        <v>0</v>
      </c>
      <c r="G448" s="5"/>
      <c r="H448" s="5"/>
      <c r="I448" s="5"/>
      <c r="J448" s="5"/>
      <c r="K448" s="5">
        <f t="shared" si="105"/>
        <v>0</v>
      </c>
      <c r="L448">
        <f>VLOOKUP($B448,[1]ბიუჯეტი!$B$59:$K$464,3,FALSE)</f>
        <v>0</v>
      </c>
      <c r="M448" s="53">
        <f t="shared" si="106"/>
        <v>0</v>
      </c>
      <c r="N448">
        <f>VLOOKUP($B448,[1]ბიუჯეტი!$B$59:$K$464,4,FALSE)</f>
        <v>0.84745762711864414</v>
      </c>
      <c r="O448" s="53">
        <f t="shared" si="107"/>
        <v>1.6949152542372885</v>
      </c>
      <c r="P448">
        <f>VLOOKUP($B448,[1]ბიუჯეტი!$B$59:$K$464,6,FALSE)</f>
        <v>0</v>
      </c>
      <c r="Q448" s="53">
        <f t="shared" si="108"/>
        <v>0</v>
      </c>
      <c r="R448">
        <f>VLOOKUP($B448,[1]ბიუჯეტი!$B$59:$K$464,8,FALSE)</f>
        <v>0</v>
      </c>
      <c r="S448" s="53">
        <f t="shared" si="109"/>
        <v>0</v>
      </c>
      <c r="T448">
        <f>VLOOKUP($B448,[1]ბიუჯეტი!$B$59:$K$464,10,FALSE)</f>
        <v>0</v>
      </c>
      <c r="U448" s="53">
        <f t="shared" si="110"/>
        <v>0</v>
      </c>
    </row>
    <row r="449" spans="1:21" hidden="1" outlineLevel="1" x14ac:dyDescent="0.35">
      <c r="A449" s="29">
        <v>1</v>
      </c>
      <c r="B449" s="30" t="s">
        <v>158</v>
      </c>
      <c r="C449" s="8" t="s">
        <v>128</v>
      </c>
      <c r="D449" s="5">
        <v>0</v>
      </c>
      <c r="E449" s="5"/>
      <c r="F449" s="5">
        <f t="shared" si="104"/>
        <v>0</v>
      </c>
      <c r="G449" s="5">
        <f>25*1.275</f>
        <v>31.874999999999996</v>
      </c>
      <c r="H449" s="5">
        <f>D449*G449</f>
        <v>0</v>
      </c>
      <c r="I449" s="5"/>
      <c r="J449" s="5"/>
      <c r="K449" s="5">
        <f t="shared" si="105"/>
        <v>0</v>
      </c>
      <c r="L449">
        <f>VLOOKUP($B449,[1]ბიუჯეტი!$B$59:$K$464,3,FALSE)</f>
        <v>0</v>
      </c>
      <c r="M449" s="53">
        <f t="shared" si="106"/>
        <v>0</v>
      </c>
      <c r="N449">
        <f>VLOOKUP($B449,[1]ბიუჯეტი!$B$59:$K$464,4,FALSE)</f>
        <v>0</v>
      </c>
      <c r="O449" s="53">
        <f t="shared" si="107"/>
        <v>0</v>
      </c>
      <c r="P449">
        <f>VLOOKUP($B449,[1]ბიუჯეტი!$B$59:$K$464,6,FALSE)</f>
        <v>31.874999999999996</v>
      </c>
      <c r="Q449" s="53">
        <f t="shared" si="108"/>
        <v>0</v>
      </c>
      <c r="R449">
        <f>VLOOKUP($B449,[1]ბიუჯეტი!$B$59:$K$464,8,FALSE)</f>
        <v>0</v>
      </c>
      <c r="S449" s="53">
        <f t="shared" si="109"/>
        <v>0</v>
      </c>
      <c r="T449">
        <f>VLOOKUP($B449,[1]ბიუჯეტი!$B$59:$K$464,10,FALSE)</f>
        <v>0</v>
      </c>
      <c r="U449" s="53">
        <f t="shared" si="110"/>
        <v>0</v>
      </c>
    </row>
    <row r="450" spans="1:21" hidden="1" outlineLevel="1" x14ac:dyDescent="0.35">
      <c r="A450" s="29"/>
      <c r="B450" s="7" t="s">
        <v>157</v>
      </c>
      <c r="C450" s="8" t="s">
        <v>49</v>
      </c>
      <c r="D450" s="5">
        <f>D449</f>
        <v>0</v>
      </c>
      <c r="E450" s="5">
        <f>35/1.18</f>
        <v>29.661016949152543</v>
      </c>
      <c r="F450" s="5">
        <f t="shared" si="104"/>
        <v>0</v>
      </c>
      <c r="G450" s="5"/>
      <c r="H450" s="5"/>
      <c r="I450" s="5"/>
      <c r="J450" s="5"/>
      <c r="K450" s="5">
        <f t="shared" si="105"/>
        <v>0</v>
      </c>
      <c r="L450">
        <f>VLOOKUP($B450,[1]ბიუჯეტი!$B$59:$K$464,3,FALSE)</f>
        <v>0</v>
      </c>
      <c r="M450" s="53">
        <f t="shared" si="106"/>
        <v>0</v>
      </c>
      <c r="N450">
        <f>VLOOKUP($B450,[1]ბიუჯეტი!$B$59:$K$464,4,FALSE)</f>
        <v>29.661016949152543</v>
      </c>
      <c r="O450" s="53">
        <f t="shared" si="107"/>
        <v>0</v>
      </c>
      <c r="P450">
        <f>VLOOKUP($B450,[1]ბიუჯეტი!$B$59:$K$464,6,FALSE)</f>
        <v>0</v>
      </c>
      <c r="Q450" s="53">
        <f t="shared" si="108"/>
        <v>0</v>
      </c>
      <c r="R450">
        <f>VLOOKUP($B450,[1]ბიუჯეტი!$B$59:$K$464,8,FALSE)</f>
        <v>0</v>
      </c>
      <c r="S450" s="53">
        <f t="shared" si="109"/>
        <v>0</v>
      </c>
      <c r="T450">
        <f>VLOOKUP($B450,[1]ბიუჯეტი!$B$59:$K$464,10,FALSE)</f>
        <v>0</v>
      </c>
      <c r="U450" s="53">
        <f t="shared" si="110"/>
        <v>0</v>
      </c>
    </row>
    <row r="451" spans="1:21" hidden="1" outlineLevel="1" x14ac:dyDescent="0.35">
      <c r="A451" s="29"/>
      <c r="B451" s="7" t="s">
        <v>14</v>
      </c>
      <c r="C451" s="8" t="s">
        <v>49</v>
      </c>
      <c r="D451" s="5">
        <f>D449</f>
        <v>0</v>
      </c>
      <c r="E451" s="5">
        <f>3/1.18</f>
        <v>2.5423728813559325</v>
      </c>
      <c r="F451" s="5">
        <f t="shared" si="104"/>
        <v>0</v>
      </c>
      <c r="G451" s="5"/>
      <c r="H451" s="5"/>
      <c r="I451" s="5"/>
      <c r="J451" s="5"/>
      <c r="K451" s="5">
        <f t="shared" si="105"/>
        <v>0</v>
      </c>
      <c r="L451">
        <f>VLOOKUP($B451,[1]ბიუჯეტი!$B$59:$K$464,3,FALSE)</f>
        <v>0</v>
      </c>
      <c r="M451" s="53">
        <f t="shared" si="106"/>
        <v>0</v>
      </c>
      <c r="N451">
        <f>VLOOKUP($B451,[1]ბიუჯეტი!$B$59:$K$464,4,FALSE)</f>
        <v>0.84745762711864414</v>
      </c>
      <c r="O451" s="53">
        <f t="shared" si="107"/>
        <v>1.6949152542372885</v>
      </c>
      <c r="P451">
        <f>VLOOKUP($B451,[1]ბიუჯეტი!$B$59:$K$464,6,FALSE)</f>
        <v>0</v>
      </c>
      <c r="Q451" s="53">
        <f t="shared" si="108"/>
        <v>0</v>
      </c>
      <c r="R451">
        <f>VLOOKUP($B451,[1]ბიუჯეტი!$B$59:$K$464,8,FALSE)</f>
        <v>0</v>
      </c>
      <c r="S451" s="53">
        <f t="shared" si="109"/>
        <v>0</v>
      </c>
      <c r="T451">
        <f>VLOOKUP($B451,[1]ბიუჯეტი!$B$59:$K$464,10,FALSE)</f>
        <v>0</v>
      </c>
      <c r="U451" s="53">
        <f t="shared" si="110"/>
        <v>0</v>
      </c>
    </row>
    <row r="452" spans="1:21" collapsed="1" x14ac:dyDescent="0.35">
      <c r="A452" s="29">
        <v>58</v>
      </c>
      <c r="B452" s="30" t="s">
        <v>159</v>
      </c>
      <c r="C452" s="8" t="s">
        <v>128</v>
      </c>
      <c r="D452" s="5">
        <v>47</v>
      </c>
      <c r="E452" s="5">
        <f>SUM(K457:K458,K454:K455,)/D452</f>
        <v>61.666065632888568</v>
      </c>
      <c r="F452" s="5">
        <f t="shared" si="104"/>
        <v>2898.3050847457625</v>
      </c>
      <c r="G452" s="5">
        <f>45*1.275</f>
        <v>57.374999999999993</v>
      </c>
      <c r="H452" s="5">
        <f>G452*D452</f>
        <v>2696.6249999999995</v>
      </c>
      <c r="I452" s="5">
        <v>0</v>
      </c>
      <c r="J452" s="5">
        <v>0</v>
      </c>
      <c r="K452" s="5">
        <f t="shared" si="105"/>
        <v>5594.9300847457616</v>
      </c>
      <c r="L452">
        <f>VLOOKUP($B452,[1]ბიუჯეტი!$B$59:$K$464,3,FALSE)</f>
        <v>47</v>
      </c>
      <c r="M452" s="53">
        <f t="shared" si="106"/>
        <v>0</v>
      </c>
      <c r="N452">
        <f>VLOOKUP($B452,[1]ბიუჯეტი!$B$59:$K$464,4,FALSE)</f>
        <v>80.165885322755145</v>
      </c>
      <c r="O452" s="53">
        <f t="shared" si="107"/>
        <v>-18.499819689866577</v>
      </c>
      <c r="P452">
        <f>VLOOKUP($B452,[1]ბიუჯეტი!$B$59:$K$464,6,FALSE)</f>
        <v>57.374999999999993</v>
      </c>
      <c r="Q452" s="53">
        <f t="shared" si="108"/>
        <v>0</v>
      </c>
      <c r="R452">
        <f>VLOOKUP($B452,[1]ბიუჯეტი!$B$59:$K$464,8,FALSE)</f>
        <v>0</v>
      </c>
      <c r="S452" s="53">
        <f t="shared" si="109"/>
        <v>0</v>
      </c>
      <c r="T452">
        <f>VLOOKUP($B452,[1]ბიუჯეტი!$B$59:$K$464,10,FALSE)</f>
        <v>6464.421610169491</v>
      </c>
      <c r="U452" s="53">
        <f t="shared" si="110"/>
        <v>-869.4915254237294</v>
      </c>
    </row>
    <row r="453" spans="1:21" hidden="1" outlineLevel="1" x14ac:dyDescent="0.35">
      <c r="A453" s="29">
        <v>1</v>
      </c>
      <c r="B453" s="30" t="s">
        <v>160</v>
      </c>
      <c r="C453" s="8" t="s">
        <v>128</v>
      </c>
      <c r="D453" s="5">
        <v>0</v>
      </c>
      <c r="E453" s="5"/>
      <c r="F453" s="5">
        <f t="shared" si="104"/>
        <v>0</v>
      </c>
      <c r="G453" s="5">
        <f>110*1.275</f>
        <v>140.25</v>
      </c>
      <c r="H453" s="5">
        <f>D453*G453</f>
        <v>0</v>
      </c>
      <c r="I453" s="5"/>
      <c r="J453" s="5"/>
      <c r="K453" s="5">
        <f t="shared" si="105"/>
        <v>0</v>
      </c>
      <c r="L453">
        <f>VLOOKUP($B453,[1]ბიუჯეტი!$B$59:$K$464,3,FALSE)</f>
        <v>9</v>
      </c>
      <c r="M453" s="53">
        <f t="shared" si="106"/>
        <v>-9</v>
      </c>
      <c r="N453">
        <f>VLOOKUP($B453,[1]ბიუჯეტი!$B$59:$K$464,4,FALSE)</f>
        <v>0</v>
      </c>
      <c r="O453" s="53">
        <f t="shared" si="107"/>
        <v>0</v>
      </c>
      <c r="P453">
        <f>VLOOKUP($B453,[1]ბიუჯეტი!$B$59:$K$464,6,FALSE)</f>
        <v>57.374999999999993</v>
      </c>
      <c r="Q453" s="53">
        <f t="shared" si="108"/>
        <v>82.875</v>
      </c>
      <c r="R453">
        <f>VLOOKUP($B453,[1]ბიუჯეტი!$B$59:$K$464,8,FALSE)</f>
        <v>0</v>
      </c>
      <c r="S453" s="53">
        <f t="shared" si="109"/>
        <v>0</v>
      </c>
      <c r="T453">
        <f>VLOOKUP($B453,[1]ბიუჯეტი!$B$59:$K$464,10,FALSE)</f>
        <v>516.37499999999989</v>
      </c>
      <c r="U453" s="53">
        <f t="shared" si="110"/>
        <v>-516.37499999999989</v>
      </c>
    </row>
    <row r="454" spans="1:21" hidden="1" outlineLevel="1" x14ac:dyDescent="0.35">
      <c r="A454" s="29"/>
      <c r="B454" s="7" t="s">
        <v>153</v>
      </c>
      <c r="C454" s="8" t="s">
        <v>40</v>
      </c>
      <c r="D454" s="5">
        <f>D453*30</f>
        <v>0</v>
      </c>
      <c r="E454" s="5">
        <f>2.8/1.18</f>
        <v>2.3728813559322033</v>
      </c>
      <c r="F454" s="5">
        <f t="shared" si="104"/>
        <v>0</v>
      </c>
      <c r="G454" s="5"/>
      <c r="H454" s="5"/>
      <c r="I454" s="5"/>
      <c r="J454" s="5"/>
      <c r="K454" s="5">
        <f t="shared" si="105"/>
        <v>0</v>
      </c>
      <c r="L454">
        <f>VLOOKUP($B454,[1]ბიუჯეტი!$B$59:$K$464,3,FALSE)</f>
        <v>0</v>
      </c>
      <c r="M454" s="53">
        <f t="shared" si="106"/>
        <v>0</v>
      </c>
      <c r="N454">
        <f>VLOOKUP($B454,[1]ბიუჯეტი!$B$59:$K$464,4,FALSE)</f>
        <v>4.0677966101694913</v>
      </c>
      <c r="O454" s="53">
        <f t="shared" si="107"/>
        <v>-1.6949152542372881</v>
      </c>
      <c r="P454">
        <f>VLOOKUP($B454,[1]ბიუჯეტი!$B$59:$K$464,6,FALSE)</f>
        <v>0</v>
      </c>
      <c r="Q454" s="53">
        <f t="shared" si="108"/>
        <v>0</v>
      </c>
      <c r="R454">
        <f>VLOOKUP($B454,[1]ბიუჯეტი!$B$59:$K$464,8,FALSE)</f>
        <v>0</v>
      </c>
      <c r="S454" s="53">
        <f t="shared" si="109"/>
        <v>0</v>
      </c>
      <c r="T454">
        <f>VLOOKUP($B454,[1]ბიუჯეტი!$B$59:$K$464,10,FALSE)</f>
        <v>0</v>
      </c>
      <c r="U454" s="53">
        <f t="shared" si="110"/>
        <v>0</v>
      </c>
    </row>
    <row r="455" spans="1:21" hidden="1" outlineLevel="1" x14ac:dyDescent="0.35">
      <c r="A455" s="29"/>
      <c r="B455" s="7" t="s">
        <v>14</v>
      </c>
      <c r="C455" s="8" t="s">
        <v>40</v>
      </c>
      <c r="D455" s="5">
        <f>D454</f>
        <v>0</v>
      </c>
      <c r="E455" s="5">
        <f>1/1.18</f>
        <v>0.84745762711864414</v>
      </c>
      <c r="F455" s="5">
        <f t="shared" si="104"/>
        <v>0</v>
      </c>
      <c r="G455" s="5"/>
      <c r="H455" s="5"/>
      <c r="I455" s="5"/>
      <c r="J455" s="5"/>
      <c r="K455" s="5">
        <f t="shared" si="105"/>
        <v>0</v>
      </c>
      <c r="L455">
        <f>VLOOKUP($B455,[1]ბიუჯეტი!$B$59:$K$464,3,FALSE)</f>
        <v>0</v>
      </c>
      <c r="M455" s="53">
        <f t="shared" si="106"/>
        <v>0</v>
      </c>
      <c r="N455">
        <f>VLOOKUP($B455,[1]ბიუჯეტი!$B$59:$K$464,4,FALSE)</f>
        <v>0.84745762711864414</v>
      </c>
      <c r="O455" s="53">
        <f t="shared" si="107"/>
        <v>0</v>
      </c>
      <c r="P455">
        <f>VLOOKUP($B455,[1]ბიუჯეტი!$B$59:$K$464,6,FALSE)</f>
        <v>0</v>
      </c>
      <c r="Q455" s="53">
        <f t="shared" si="108"/>
        <v>0</v>
      </c>
      <c r="R455">
        <f>VLOOKUP($B455,[1]ბიუჯეტი!$B$59:$K$464,8,FALSE)</f>
        <v>0</v>
      </c>
      <c r="S455" s="53">
        <f t="shared" si="109"/>
        <v>0</v>
      </c>
      <c r="T455">
        <f>VLOOKUP($B455,[1]ბიუჯეტი!$B$59:$K$464,10,FALSE)</f>
        <v>0</v>
      </c>
      <c r="U455" s="53">
        <f t="shared" si="110"/>
        <v>0</v>
      </c>
    </row>
    <row r="456" spans="1:21" hidden="1" outlineLevel="1" x14ac:dyDescent="0.35">
      <c r="A456" s="29">
        <v>1</v>
      </c>
      <c r="B456" s="30" t="s">
        <v>200</v>
      </c>
      <c r="C456" s="8" t="s">
        <v>128</v>
      </c>
      <c r="D456" s="5">
        <v>30</v>
      </c>
      <c r="E456" s="5"/>
      <c r="F456" s="5">
        <f t="shared" si="104"/>
        <v>0</v>
      </c>
      <c r="G456" s="5">
        <f>110*1.275</f>
        <v>140.25</v>
      </c>
      <c r="H456" s="5">
        <f>D456*G456</f>
        <v>4207.5</v>
      </c>
      <c r="I456" s="5"/>
      <c r="J456" s="5"/>
      <c r="K456" s="5">
        <f t="shared" si="105"/>
        <v>4207.5</v>
      </c>
      <c r="L456">
        <f>VLOOKUP($B456,[1]ბიუჯეტი!$B$59:$K$464,3,FALSE)</f>
        <v>30</v>
      </c>
      <c r="M456" s="53">
        <f t="shared" si="106"/>
        <v>0</v>
      </c>
      <c r="N456">
        <f>VLOOKUP($B456,[1]ბიუჯეტი!$B$59:$K$464,4,FALSE)</f>
        <v>0</v>
      </c>
      <c r="O456" s="53">
        <f t="shared" si="107"/>
        <v>0</v>
      </c>
      <c r="P456">
        <f>VLOOKUP($B456,[1]ბიუჯეტი!$B$59:$K$464,6,FALSE)</f>
        <v>57.374999999999993</v>
      </c>
      <c r="Q456" s="53">
        <f t="shared" si="108"/>
        <v>82.875</v>
      </c>
      <c r="R456">
        <f>VLOOKUP($B456,[1]ბიუჯეტი!$B$59:$K$464,8,FALSE)</f>
        <v>0</v>
      </c>
      <c r="S456" s="53">
        <f t="shared" si="109"/>
        <v>0</v>
      </c>
      <c r="T456">
        <f>VLOOKUP($B456,[1]ბიუჯეტი!$B$59:$K$464,10,FALSE)</f>
        <v>1721.2499999999998</v>
      </c>
      <c r="U456" s="53">
        <f t="shared" si="110"/>
        <v>2486.25</v>
      </c>
    </row>
    <row r="457" spans="1:21" hidden="1" outlineLevel="1" x14ac:dyDescent="0.35">
      <c r="A457" s="29"/>
      <c r="B457" s="7" t="s">
        <v>153</v>
      </c>
      <c r="C457" s="8" t="s">
        <v>40</v>
      </c>
      <c r="D457" s="5">
        <f>D456*30</f>
        <v>900</v>
      </c>
      <c r="E457" s="5">
        <f>2.8/1.18</f>
        <v>2.3728813559322033</v>
      </c>
      <c r="F457" s="5">
        <f t="shared" si="104"/>
        <v>2135.593220338983</v>
      </c>
      <c r="G457" s="5"/>
      <c r="H457" s="5"/>
      <c r="I457" s="5"/>
      <c r="J457" s="5"/>
      <c r="K457" s="5">
        <f t="shared" si="105"/>
        <v>2135.593220338983</v>
      </c>
      <c r="L457">
        <f>VLOOKUP($B457,[1]ბიუჯეტი!$B$59:$K$464,3,FALSE)</f>
        <v>0</v>
      </c>
      <c r="M457" s="53">
        <f t="shared" si="106"/>
        <v>900</v>
      </c>
      <c r="N457">
        <f>VLOOKUP($B457,[1]ბიუჯეტი!$B$59:$K$464,4,FALSE)</f>
        <v>4.0677966101694913</v>
      </c>
      <c r="O457" s="53">
        <f t="shared" si="107"/>
        <v>-1.6949152542372881</v>
      </c>
      <c r="P457">
        <f>VLOOKUP($B457,[1]ბიუჯეტი!$B$59:$K$464,6,FALSE)</f>
        <v>0</v>
      </c>
      <c r="Q457" s="53">
        <f t="shared" si="108"/>
        <v>0</v>
      </c>
      <c r="R457">
        <f>VLOOKUP($B457,[1]ბიუჯეტი!$B$59:$K$464,8,FALSE)</f>
        <v>0</v>
      </c>
      <c r="S457" s="53">
        <f t="shared" si="109"/>
        <v>0</v>
      </c>
      <c r="T457">
        <f>VLOOKUP($B457,[1]ბიუჯეტი!$B$59:$K$464,10,FALSE)</f>
        <v>0</v>
      </c>
      <c r="U457" s="53">
        <f t="shared" si="110"/>
        <v>2135.593220338983</v>
      </c>
    </row>
    <row r="458" spans="1:21" hidden="1" outlineLevel="1" x14ac:dyDescent="0.35">
      <c r="A458" s="29"/>
      <c r="B458" s="7" t="s">
        <v>14</v>
      </c>
      <c r="C458" s="8" t="s">
        <v>40</v>
      </c>
      <c r="D458" s="5">
        <f>D457</f>
        <v>900</v>
      </c>
      <c r="E458" s="5">
        <f>1/1.18</f>
        <v>0.84745762711864414</v>
      </c>
      <c r="F458" s="5">
        <f t="shared" si="104"/>
        <v>762.71186440677968</v>
      </c>
      <c r="G458" s="5"/>
      <c r="H458" s="5"/>
      <c r="I458" s="5"/>
      <c r="J458" s="5"/>
      <c r="K458" s="5">
        <f t="shared" si="105"/>
        <v>762.71186440677968</v>
      </c>
      <c r="L458">
        <f>VLOOKUP($B458,[1]ბიუჯეტი!$B$59:$K$464,3,FALSE)</f>
        <v>0</v>
      </c>
      <c r="M458" s="53">
        <f t="shared" si="106"/>
        <v>900</v>
      </c>
      <c r="N458">
        <f>VLOOKUP($B458,[1]ბიუჯეტი!$B$59:$K$464,4,FALSE)</f>
        <v>0.84745762711864414</v>
      </c>
      <c r="O458" s="53">
        <f t="shared" si="107"/>
        <v>0</v>
      </c>
      <c r="P458">
        <f>VLOOKUP($B458,[1]ბიუჯეტი!$B$59:$K$464,6,FALSE)</f>
        <v>0</v>
      </c>
      <c r="Q458" s="53">
        <f t="shared" si="108"/>
        <v>0</v>
      </c>
      <c r="R458">
        <f>VLOOKUP($B458,[1]ბიუჯეტი!$B$59:$K$464,8,FALSE)</f>
        <v>0</v>
      </c>
      <c r="S458" s="53">
        <f t="shared" si="109"/>
        <v>0</v>
      </c>
      <c r="T458">
        <f>VLOOKUP($B458,[1]ბიუჯეტი!$B$59:$K$464,10,FALSE)</f>
        <v>0</v>
      </c>
      <c r="U458" s="53">
        <f t="shared" si="110"/>
        <v>762.71186440677968</v>
      </c>
    </row>
    <row r="459" spans="1:21" collapsed="1" x14ac:dyDescent="0.35">
      <c r="A459" s="29">
        <v>60</v>
      </c>
      <c r="B459" s="30" t="s">
        <v>161</v>
      </c>
      <c r="C459" s="8" t="s">
        <v>55</v>
      </c>
      <c r="D459" s="5">
        <v>2</v>
      </c>
      <c r="E459" s="5">
        <f>SUM(K461/D459)</f>
        <v>68150.847457627126</v>
      </c>
      <c r="F459" s="5">
        <f>D459*E459</f>
        <v>136301.69491525425</v>
      </c>
      <c r="G459" s="5">
        <v>0</v>
      </c>
      <c r="H459" s="5">
        <v>0</v>
      </c>
      <c r="I459" s="5">
        <v>0</v>
      </c>
      <c r="J459" s="5">
        <f>I459*D459</f>
        <v>0</v>
      </c>
      <c r="K459" s="5">
        <f>F459+H459+J459</f>
        <v>136301.69491525425</v>
      </c>
      <c r="L459">
        <f>VLOOKUP($B459,[1]ბიუჯეტი!$B$59:$K$464,3,FALSE)</f>
        <v>2</v>
      </c>
      <c r="M459" s="53">
        <f t="shared" si="106"/>
        <v>0</v>
      </c>
      <c r="N459">
        <f>VLOOKUP($B459,[1]ბიუჯეტი!$B$59:$K$464,4,FALSE)</f>
        <v>68150.847457627126</v>
      </c>
      <c r="O459" s="53">
        <f t="shared" si="107"/>
        <v>0</v>
      </c>
      <c r="P459">
        <f>VLOOKUP($B459,[1]ბიუჯეტი!$B$59:$K$464,6,FALSE)</f>
        <v>0</v>
      </c>
      <c r="Q459" s="53">
        <f t="shared" si="108"/>
        <v>0</v>
      </c>
      <c r="R459">
        <f>VLOOKUP($B459,[1]ბიუჯეტი!$B$59:$K$464,8,FALSE)</f>
        <v>0</v>
      </c>
      <c r="S459" s="53">
        <f t="shared" si="109"/>
        <v>0</v>
      </c>
      <c r="T459">
        <f>VLOOKUP($B459,[1]ბიუჯეტი!$B$59:$K$464,10,FALSE)</f>
        <v>136301.69491525425</v>
      </c>
      <c r="U459" s="53">
        <f t="shared" si="110"/>
        <v>0</v>
      </c>
    </row>
    <row r="460" spans="1:21" hidden="1" outlineLevel="1" x14ac:dyDescent="0.35">
      <c r="A460" s="29">
        <v>1</v>
      </c>
      <c r="B460" s="30" t="s">
        <v>300</v>
      </c>
      <c r="C460" s="8" t="s">
        <v>55</v>
      </c>
      <c r="D460" s="5">
        <v>2</v>
      </c>
      <c r="E460" s="5"/>
      <c r="F460" s="5">
        <f t="shared" si="104"/>
        <v>0</v>
      </c>
      <c r="G460" s="5"/>
      <c r="H460" s="5">
        <f>D460*G460</f>
        <v>0</v>
      </c>
      <c r="I460" s="5"/>
      <c r="J460" s="5"/>
      <c r="K460" s="5">
        <f>F460+H460</f>
        <v>0</v>
      </c>
      <c r="L460" t="e">
        <f>VLOOKUP($B460,[1]ბიუჯეტი!$B$59:$K$464,3,FALSE)</f>
        <v>#N/A</v>
      </c>
      <c r="M460" s="53" t="e">
        <f t="shared" si="106"/>
        <v>#N/A</v>
      </c>
      <c r="N460" t="e">
        <f>VLOOKUP($B460,[1]ბიუჯეტი!$B$59:$K$464,4,FALSE)</f>
        <v>#N/A</v>
      </c>
      <c r="O460" s="53" t="e">
        <f t="shared" si="107"/>
        <v>#N/A</v>
      </c>
      <c r="P460" t="e">
        <f>VLOOKUP($B460,[1]ბიუჯეტი!$B$59:$K$464,6,FALSE)</f>
        <v>#N/A</v>
      </c>
      <c r="Q460" s="53" t="e">
        <f t="shared" si="108"/>
        <v>#N/A</v>
      </c>
      <c r="R460" t="e">
        <f>VLOOKUP($B460,[1]ბიუჯეტი!$B$59:$K$464,8,FALSE)</f>
        <v>#N/A</v>
      </c>
      <c r="S460" s="53" t="e">
        <f t="shared" si="109"/>
        <v>#N/A</v>
      </c>
      <c r="T460" t="e">
        <f>VLOOKUP($B460,[1]ბიუჯეტი!$B$59:$K$464,10,FALSE)</f>
        <v>#N/A</v>
      </c>
      <c r="U460" s="53" t="e">
        <f t="shared" si="110"/>
        <v>#N/A</v>
      </c>
    </row>
    <row r="461" spans="1:21" hidden="1" outlineLevel="1" x14ac:dyDescent="0.35">
      <c r="A461" s="29"/>
      <c r="B461" s="7" t="s">
        <v>162</v>
      </c>
      <c r="C461" s="8" t="s">
        <v>55</v>
      </c>
      <c r="D461" s="5">
        <v>2</v>
      </c>
      <c r="E461" s="5">
        <f>30000*ფართები!$E$3/1.18</f>
        <v>68150.847457627126</v>
      </c>
      <c r="F461" s="5">
        <f t="shared" si="104"/>
        <v>136301.69491525425</v>
      </c>
      <c r="G461" s="5"/>
      <c r="H461" s="5">
        <f>D461*G461</f>
        <v>0</v>
      </c>
      <c r="I461" s="5"/>
      <c r="J461" s="5"/>
      <c r="K461" s="5">
        <f>F461+H461</f>
        <v>136301.69491525425</v>
      </c>
      <c r="L461">
        <f>VLOOKUP($B461,[1]ბიუჯეტი!$B$59:$K$464,3,FALSE)</f>
        <v>2</v>
      </c>
      <c r="M461" s="53">
        <f t="shared" si="106"/>
        <v>0</v>
      </c>
      <c r="N461">
        <f>VLOOKUP($B461,[1]ბიუჯეტი!$B$59:$K$464,4,FALSE)</f>
        <v>68150.847457627126</v>
      </c>
      <c r="O461" s="53">
        <f t="shared" si="107"/>
        <v>0</v>
      </c>
      <c r="P461">
        <f>VLOOKUP($B461,[1]ბიუჯეტი!$B$59:$K$464,6,FALSE)</f>
        <v>0</v>
      </c>
      <c r="Q461" s="53">
        <f t="shared" si="108"/>
        <v>0</v>
      </c>
      <c r="R461">
        <f>VLOOKUP($B461,[1]ბიუჯეტი!$B$59:$K$464,8,FALSE)</f>
        <v>0</v>
      </c>
      <c r="S461" s="53">
        <f t="shared" si="109"/>
        <v>0</v>
      </c>
      <c r="T461">
        <f>VLOOKUP($B461,[1]ბიუჯეტი!$B$59:$K$464,10,FALSE)</f>
        <v>136301.69491525425</v>
      </c>
      <c r="U461" s="53">
        <f t="shared" si="110"/>
        <v>0</v>
      </c>
    </row>
    <row r="462" spans="1:21" collapsed="1" x14ac:dyDescent="0.35">
      <c r="A462" s="29">
        <v>62</v>
      </c>
      <c r="B462" s="30" t="s">
        <v>163</v>
      </c>
      <c r="C462" s="8" t="s">
        <v>10</v>
      </c>
      <c r="D462" s="5">
        <v>54</v>
      </c>
      <c r="E462" s="5">
        <v>0</v>
      </c>
      <c r="F462" s="5">
        <f t="shared" si="104"/>
        <v>0</v>
      </c>
      <c r="G462" s="5"/>
      <c r="H462" s="5">
        <f>G462*D462</f>
        <v>0</v>
      </c>
      <c r="I462" s="5">
        <f>105*ფართები!$E$3</f>
        <v>281.46300000000002</v>
      </c>
      <c r="J462" s="5">
        <f>I462*D462</f>
        <v>15199.002</v>
      </c>
      <c r="K462" s="5">
        <f>F462+H462+J462</f>
        <v>15199.002</v>
      </c>
      <c r="L462">
        <f>VLOOKUP($B462,[1]ბიუჯეტი!$B$59:$K$464,3,FALSE)</f>
        <v>0</v>
      </c>
      <c r="M462" s="53">
        <f t="shared" si="106"/>
        <v>54</v>
      </c>
      <c r="N462">
        <f>VLOOKUP($B462,[1]ბიუჯეტი!$B$59:$K$464,4,FALSE)</f>
        <v>0</v>
      </c>
      <c r="O462" s="53">
        <f t="shared" si="107"/>
        <v>0</v>
      </c>
      <c r="P462">
        <f>VLOOKUP($B462,[1]ბიუჯეტი!$B$59:$K$464,6,FALSE)</f>
        <v>0</v>
      </c>
      <c r="Q462" s="53">
        <f t="shared" si="108"/>
        <v>0</v>
      </c>
      <c r="R462">
        <f>VLOOKUP($B462,[1]ბიუჯეტი!$B$59:$K$464,8,FALSE)</f>
        <v>281.46300000000002</v>
      </c>
      <c r="S462" s="53">
        <f t="shared" si="109"/>
        <v>0</v>
      </c>
      <c r="T462">
        <f>VLOOKUP($B462,[1]ბიუჯეტი!$B$59:$K$464,10,FALSE)</f>
        <v>0</v>
      </c>
      <c r="U462" s="53">
        <f t="shared" si="110"/>
        <v>15199.002</v>
      </c>
    </row>
    <row r="463" spans="1:21" x14ac:dyDescent="0.35">
      <c r="A463" s="29">
        <v>63</v>
      </c>
      <c r="B463" s="30" t="s">
        <v>164</v>
      </c>
      <c r="C463" s="8" t="s">
        <v>49</v>
      </c>
      <c r="D463" s="5">
        <v>2</v>
      </c>
      <c r="E463" s="5">
        <v>0</v>
      </c>
      <c r="F463" s="5">
        <v>0</v>
      </c>
      <c r="G463" s="5">
        <f>50*1.275</f>
        <v>63.749999999999993</v>
      </c>
      <c r="H463" s="5">
        <v>0</v>
      </c>
      <c r="I463" s="5">
        <f>250/1.18</f>
        <v>211.86440677966104</v>
      </c>
      <c r="J463" s="5">
        <f t="shared" ref="J463:J472" si="111">I463*D463</f>
        <v>423.72881355932208</v>
      </c>
      <c r="K463" s="5">
        <f>J463+H463+F463</f>
        <v>423.72881355932208</v>
      </c>
      <c r="L463">
        <f>VLOOKUP($B463,[1]ბიუჯეტი!$B$59:$K$464,3,FALSE)</f>
        <v>2</v>
      </c>
      <c r="M463" s="53">
        <f t="shared" si="106"/>
        <v>0</v>
      </c>
      <c r="N463">
        <f>VLOOKUP($B463,[1]ბიუჯეტი!$B$59:$K$464,4,FALSE)</f>
        <v>0</v>
      </c>
      <c r="O463" s="53">
        <f t="shared" si="107"/>
        <v>0</v>
      </c>
      <c r="P463">
        <f>VLOOKUP($B463,[1]ბიუჯეტი!$B$59:$K$464,6,FALSE)</f>
        <v>63.749999999999993</v>
      </c>
      <c r="Q463" s="53">
        <f t="shared" si="108"/>
        <v>0</v>
      </c>
      <c r="R463">
        <f>VLOOKUP($B463,[1]ბიუჯეტი!$B$59:$K$464,8,FALSE)</f>
        <v>169.49152542372883</v>
      </c>
      <c r="S463" s="53">
        <f t="shared" si="109"/>
        <v>42.372881355932208</v>
      </c>
      <c r="T463">
        <f>VLOOKUP($B463,[1]ბიუჯეტი!$B$59:$K$464,10,FALSE)</f>
        <v>338.98305084745766</v>
      </c>
      <c r="U463" s="53">
        <f t="shared" si="110"/>
        <v>84.745762711864415</v>
      </c>
    </row>
    <row r="464" spans="1:21" x14ac:dyDescent="0.35">
      <c r="A464" s="29">
        <v>65</v>
      </c>
      <c r="B464" s="30" t="s">
        <v>165</v>
      </c>
      <c r="C464" s="8" t="s">
        <v>19</v>
      </c>
      <c r="D464" s="5">
        <v>8</v>
      </c>
      <c r="E464" s="5"/>
      <c r="F464" s="5">
        <f>D464*E464</f>
        <v>0</v>
      </c>
      <c r="G464" s="5"/>
      <c r="H464" s="5">
        <f t="shared" ref="H464:H472" si="112">G464*D464</f>
        <v>0</v>
      </c>
      <c r="I464" s="5">
        <f>1553*ფართები!$E$3/1.18+112/1.18</f>
        <v>3622.8574576271189</v>
      </c>
      <c r="J464" s="5">
        <f t="shared" si="111"/>
        <v>28982.859661016952</v>
      </c>
      <c r="K464" s="5">
        <f>H464+F464+J464</f>
        <v>28982.859661016952</v>
      </c>
      <c r="L464">
        <f>VLOOKUP($B464,[1]ბიუჯეტი!$B$59:$K$464,3,FALSE)</f>
        <v>8</v>
      </c>
      <c r="M464" s="53">
        <f t="shared" si="106"/>
        <v>0</v>
      </c>
      <c r="N464">
        <f>VLOOKUP($B464,[1]ბიუჯეტი!$B$59:$K$464,4,FALSE)</f>
        <v>0</v>
      </c>
      <c r="O464" s="53">
        <f t="shared" si="107"/>
        <v>0</v>
      </c>
      <c r="P464">
        <f>VLOOKUP($B464,[1]ბიუჯეტი!$B$59:$K$464,6,FALSE)</f>
        <v>0</v>
      </c>
      <c r="Q464" s="53">
        <f t="shared" si="108"/>
        <v>0</v>
      </c>
      <c r="R464">
        <f>VLOOKUP($B464,[1]ბიუჯეტი!$B$59:$K$464,8,FALSE)</f>
        <v>3622.8574576271189</v>
      </c>
      <c r="S464" s="53">
        <f t="shared" si="109"/>
        <v>0</v>
      </c>
      <c r="T464">
        <f>VLOOKUP($B464,[1]ბიუჯეტი!$B$59:$K$464,10,FALSE)</f>
        <v>28982.859661016952</v>
      </c>
      <c r="U464" s="53">
        <f t="shared" si="110"/>
        <v>0</v>
      </c>
    </row>
    <row r="465" spans="1:21" x14ac:dyDescent="0.35">
      <c r="A465" s="29">
        <v>66</v>
      </c>
      <c r="B465" s="30" t="s">
        <v>166</v>
      </c>
      <c r="C465" s="8" t="s">
        <v>19</v>
      </c>
      <c r="D465" s="5">
        <v>8</v>
      </c>
      <c r="E465" s="5"/>
      <c r="F465" s="5">
        <f>D465*E465</f>
        <v>0</v>
      </c>
      <c r="G465" s="5"/>
      <c r="H465" s="5">
        <f t="shared" si="112"/>
        <v>0</v>
      </c>
      <c r="I465" s="5">
        <f>1624*ფართები!E3/1.18+112/1.18</f>
        <v>3784.1477966101693</v>
      </c>
      <c r="J465" s="5">
        <f t="shared" si="111"/>
        <v>30273.182372881354</v>
      </c>
      <c r="K465" s="5">
        <f>H465+F465+J465</f>
        <v>30273.182372881354</v>
      </c>
      <c r="L465">
        <f>VLOOKUP($B465,[1]ბიუჯეტი!$B$59:$K$464,3,FALSE)</f>
        <v>8</v>
      </c>
      <c r="M465" s="53">
        <f t="shared" si="106"/>
        <v>0</v>
      </c>
      <c r="N465">
        <f>VLOOKUP($B465,[1]ბიუჯეტი!$B$59:$K$464,4,FALSE)</f>
        <v>0</v>
      </c>
      <c r="O465" s="53">
        <f t="shared" si="107"/>
        <v>0</v>
      </c>
      <c r="P465">
        <f>VLOOKUP($B465,[1]ბიუჯეტი!$B$59:$K$464,6,FALSE)</f>
        <v>0</v>
      </c>
      <c r="Q465" s="53">
        <f t="shared" si="108"/>
        <v>0</v>
      </c>
      <c r="R465">
        <f>VLOOKUP($B465,[1]ბიუჯეტი!$B$59:$K$464,8,FALSE)</f>
        <v>3784.1477966101693</v>
      </c>
      <c r="S465" s="53">
        <f t="shared" si="109"/>
        <v>0</v>
      </c>
      <c r="T465">
        <f>VLOOKUP($B465,[1]ბიუჯეტი!$B$59:$K$464,10,FALSE)</f>
        <v>30273.182372881354</v>
      </c>
      <c r="U465" s="53">
        <f t="shared" si="110"/>
        <v>0</v>
      </c>
    </row>
    <row r="466" spans="1:21" x14ac:dyDescent="0.35">
      <c r="A466" s="29">
        <v>67</v>
      </c>
      <c r="B466" s="30" t="s">
        <v>167</v>
      </c>
      <c r="C466" s="8" t="s">
        <v>168</v>
      </c>
      <c r="D466" s="5">
        <v>2</v>
      </c>
      <c r="E466" s="5"/>
      <c r="F466" s="5">
        <f>D466*E466</f>
        <v>0</v>
      </c>
      <c r="G466" s="5"/>
      <c r="H466" s="5">
        <f t="shared" si="112"/>
        <v>0</v>
      </c>
      <c r="I466" s="5">
        <f>2584.5*ფართები!$E$3/1.18+112/1.18</f>
        <v>5966.1107627118654</v>
      </c>
      <c r="J466" s="5">
        <f t="shared" si="111"/>
        <v>11932.221525423731</v>
      </c>
      <c r="K466" s="5">
        <f>H466+F466+J466</f>
        <v>11932.221525423731</v>
      </c>
      <c r="L466">
        <f>VLOOKUP($B466,[1]ბიუჯეტი!$B$59:$K$464,3,FALSE)</f>
        <v>2</v>
      </c>
      <c r="M466" s="53">
        <f t="shared" si="106"/>
        <v>0</v>
      </c>
      <c r="N466">
        <f>VLOOKUP($B466,[1]ბიუჯეტი!$B$59:$K$464,4,FALSE)</f>
        <v>0</v>
      </c>
      <c r="O466" s="53">
        <f t="shared" si="107"/>
        <v>0</v>
      </c>
      <c r="P466">
        <f>VLOOKUP($B466,[1]ბიუჯეტი!$B$59:$K$464,6,FALSE)</f>
        <v>0</v>
      </c>
      <c r="Q466" s="53">
        <f t="shared" si="108"/>
        <v>0</v>
      </c>
      <c r="R466">
        <f>VLOOKUP($B466,[1]ბიუჯეტი!$B$59:$K$464,8,FALSE)</f>
        <v>5966.1107627118654</v>
      </c>
      <c r="S466" s="53">
        <f t="shared" si="109"/>
        <v>0</v>
      </c>
      <c r="T466">
        <f>VLOOKUP($B466,[1]ბიუჯეტი!$B$59:$K$464,10,FALSE)</f>
        <v>11932.221525423731</v>
      </c>
      <c r="U466" s="53">
        <f t="shared" si="110"/>
        <v>0</v>
      </c>
    </row>
    <row r="467" spans="1:21" x14ac:dyDescent="0.35">
      <c r="A467" s="29">
        <v>68</v>
      </c>
      <c r="B467" s="30" t="s">
        <v>169</v>
      </c>
      <c r="C467" s="8" t="s">
        <v>128</v>
      </c>
      <c r="D467" s="5">
        <v>30</v>
      </c>
      <c r="E467" s="5">
        <v>0</v>
      </c>
      <c r="F467" s="5">
        <f t="shared" ref="F467:F471" si="113">D467*E467</f>
        <v>0</v>
      </c>
      <c r="G467" s="5"/>
      <c r="H467" s="5">
        <f t="shared" si="112"/>
        <v>0</v>
      </c>
      <c r="I467" s="5">
        <f>156.25*ფართები!$E$3/1.18</f>
        <v>354.95233050847457</v>
      </c>
      <c r="J467" s="5">
        <f t="shared" si="111"/>
        <v>10648.569915254237</v>
      </c>
      <c r="K467" s="5">
        <f>F467+H467+J467</f>
        <v>10648.569915254237</v>
      </c>
      <c r="L467">
        <f>VLOOKUP($B467,[1]ბიუჯეტი!$B$59:$K$464,3,FALSE)</f>
        <v>39</v>
      </c>
      <c r="M467" s="53">
        <f t="shared" si="106"/>
        <v>-9</v>
      </c>
      <c r="N467">
        <f>VLOOKUP($B467,[1]ბიუჯეტი!$B$59:$K$464,4,FALSE)</f>
        <v>0</v>
      </c>
      <c r="O467" s="53">
        <f t="shared" si="107"/>
        <v>0</v>
      </c>
      <c r="P467">
        <f>VLOOKUP($B467,[1]ბიუჯეტი!$B$59:$K$464,6,FALSE)</f>
        <v>0</v>
      </c>
      <c r="Q467" s="53">
        <f t="shared" si="108"/>
        <v>0</v>
      </c>
      <c r="R467">
        <f>VLOOKUP($B467,[1]ბიუჯეტი!$B$59:$K$464,8,FALSE)</f>
        <v>354.95233050847457</v>
      </c>
      <c r="S467" s="53">
        <f t="shared" si="109"/>
        <v>0</v>
      </c>
      <c r="T467">
        <f>VLOOKUP($B467,[1]ბიუჯეტი!$B$59:$K$464,10,FALSE)</f>
        <v>13843.140889830509</v>
      </c>
      <c r="U467" s="53">
        <f t="shared" si="110"/>
        <v>-3194.5709745762724</v>
      </c>
    </row>
    <row r="468" spans="1:21" x14ac:dyDescent="0.35">
      <c r="A468" s="29">
        <v>69</v>
      </c>
      <c r="B468" s="30" t="s">
        <v>205</v>
      </c>
      <c r="C468" s="8" t="s">
        <v>128</v>
      </c>
      <c r="D468" s="5">
        <v>30</v>
      </c>
      <c r="E468" s="5">
        <v>0</v>
      </c>
      <c r="F468" s="5">
        <f t="shared" ref="F468" si="114">D468*E468</f>
        <v>0</v>
      </c>
      <c r="G468" s="5"/>
      <c r="H468" s="5">
        <f t="shared" ref="H468" si="115">G468*D468</f>
        <v>0</v>
      </c>
      <c r="I468" s="5">
        <f>84*1.275</f>
        <v>107.1</v>
      </c>
      <c r="J468" s="5">
        <f t="shared" ref="J468" si="116">I468*D468</f>
        <v>3213</v>
      </c>
      <c r="K468" s="5">
        <f>F468+H468+J468</f>
        <v>3213</v>
      </c>
      <c r="L468">
        <f>VLOOKUP($B468,[1]ბიუჯეტი!$B$59:$K$464,3,FALSE)</f>
        <v>39</v>
      </c>
      <c r="M468" s="53">
        <f t="shared" si="106"/>
        <v>-9</v>
      </c>
      <c r="N468">
        <f>VLOOKUP($B468,[1]ბიუჯეტი!$B$59:$K$464,4,FALSE)</f>
        <v>0</v>
      </c>
      <c r="O468" s="53">
        <f t="shared" si="107"/>
        <v>0</v>
      </c>
      <c r="P468">
        <f>VLOOKUP($B468,[1]ბიუჯეტი!$B$59:$K$464,6,FALSE)</f>
        <v>0</v>
      </c>
      <c r="Q468" s="53">
        <f t="shared" si="108"/>
        <v>0</v>
      </c>
      <c r="R468">
        <f>VLOOKUP($B468,[1]ბიუჯეტი!$B$59:$K$464,8,FALSE)</f>
        <v>107.1</v>
      </c>
      <c r="S468" s="53">
        <f t="shared" si="109"/>
        <v>0</v>
      </c>
      <c r="T468">
        <f>VLOOKUP($B468,[1]ბიუჯეტი!$B$59:$K$464,10,FALSE)</f>
        <v>4176.8999999999996</v>
      </c>
      <c r="U468" s="53">
        <f t="shared" si="110"/>
        <v>-963.89999999999964</v>
      </c>
    </row>
    <row r="469" spans="1:21" x14ac:dyDescent="0.35">
      <c r="A469" s="29">
        <v>70</v>
      </c>
      <c r="B469" s="30" t="s">
        <v>170</v>
      </c>
      <c r="C469" s="8" t="s">
        <v>10</v>
      </c>
      <c r="D469" s="5">
        <v>450</v>
      </c>
      <c r="E469" s="5">
        <f>0.5/1.18</f>
        <v>0.42372881355932207</v>
      </c>
      <c r="F469" s="5">
        <f t="shared" si="113"/>
        <v>190.67796610169492</v>
      </c>
      <c r="G469" s="5">
        <f>2*1.275</f>
        <v>2.5499999999999998</v>
      </c>
      <c r="H469" s="5">
        <f t="shared" si="112"/>
        <v>1147.5</v>
      </c>
      <c r="I469" s="5">
        <v>0</v>
      </c>
      <c r="J469" s="5">
        <f t="shared" si="111"/>
        <v>0</v>
      </c>
      <c r="K469" s="5">
        <f>F469+H469</f>
        <v>1338.1779661016949</v>
      </c>
      <c r="L469">
        <f>VLOOKUP($B469,[1]ბიუჯეტი!$B$59:$K$464,3,FALSE)</f>
        <v>450</v>
      </c>
      <c r="M469" s="53">
        <f t="shared" si="106"/>
        <v>0</v>
      </c>
      <c r="N469">
        <f>VLOOKUP($B469,[1]ბიუჯეტი!$B$59:$K$464,4,FALSE)</f>
        <v>0.42372881355932207</v>
      </c>
      <c r="O469" s="53">
        <f t="shared" si="107"/>
        <v>0</v>
      </c>
      <c r="P469">
        <f>VLOOKUP($B469,[1]ბიუჯეტი!$B$59:$K$464,6,FALSE)</f>
        <v>2.5499999999999998</v>
      </c>
      <c r="Q469" s="53">
        <f t="shared" si="108"/>
        <v>0</v>
      </c>
      <c r="R469">
        <f>VLOOKUP($B469,[1]ბიუჯეტი!$B$59:$K$464,8,FALSE)</f>
        <v>0</v>
      </c>
      <c r="S469" s="53">
        <f t="shared" si="109"/>
        <v>0</v>
      </c>
      <c r="T469">
        <f>VLOOKUP($B469,[1]ბიუჯეტი!$B$59:$K$464,10,FALSE)</f>
        <v>1338.1779661016949</v>
      </c>
      <c r="U469" s="53">
        <f t="shared" si="110"/>
        <v>0</v>
      </c>
    </row>
    <row r="470" spans="1:21" x14ac:dyDescent="0.35">
      <c r="A470" s="29">
        <v>71</v>
      </c>
      <c r="B470" s="30" t="s">
        <v>171</v>
      </c>
      <c r="C470" s="8" t="s">
        <v>49</v>
      </c>
      <c r="D470" s="5">
        <v>72</v>
      </c>
      <c r="E470" s="5">
        <f>90/1.18</f>
        <v>76.271186440677965</v>
      </c>
      <c r="F470" s="5">
        <f>D470*E470</f>
        <v>5491.5254237288136</v>
      </c>
      <c r="G470" s="5">
        <f>40*1.275</f>
        <v>51</v>
      </c>
      <c r="H470" s="5">
        <f>G470*D470</f>
        <v>3672</v>
      </c>
      <c r="I470" s="5">
        <v>0</v>
      </c>
      <c r="J470" s="5">
        <f>I470*D470</f>
        <v>0</v>
      </c>
      <c r="K470" s="5">
        <f>F470+H470+J470</f>
        <v>9163.5254237288136</v>
      </c>
      <c r="L470">
        <f>VLOOKUP($B470,[1]ბიუჯეტი!$B$59:$K$464,3,FALSE)</f>
        <v>108</v>
      </c>
      <c r="M470" s="53">
        <f t="shared" si="106"/>
        <v>-36</v>
      </c>
      <c r="N470">
        <f>VLOOKUP($B470,[1]ბიუჯეტი!$B$59:$K$464,4,FALSE)</f>
        <v>76.271186440677965</v>
      </c>
      <c r="O470" s="53">
        <f t="shared" si="107"/>
        <v>0</v>
      </c>
      <c r="P470">
        <f>VLOOKUP($B470,[1]ბიუჯეტი!$B$59:$K$464,6,FALSE)</f>
        <v>51</v>
      </c>
      <c r="Q470" s="53">
        <f t="shared" si="108"/>
        <v>0</v>
      </c>
      <c r="R470">
        <f>VLOOKUP($B470,[1]ბიუჯეტი!$B$59:$K$464,8,FALSE)</f>
        <v>0</v>
      </c>
      <c r="S470" s="53">
        <f t="shared" si="109"/>
        <v>0</v>
      </c>
      <c r="T470">
        <f>VLOOKUP($B470,[1]ბიუჯეტი!$B$59:$K$464,10,FALSE)</f>
        <v>13745.28813559322</v>
      </c>
      <c r="U470" s="53">
        <f t="shared" si="110"/>
        <v>-4581.7627118644068</v>
      </c>
    </row>
    <row r="471" spans="1:21" x14ac:dyDescent="0.35">
      <c r="A471" s="29">
        <v>72</v>
      </c>
      <c r="B471" s="30" t="s">
        <v>29</v>
      </c>
      <c r="C471" s="8" t="s">
        <v>30</v>
      </c>
      <c r="D471" s="5">
        <v>130</v>
      </c>
      <c r="E471" s="5"/>
      <c r="F471" s="5">
        <f t="shared" si="113"/>
        <v>0</v>
      </c>
      <c r="G471" s="5">
        <f>8*80*1.275</f>
        <v>816</v>
      </c>
      <c r="H471" s="5">
        <f t="shared" si="112"/>
        <v>106080</v>
      </c>
      <c r="I471" s="5">
        <v>0</v>
      </c>
      <c r="J471" s="5">
        <f t="shared" si="111"/>
        <v>0</v>
      </c>
      <c r="K471" s="5">
        <f>F471+H471</f>
        <v>106080</v>
      </c>
      <c r="L471">
        <f>VLOOKUP($B471,[1]ბიუჯეტი!$B$59:$K$464,3,FALSE)</f>
        <v>130</v>
      </c>
      <c r="M471" s="53">
        <f t="shared" si="106"/>
        <v>0</v>
      </c>
      <c r="N471">
        <f>VLOOKUP($B471,[1]ბიუჯეტი!$B$59:$K$464,4,FALSE)</f>
        <v>0</v>
      </c>
      <c r="O471" s="53">
        <f t="shared" si="107"/>
        <v>0</v>
      </c>
      <c r="P471">
        <f>VLOOKUP($B471,[1]ბიუჯეტი!$B$59:$K$464,6,FALSE)</f>
        <v>816</v>
      </c>
      <c r="Q471" s="53">
        <f t="shared" si="108"/>
        <v>0</v>
      </c>
      <c r="R471">
        <f>VLOOKUP($B471,[1]ბიუჯეტი!$B$59:$K$464,8,FALSE)</f>
        <v>0</v>
      </c>
      <c r="S471" s="53">
        <f t="shared" si="109"/>
        <v>0</v>
      </c>
      <c r="T471">
        <f>VLOOKUP($B471,[1]ბიუჯეტი!$B$59:$K$464,10,FALSE)</f>
        <v>106080</v>
      </c>
      <c r="U471" s="53">
        <f t="shared" si="110"/>
        <v>0</v>
      </c>
    </row>
    <row r="472" spans="1:21" x14ac:dyDescent="0.35">
      <c r="A472" s="29">
        <v>73</v>
      </c>
      <c r="B472" s="30" t="s">
        <v>37</v>
      </c>
      <c r="C472" s="8" t="s">
        <v>39</v>
      </c>
      <c r="D472" s="5">
        <v>3</v>
      </c>
      <c r="E472" s="5">
        <f>8200/1.18</f>
        <v>6949.1525423728817</v>
      </c>
      <c r="F472" s="5">
        <f>D472*E472</f>
        <v>20847.457627118645</v>
      </c>
      <c r="G472" s="5">
        <v>0</v>
      </c>
      <c r="H472" s="5">
        <f t="shared" si="112"/>
        <v>0</v>
      </c>
      <c r="I472" s="5">
        <f>9500/1.18</f>
        <v>8050.8474576271192</v>
      </c>
      <c r="J472" s="5">
        <f t="shared" si="111"/>
        <v>24152.542372881358</v>
      </c>
      <c r="K472" s="5">
        <f>F472+H472+J472</f>
        <v>45000</v>
      </c>
      <c r="L472">
        <f>VLOOKUP($B472,[1]ბიუჯეტი!$B$59:$K$464,3,FALSE)</f>
        <v>3</v>
      </c>
      <c r="M472" s="53">
        <f t="shared" si="106"/>
        <v>0</v>
      </c>
      <c r="N472">
        <f>VLOOKUP($B472,[1]ბიუჯეტი!$B$59:$K$464,4,FALSE)</f>
        <v>4298.2946919019705</v>
      </c>
      <c r="O472" s="53">
        <f t="shared" si="107"/>
        <v>2650.8578504709112</v>
      </c>
      <c r="P472">
        <f>VLOOKUP($B472,[1]ბიუჯეტი!$B$59:$K$464,6,FALSE)</f>
        <v>0</v>
      </c>
      <c r="Q472" s="53">
        <f t="shared" si="108"/>
        <v>0</v>
      </c>
      <c r="R472">
        <f>VLOOKUP($B472,[1]ბიუჯეტი!$B$59:$K$464,8,FALSE)</f>
        <v>6949.1525423728817</v>
      </c>
      <c r="S472" s="53">
        <f t="shared" si="109"/>
        <v>1101.6949152542375</v>
      </c>
      <c r="T472">
        <f>VLOOKUP($B472,[1]ბიუჯეტი!$B$59:$K$464,10,FALSE)</f>
        <v>33742.34170282456</v>
      </c>
      <c r="U472" s="53">
        <f t="shared" si="110"/>
        <v>11257.65829717544</v>
      </c>
    </row>
    <row r="473" spans="1:21" x14ac:dyDescent="0.35">
      <c r="A473" s="6"/>
      <c r="B473" s="20" t="s">
        <v>8</v>
      </c>
      <c r="C473" s="8"/>
      <c r="D473" s="5"/>
      <c r="E473" s="5"/>
      <c r="F473" s="33">
        <f>SUM(F60,F88,F92,F116,F129,F140,F161,F165,F166,F183,F193,F197,F207,F217,F227,F240,F256,F269,F278,F290,F300,F310,F333,F356,F360,F363,F365,F367,F371,F374,F377,F380,F384,F389,F390,F391,F404,F409,F416,F432,F445,F452,F459,F462,F463,F464,F465,F466,F467,F469,F471,F470,F472,F468)</f>
        <v>635194.12075284729</v>
      </c>
      <c r="G473" s="5"/>
      <c r="H473" s="33">
        <f>SUM(H60,H88,H92,H116,H129,H140,H161,H165,H166,H183,H193,H197,H207,H217,H227,H240,H256,H269,H278,H290,H300,H310,H333,H356,H360,H363,H365,H367,H371,H374,H377,H380,H384,H389,H390,H391,H404,H409,H416,H432,H445,H452,H459,H462,H463,H464,H465,H466,H467,H469,H471,H470,H472,H468)</f>
        <v>579718.41190312512</v>
      </c>
      <c r="I473" s="26"/>
      <c r="J473" s="33">
        <f>SUM(J60,J88,J92,J116,J129,J140,J161,J165,J166,J183,J193,J197,J207,J217,J227,J240,J256,J269,J278,J290,J300,J310,J333,J356,J360,J363,J365,J367,J371,J374,J377,J380,J384,J389,J390,J391,J404,J409,J416,J432,J445,J452,J459,J462,J463,J464,J465,J466,J467,J469,J471,J470,J472,J468)</f>
        <v>524355.19777966104</v>
      </c>
      <c r="K473" s="33">
        <f>SUM(K60,K88,K92,K116,K129,K140,K161,K165,K166,K183,K193,K197,K207,K217,K227,K240,K256,K269,K278,K290,K300,K310,K333,K356,K360,K363,K365,K367,K371,K374,K377,K380,K384,K389,K390,K391,K404,K409,K416,K432,K445,K452,K459,K462,K463,K464,K465,K466,K467,K469,K471,K470,K472,K468)</f>
        <v>1739267.7304356331</v>
      </c>
    </row>
    <row r="474" spans="1:21" x14ac:dyDescent="0.35">
      <c r="A474" s="6"/>
      <c r="B474" s="20" t="s">
        <v>15</v>
      </c>
      <c r="C474" s="21">
        <v>7.3999999999999996E-2</v>
      </c>
      <c r="D474" s="22"/>
      <c r="E474" s="23"/>
      <c r="F474" s="24"/>
      <c r="G474" s="22"/>
      <c r="H474" s="24"/>
      <c r="I474" s="24"/>
      <c r="J474" s="24"/>
      <c r="K474" s="44">
        <f>K473*C474</f>
        <v>128705.81205223684</v>
      </c>
    </row>
    <row r="475" spans="1:21" x14ac:dyDescent="0.35">
      <c r="A475" s="6"/>
      <c r="B475" s="20" t="s">
        <v>8</v>
      </c>
      <c r="C475" s="25"/>
      <c r="D475" s="22"/>
      <c r="E475" s="23"/>
      <c r="F475" s="24"/>
      <c r="G475" s="22"/>
      <c r="H475" s="26"/>
      <c r="I475" s="24"/>
      <c r="J475" s="24"/>
      <c r="K475" s="24">
        <f>SUM(K473:K474)</f>
        <v>1867973.54248787</v>
      </c>
    </row>
    <row r="476" spans="1:21" x14ac:dyDescent="0.35">
      <c r="A476" s="6"/>
      <c r="B476" s="20" t="s">
        <v>42</v>
      </c>
      <c r="C476" s="21">
        <v>3.5000000000000003E-2</v>
      </c>
      <c r="D476" s="22"/>
      <c r="E476" s="23"/>
      <c r="F476" s="26"/>
      <c r="G476" s="22"/>
      <c r="H476" s="26"/>
      <c r="I476" s="26"/>
      <c r="J476" s="26"/>
      <c r="K476" s="24">
        <f>K475*C476</f>
        <v>65379.073987075455</v>
      </c>
    </row>
    <row r="477" spans="1:21" x14ac:dyDescent="0.35">
      <c r="A477" s="6"/>
      <c r="B477" s="20" t="s">
        <v>8</v>
      </c>
      <c r="C477" s="8"/>
      <c r="D477" s="22"/>
      <c r="E477" s="22"/>
      <c r="F477" s="26"/>
      <c r="G477" s="22"/>
      <c r="H477" s="26"/>
      <c r="I477" s="26"/>
      <c r="J477" s="26"/>
      <c r="K477" s="24">
        <f>SUM(K475:K476)</f>
        <v>1933352.6164749453</v>
      </c>
    </row>
    <row r="478" spans="1:21" x14ac:dyDescent="0.35">
      <c r="A478" s="6"/>
      <c r="B478" s="20" t="s">
        <v>16</v>
      </c>
      <c r="C478" s="21">
        <v>0.16500000000000001</v>
      </c>
      <c r="D478" s="22"/>
      <c r="E478" s="23"/>
      <c r="F478" s="26"/>
      <c r="G478" s="22"/>
      <c r="H478" s="26"/>
      <c r="I478" s="26"/>
      <c r="J478" s="26"/>
      <c r="K478" s="24">
        <f>K477*C478</f>
        <v>319003.18171836599</v>
      </c>
    </row>
    <row r="479" spans="1:21" x14ac:dyDescent="0.35">
      <c r="A479" s="6"/>
      <c r="B479" s="20" t="s">
        <v>8</v>
      </c>
      <c r="C479" s="8"/>
      <c r="D479" s="22"/>
      <c r="E479" s="22"/>
      <c r="F479" s="26"/>
      <c r="G479" s="22"/>
      <c r="H479" s="26"/>
      <c r="I479" s="26"/>
      <c r="J479" s="26"/>
      <c r="K479" s="24">
        <f>SUM(K477:K478)</f>
        <v>2252355.7981933113</v>
      </c>
    </row>
    <row r="480" spans="1:21" x14ac:dyDescent="0.35">
      <c r="A480" s="6"/>
      <c r="B480" s="20" t="s">
        <v>17</v>
      </c>
      <c r="C480" s="21">
        <v>0.18</v>
      </c>
      <c r="D480" s="22"/>
      <c r="E480" s="22"/>
      <c r="F480" s="26"/>
      <c r="G480" s="22"/>
      <c r="H480" s="26"/>
      <c r="I480" s="26"/>
      <c r="J480" s="26"/>
      <c r="K480" s="24">
        <f>K479*C480</f>
        <v>405424.043674796</v>
      </c>
    </row>
    <row r="481" spans="1:11" x14ac:dyDescent="0.35">
      <c r="A481" s="6"/>
      <c r="B481" s="20" t="s">
        <v>18</v>
      </c>
      <c r="C481" s="8"/>
      <c r="D481" s="22"/>
      <c r="E481" s="22"/>
      <c r="F481" s="26"/>
      <c r="G481" s="22"/>
      <c r="H481" s="26"/>
      <c r="I481" s="26"/>
      <c r="J481" s="26"/>
      <c r="K481" s="24">
        <f>SUM(K479:K480)</f>
        <v>2657779.8418681072</v>
      </c>
    </row>
  </sheetData>
  <autoFilter ref="A59:K481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5:K46 K49:K56 H92 H88 E311:F311 H460:K462 J459:K459 E417:F417 E356:H383 F237:K239 F199:K200 F197:F198 H197:K198 F202:K203 F201 H201:K201 F205:K206 F204 H204:K204 F209:K216 F207:F208 H207:K208 F218:K218 F217 H217:K217 F221:K221 F219:G220 I219:K220 F224:K224 F222:G223 I222:K223 F225:G226 I225:K226 F234 H234:K234 F231:K233 F227:F228 F229:K229 F235:K235 H227:K228 F252:K255 F251 H251:K251 F247:K250 F246 H246:K246 F242:K245 F240:F241 H240:K241 F256 H256 F271:K273 I269:J269 F269:F270 H270:K270 F275:K277 F274 H274:K274 F279:K289 F278 I278:K278 F291:K299 H290:K290 F302:K303 F300:H301 J300:K301 F305:K306 F304:H304 J304:K304 F308:K309 F307:H307 J307:K307 F310 H310:K310 D313:H313 E312:H312 D323:H324 E322:F322 H311 H322 D337:H344 E335:H336 D348:H355 E346:H347 F257:K257 J256:K256 F388:H388 E387:F387 H387 F386:H386 E385:F385 H385 E384:F384 H384 E392:H392 E389:F389 H389 E390:F390 H390 E391:F391 H391 E407:H407 F406:H406 E410:F410 F408:H408 F409 H464:K471 D443:H451 E442:F442 D434:H435 D433:F433 H433 D437:H438 D436:F436 H436 D440:H441 D439:F439 H439 H442 E432:F432 H432 D455:H455 E453:F453 D458:H458 E456:F456 D452:F452 H452 E459:H459 H463 J463:K463 D317:H321 D314 F314:H314 D328:H333 D325 F325:H325 D315 F315:H315 D326 F326:H326 E396:H398 F395:H395 E402:H405 F401:H401 D421:H421 D420 F420:H420 F394:H394 F393:H393 F400:H400 F399:H399 D454 F454:H454 D457 F457:H457 H472 J472:K472 D327 F327:H327 D316 F316:H316 E416:F416 F415:H415 E414:F414 F413:H413 E412:F412 F411:H411 D431:H431 E427:F427 H427 F428:H428 D419:H419 D418 F418:H418 D429 F429:H429 D430 F430:H430 H453 H456 H416 H410 H417 D423:H426 D422:F422 H422 H414 H412 E334:F334 H334 E345:F345 H345" formula="1"/>
    <ignoredError sqref="D356:D357 D367 D371 D374:D377 D381 D384:D388 D391 D403:D404 D406 D408 D397" formula="1" formulaRange="1"/>
    <ignoredError sqref="C356:C359 C363:C383 C384:C4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91"/>
  <sheetViews>
    <sheetView topLeftCell="A64" workbookViewId="0">
      <selection activeCell="I82" sqref="I82"/>
    </sheetView>
  </sheetViews>
  <sheetFormatPr defaultRowHeight="14.5" x14ac:dyDescent="0.35"/>
  <cols>
    <col min="1" max="1" width="4.90625" customWidth="1"/>
    <col min="2" max="2" width="11.453125" customWidth="1"/>
    <col min="3" max="3" width="19.453125" customWidth="1"/>
    <col min="4" max="4" width="17.08984375" customWidth="1"/>
    <col min="5" max="5" width="26.1796875" bestFit="1" customWidth="1"/>
    <col min="6" max="6" width="24.453125" customWidth="1"/>
    <col min="7" max="7" width="27.08984375" bestFit="1" customWidth="1"/>
    <col min="8" max="8" width="15.81640625" customWidth="1"/>
    <col min="9" max="9" width="8.54296875" bestFit="1" customWidth="1"/>
    <col min="10" max="10" width="7.54296875" customWidth="1"/>
  </cols>
  <sheetData>
    <row r="1" spans="1:10" ht="16" x14ac:dyDescent="0.35">
      <c r="A1" s="62" t="s">
        <v>219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16" x14ac:dyDescent="0.35">
      <c r="A2" s="10" t="s">
        <v>0</v>
      </c>
      <c r="B2" s="10" t="s">
        <v>220</v>
      </c>
      <c r="C2" s="10" t="s">
        <v>19</v>
      </c>
      <c r="D2" s="10" t="s">
        <v>221</v>
      </c>
      <c r="E2" s="10" t="s">
        <v>168</v>
      </c>
      <c r="F2" s="10" t="s">
        <v>222</v>
      </c>
      <c r="G2" s="10"/>
      <c r="H2" s="10"/>
      <c r="I2" s="10" t="s">
        <v>8</v>
      </c>
      <c r="J2" s="10" t="s">
        <v>223</v>
      </c>
    </row>
    <row r="3" spans="1:10" x14ac:dyDescent="0.35">
      <c r="A3" s="11">
        <v>1</v>
      </c>
      <c r="B3" s="11">
        <v>2</v>
      </c>
      <c r="C3" s="11">
        <v>3</v>
      </c>
      <c r="D3" s="11">
        <v>4</v>
      </c>
      <c r="E3" s="11">
        <v>5</v>
      </c>
      <c r="F3" s="11">
        <v>6</v>
      </c>
      <c r="G3" s="11">
        <v>7</v>
      </c>
      <c r="H3" s="11">
        <v>8</v>
      </c>
      <c r="I3" s="11">
        <v>9</v>
      </c>
      <c r="J3" s="11">
        <v>10</v>
      </c>
    </row>
    <row r="4" spans="1:10" x14ac:dyDescent="0.35">
      <c r="A4" s="12">
        <v>1</v>
      </c>
      <c r="B4" s="16">
        <v>0</v>
      </c>
      <c r="C4" s="12">
        <v>1</v>
      </c>
      <c r="D4" s="14">
        <v>0</v>
      </c>
      <c r="E4" s="14">
        <v>0</v>
      </c>
      <c r="F4" s="5">
        <f>(6.5+6.5+3.1+1+6.65+6.65+1+5.9+1.2+2.85+5.9+1.2+2.85)*4.3</f>
        <v>220.59</v>
      </c>
      <c r="G4" s="14"/>
      <c r="H4" s="14"/>
      <c r="I4" s="14">
        <f>SUM(D4:H4)</f>
        <v>220.59</v>
      </c>
      <c r="J4" s="14"/>
    </row>
    <row r="5" spans="1:10" x14ac:dyDescent="0.35">
      <c r="A5" s="12">
        <v>2</v>
      </c>
      <c r="B5" s="16">
        <v>4.5</v>
      </c>
      <c r="C5" s="12">
        <v>2</v>
      </c>
      <c r="D5" s="14">
        <f>(6.5+6.5+3.1+6.5+6.5+3.2+1.8+3.4+3.2+1.8+3.4+6.5+6.5+6.5+3.1+6.5+6.5+6.5+6.5+6.5+6.5)*2.6</f>
        <v>279.5</v>
      </c>
      <c r="E5" s="14">
        <f>(7.25+7.25+6.5+3.1+2.9+2+3.8+1.65+5.9+3+1.55)*2.97*2</f>
        <v>266.70599999999996</v>
      </c>
      <c r="F5" s="14">
        <f>(5.14+1.45+6.5+6.25+5.05+6.5+3.1+6.5+5.05+6.25+1.45+6.5+5.05)*2.97</f>
        <v>192.42630000000003</v>
      </c>
      <c r="G5" s="14"/>
      <c r="H5" s="14"/>
      <c r="I5" s="14">
        <f>SUM(D5:H5)-I14-I52*2.2</f>
        <v>583.81229999999994</v>
      </c>
      <c r="J5" s="14"/>
    </row>
    <row r="6" spans="1:10" x14ac:dyDescent="0.35">
      <c r="A6" s="12">
        <v>3</v>
      </c>
      <c r="B6" s="16">
        <v>7.7</v>
      </c>
      <c r="C6" s="12">
        <v>3</v>
      </c>
      <c r="D6" s="14">
        <f>((6.5*13)+6.2+3.2+1.8+3.4+3.2+1.8+3.4)*2.6</f>
        <v>279.50000000000006</v>
      </c>
      <c r="E6" s="14">
        <f>(6.5+7.05+2.9+3.8+1.35+1.5+5.9+3+1.35)*2.97*2</f>
        <v>198.09900000000002</v>
      </c>
      <c r="F6" s="14">
        <f>6.5*2.97*6+5*2.97*2+10.3*2.97+1.45*2.97*2+3.1*2.97</f>
        <v>193.941</v>
      </c>
      <c r="G6" s="14"/>
      <c r="H6" s="14"/>
      <c r="I6" s="14">
        <f>SUM(D6:H6)-I15-I53*2.2</f>
        <v>541.36000000000013</v>
      </c>
      <c r="J6" s="14"/>
    </row>
    <row r="7" spans="1:10" x14ac:dyDescent="0.35">
      <c r="A7" s="12">
        <v>4</v>
      </c>
      <c r="B7" s="16">
        <v>10.9</v>
      </c>
      <c r="C7" s="12">
        <v>4</v>
      </c>
      <c r="D7" s="14">
        <f>((6.5*13)+6.2+3.2+1.8+3.4+3.2+1.8+3.4)*2.6</f>
        <v>279.50000000000006</v>
      </c>
      <c r="E7" s="14">
        <f>(6.5+7.05+2.9+3.8+1.35+1.5+5.9+3+1.35)*2.97*2</f>
        <v>198.09900000000002</v>
      </c>
      <c r="F7" s="14">
        <f>6.5*2.97*6+5*2.97*2+10.3*2.97+1.45*2.97*2+3.1*2.97</f>
        <v>193.941</v>
      </c>
      <c r="G7" s="14"/>
      <c r="H7" s="14"/>
      <c r="I7" s="14">
        <f>SUM(D7:H7)-I16-I54*2.2</f>
        <v>541.36000000000013</v>
      </c>
      <c r="J7" s="14"/>
    </row>
    <row r="8" spans="1:10" x14ac:dyDescent="0.35">
      <c r="A8" s="12"/>
      <c r="B8" s="16"/>
      <c r="C8" s="12"/>
      <c r="D8" s="14"/>
      <c r="E8" s="14"/>
      <c r="F8" s="14"/>
      <c r="G8" s="14"/>
      <c r="H8" s="14"/>
      <c r="I8" s="16">
        <f>SUM(I4:I7)</f>
        <v>1887.1223000000002</v>
      </c>
      <c r="J8" s="16">
        <f>SUM(J4:J7)</f>
        <v>0</v>
      </c>
    </row>
    <row r="10" spans="1:10" ht="16" x14ac:dyDescent="0.35">
      <c r="A10" s="62" t="s">
        <v>224</v>
      </c>
      <c r="B10" s="63"/>
      <c r="C10" s="63"/>
      <c r="D10" s="63"/>
      <c r="E10" s="63"/>
      <c r="F10" s="63"/>
      <c r="G10" s="63"/>
      <c r="H10" s="63"/>
      <c r="I10" s="63"/>
      <c r="J10" s="64"/>
    </row>
    <row r="11" spans="1:10" ht="16" x14ac:dyDescent="0.35">
      <c r="A11" s="10" t="s">
        <v>0</v>
      </c>
      <c r="B11" s="10" t="s">
        <v>220</v>
      </c>
      <c r="C11" s="10" t="s">
        <v>19</v>
      </c>
      <c r="D11" s="10"/>
      <c r="E11" s="10"/>
      <c r="F11" s="10"/>
      <c r="G11" s="10"/>
      <c r="H11" s="10"/>
      <c r="I11" s="10" t="s">
        <v>8</v>
      </c>
      <c r="J11" s="10" t="s">
        <v>223</v>
      </c>
    </row>
    <row r="12" spans="1:10" x14ac:dyDescent="0.35">
      <c r="A12" s="11">
        <v>1</v>
      </c>
      <c r="B12" s="11">
        <v>2</v>
      </c>
      <c r="C12" s="11">
        <v>3</v>
      </c>
      <c r="D12" s="11">
        <v>4</v>
      </c>
      <c r="E12" s="11">
        <v>5</v>
      </c>
      <c r="F12" s="11">
        <v>6</v>
      </c>
      <c r="G12" s="11">
        <v>7</v>
      </c>
      <c r="H12" s="11">
        <v>8</v>
      </c>
      <c r="I12" s="11">
        <v>9</v>
      </c>
      <c r="J12" s="11">
        <v>10</v>
      </c>
    </row>
    <row r="13" spans="1:10" x14ac:dyDescent="0.35">
      <c r="A13" s="12">
        <v>1</v>
      </c>
      <c r="B13" s="16">
        <v>0</v>
      </c>
      <c r="C13" s="12">
        <v>1</v>
      </c>
      <c r="D13" s="14">
        <v>0</v>
      </c>
      <c r="E13" s="14"/>
      <c r="F13" s="14"/>
      <c r="G13" s="14"/>
      <c r="H13" s="14"/>
      <c r="I13" s="14">
        <f>SUM(D13:H13)</f>
        <v>0</v>
      </c>
      <c r="J13" s="14"/>
    </row>
    <row r="14" spans="1:10" x14ac:dyDescent="0.35">
      <c r="A14" s="12">
        <v>2</v>
      </c>
      <c r="B14" s="16">
        <v>4.5</v>
      </c>
      <c r="C14" s="12">
        <v>2</v>
      </c>
      <c r="D14" s="14">
        <f>(1*2.6)*8+(1.6*2.6)*16+(1.6*1.6)*6+(2.5*2.5)*2</f>
        <v>115.22</v>
      </c>
      <c r="E14" s="14"/>
      <c r="F14" s="14"/>
      <c r="G14" s="14"/>
      <c r="H14" s="14"/>
      <c r="I14" s="14">
        <f>SUM(D14:H14)</f>
        <v>115.22</v>
      </c>
      <c r="J14" s="14"/>
    </row>
    <row r="15" spans="1:10" x14ac:dyDescent="0.35">
      <c r="A15" s="12">
        <v>3</v>
      </c>
      <c r="B15" s="16">
        <v>7.7</v>
      </c>
      <c r="C15" s="12">
        <v>3</v>
      </c>
      <c r="D15" s="14">
        <f>(1*2.6)*10+(1.6*2.6)*12+(1.6*1.6)*6+(2.5*2.5)*2</f>
        <v>103.78</v>
      </c>
      <c r="E15" s="14"/>
      <c r="F15" s="14"/>
      <c r="G15" s="14"/>
      <c r="H15" s="14"/>
      <c r="I15" s="14">
        <f t="shared" ref="I15:I16" si="0">SUM(D15:H15)</f>
        <v>103.78</v>
      </c>
      <c r="J15" s="14"/>
    </row>
    <row r="16" spans="1:10" x14ac:dyDescent="0.35">
      <c r="A16" s="12">
        <v>4</v>
      </c>
      <c r="B16" s="16">
        <v>10.9</v>
      </c>
      <c r="C16" s="12">
        <v>4</v>
      </c>
      <c r="D16" s="14">
        <f>(1*2.6)*10+(1.6*2.6)*12+(1.6*1.6)*6+(2.5*2.5)*2</f>
        <v>103.78</v>
      </c>
      <c r="E16" s="14"/>
      <c r="F16" s="14"/>
      <c r="G16" s="14"/>
      <c r="H16" s="14"/>
      <c r="I16" s="14">
        <f t="shared" si="0"/>
        <v>103.78</v>
      </c>
      <c r="J16" s="14"/>
    </row>
    <row r="17" spans="1:10" x14ac:dyDescent="0.35">
      <c r="A17" s="12"/>
      <c r="B17" s="16"/>
      <c r="C17" s="12"/>
      <c r="D17" s="14"/>
      <c r="E17" s="14"/>
      <c r="F17" s="14"/>
      <c r="G17" s="14"/>
      <c r="H17" s="14"/>
      <c r="I17" s="16">
        <f>SUM(I13:I16)</f>
        <v>322.77999999999997</v>
      </c>
      <c r="J17" s="16">
        <f>SUM(J13:J16)</f>
        <v>0</v>
      </c>
    </row>
    <row r="19" spans="1:10" ht="16" x14ac:dyDescent="0.35">
      <c r="A19" s="62" t="s">
        <v>221</v>
      </c>
      <c r="B19" s="63"/>
      <c r="C19" s="63"/>
      <c r="D19" s="63"/>
      <c r="E19" s="63"/>
      <c r="F19" s="63"/>
      <c r="G19" s="63"/>
      <c r="H19" s="63"/>
      <c r="I19" s="63"/>
      <c r="J19" s="64"/>
    </row>
    <row r="20" spans="1:10" ht="16" x14ac:dyDescent="0.35">
      <c r="A20" s="10" t="s">
        <v>0</v>
      </c>
      <c r="B20" s="10" t="s">
        <v>220</v>
      </c>
      <c r="C20" s="10" t="s">
        <v>19</v>
      </c>
      <c r="D20" s="10" t="s">
        <v>225</v>
      </c>
      <c r="E20" s="10" t="s">
        <v>226</v>
      </c>
      <c r="F20" s="10" t="s">
        <v>227</v>
      </c>
      <c r="G20" s="10" t="s">
        <v>264</v>
      </c>
      <c r="H20" s="10" t="s">
        <v>228</v>
      </c>
      <c r="I20" s="10" t="s">
        <v>8</v>
      </c>
      <c r="J20" s="10" t="s">
        <v>223</v>
      </c>
    </row>
    <row r="21" spans="1:10" x14ac:dyDescent="0.35">
      <c r="A21" s="11">
        <v>1</v>
      </c>
      <c r="B21" s="11">
        <v>2</v>
      </c>
      <c r="C21" s="11">
        <v>3</v>
      </c>
      <c r="D21" s="11">
        <v>4</v>
      </c>
      <c r="E21" s="11">
        <v>5</v>
      </c>
      <c r="F21" s="11">
        <v>6</v>
      </c>
      <c r="G21" s="11">
        <v>7</v>
      </c>
      <c r="H21" s="11">
        <v>8</v>
      </c>
      <c r="I21" s="11">
        <v>9</v>
      </c>
      <c r="J21" s="11">
        <v>10</v>
      </c>
    </row>
    <row r="22" spans="1:10" x14ac:dyDescent="0.35">
      <c r="A22" s="12">
        <v>1</v>
      </c>
      <c r="B22" s="16">
        <v>-2.2999999999999998</v>
      </c>
      <c r="C22" s="12">
        <v>1</v>
      </c>
      <c r="D22" s="14">
        <v>0</v>
      </c>
      <c r="E22" s="14"/>
      <c r="F22" s="14"/>
      <c r="G22" s="14"/>
      <c r="H22" s="14"/>
      <c r="I22" s="14">
        <f>SUM(D22:H22)</f>
        <v>0</v>
      </c>
      <c r="J22" s="14"/>
    </row>
    <row r="23" spans="1:10" x14ac:dyDescent="0.35">
      <c r="A23" s="12">
        <v>1</v>
      </c>
      <c r="B23" s="16">
        <v>0</v>
      </c>
      <c r="C23" s="12">
        <v>1</v>
      </c>
      <c r="D23" s="14">
        <f>(3.2*4.45)*2</f>
        <v>28.480000000000004</v>
      </c>
      <c r="E23" s="14">
        <v>0</v>
      </c>
      <c r="F23" s="5">
        <v>0</v>
      </c>
      <c r="G23" s="65">
        <v>0</v>
      </c>
      <c r="H23" s="5">
        <f>3.5*4+1.6*7</f>
        <v>25.200000000000003</v>
      </c>
      <c r="I23" s="14">
        <f>SUM(D23:H23)</f>
        <v>53.680000000000007</v>
      </c>
      <c r="J23" s="14"/>
    </row>
    <row r="24" spans="1:10" x14ac:dyDescent="0.35">
      <c r="A24" s="12">
        <v>2</v>
      </c>
      <c r="B24" s="16">
        <v>4.5</v>
      </c>
      <c r="C24" s="12">
        <v>2</v>
      </c>
      <c r="D24" s="65">
        <f>(17.8+17.8+1.7+0.7+1.4+3.2+3.2+3.2+1.4+0.7+1.7)*9.55+(11.35+11.35+14.4)*7.05+((1.6+0.9+0.2)*3)*6-156</f>
        <v>658.39500000000032</v>
      </c>
      <c r="E24" s="14">
        <f>42*2.6+(6.5+6.5+1.6+3.4+1.6+3.4)*2.98</f>
        <v>177.74</v>
      </c>
      <c r="F24" s="5">
        <f>(3.2*4)+(3*8)+(17.8+17.8+2.25+2+1.7)</f>
        <v>78.349999999999994</v>
      </c>
      <c r="G24" s="66"/>
      <c r="H24" s="5">
        <f>1.6*12+1*4</f>
        <v>23.200000000000003</v>
      </c>
      <c r="I24" s="14">
        <f t="shared" ref="I24:I27" si="1">SUM(D24:H24)</f>
        <v>937.6850000000004</v>
      </c>
      <c r="J24" s="14"/>
    </row>
    <row r="25" spans="1:10" x14ac:dyDescent="0.35">
      <c r="A25" s="12">
        <v>3</v>
      </c>
      <c r="B25" s="16">
        <v>7.7</v>
      </c>
      <c r="C25" s="12">
        <v>3</v>
      </c>
      <c r="D25" s="66"/>
      <c r="E25" s="14">
        <f>(6.5+6.5+1.6+3.4+1.6+3.4)*2.98</f>
        <v>68.540000000000006</v>
      </c>
      <c r="F25" s="5">
        <f>(1.6*26+1*6+2.6*32+3.2*4+3*8)</f>
        <v>167.60000000000002</v>
      </c>
      <c r="G25" s="66"/>
      <c r="H25" s="5">
        <f>1.6*12+1*4</f>
        <v>23.200000000000003</v>
      </c>
      <c r="I25" s="14">
        <f t="shared" si="1"/>
        <v>259.34000000000003</v>
      </c>
      <c r="J25" s="14"/>
    </row>
    <row r="26" spans="1:10" x14ac:dyDescent="0.35">
      <c r="A26" s="12">
        <v>4</v>
      </c>
      <c r="B26" s="16">
        <v>10.9</v>
      </c>
      <c r="C26" s="12">
        <v>4</v>
      </c>
      <c r="D26" s="67"/>
      <c r="E26" s="14">
        <f>(6.5+6.5+1.6+3.4+1.6+3.4)*2.98</f>
        <v>68.540000000000006</v>
      </c>
      <c r="F26" s="5">
        <f>(1.6*26+1*6+2.6*32+3.2*4+3*8)</f>
        <v>167.60000000000002</v>
      </c>
      <c r="G26" s="66"/>
      <c r="H26" s="5">
        <f>1.6*12+1*4</f>
        <v>23.200000000000003</v>
      </c>
      <c r="I26" s="14">
        <f t="shared" si="1"/>
        <v>259.34000000000003</v>
      </c>
      <c r="J26" s="14"/>
    </row>
    <row r="27" spans="1:10" x14ac:dyDescent="0.35">
      <c r="A27" s="12"/>
      <c r="B27" s="16"/>
      <c r="C27" s="12">
        <v>5</v>
      </c>
      <c r="D27" s="14">
        <f>(17.85+17.85+17.5+17.5+11.3+11.3+14.4)*0.5</f>
        <v>53.85</v>
      </c>
      <c r="E27" s="14"/>
      <c r="F27" s="5">
        <f>0.5*10</f>
        <v>5</v>
      </c>
      <c r="G27" s="67"/>
      <c r="H27" s="14"/>
      <c r="I27" s="14">
        <f t="shared" si="1"/>
        <v>58.85</v>
      </c>
      <c r="J27" s="14"/>
    </row>
    <row r="28" spans="1:10" x14ac:dyDescent="0.35">
      <c r="A28" s="12"/>
      <c r="B28" s="16"/>
      <c r="C28" s="12"/>
      <c r="D28" s="14"/>
      <c r="E28" s="14"/>
      <c r="F28" s="14"/>
      <c r="G28" s="14"/>
      <c r="H28" s="14"/>
      <c r="I28" s="16">
        <f>SUM(I22:I27)</f>
        <v>1568.8950000000004</v>
      </c>
      <c r="J28" s="16">
        <f>SUM(J23:J26)</f>
        <v>0</v>
      </c>
    </row>
    <row r="30" spans="1:10" ht="16" x14ac:dyDescent="0.35">
      <c r="A30" s="62" t="s">
        <v>229</v>
      </c>
      <c r="B30" s="63"/>
      <c r="C30" s="63"/>
      <c r="D30" s="63"/>
      <c r="E30" s="63"/>
      <c r="F30" s="63"/>
      <c r="G30" s="63"/>
      <c r="H30" s="63"/>
      <c r="I30" s="63"/>
      <c r="J30" s="64"/>
    </row>
    <row r="31" spans="1:10" ht="16" x14ac:dyDescent="0.35">
      <c r="A31" s="10" t="s">
        <v>0</v>
      </c>
      <c r="B31" s="10" t="s">
        <v>220</v>
      </c>
      <c r="C31" s="10" t="s">
        <v>19</v>
      </c>
      <c r="D31" s="10" t="s">
        <v>230</v>
      </c>
      <c r="E31" s="10" t="s">
        <v>231</v>
      </c>
      <c r="F31" s="10" t="s">
        <v>232</v>
      </c>
      <c r="G31" s="10" t="s">
        <v>233</v>
      </c>
      <c r="H31" s="10" t="s">
        <v>234</v>
      </c>
      <c r="I31" s="10" t="s">
        <v>8</v>
      </c>
      <c r="J31" s="10" t="s">
        <v>223</v>
      </c>
    </row>
    <row r="32" spans="1:10" x14ac:dyDescent="0.35">
      <c r="A32" s="11">
        <v>1</v>
      </c>
      <c r="B32" s="11">
        <v>2</v>
      </c>
      <c r="C32" s="11">
        <v>3</v>
      </c>
      <c r="D32" s="11">
        <v>4</v>
      </c>
      <c r="E32" s="11">
        <v>5</v>
      </c>
      <c r="F32" s="11">
        <v>6</v>
      </c>
      <c r="G32" s="11">
        <v>7</v>
      </c>
      <c r="H32" s="11">
        <v>8</v>
      </c>
      <c r="I32" s="11">
        <v>9</v>
      </c>
      <c r="J32" s="11">
        <v>10</v>
      </c>
    </row>
    <row r="33" spans="1:10" x14ac:dyDescent="0.35">
      <c r="A33" s="12">
        <v>1</v>
      </c>
      <c r="B33" s="16">
        <v>0</v>
      </c>
      <c r="C33" s="12">
        <v>1</v>
      </c>
      <c r="D33" s="14"/>
      <c r="E33" s="14"/>
      <c r="F33" s="14">
        <f>21.6*4.3</f>
        <v>92.88</v>
      </c>
      <c r="G33" s="14">
        <v>0</v>
      </c>
      <c r="H33" s="14">
        <f>((2.8+1.4+2.85+3.2+1.16)*4.3)*2</f>
        <v>98.125999999999991</v>
      </c>
      <c r="I33" s="14">
        <f>SUM(D33:H33)</f>
        <v>191.00599999999997</v>
      </c>
      <c r="J33" s="14"/>
    </row>
    <row r="34" spans="1:10" x14ac:dyDescent="0.35">
      <c r="A34" s="12">
        <v>2</v>
      </c>
      <c r="B34" s="16">
        <v>4.5</v>
      </c>
      <c r="C34" s="12">
        <v>2</v>
      </c>
      <c r="D34" s="14">
        <v>0</v>
      </c>
      <c r="E34" s="14">
        <f>2.6*3.02*2</f>
        <v>15.704000000000001</v>
      </c>
      <c r="F34" s="14">
        <f>16.6*2.98</f>
        <v>49.468000000000004</v>
      </c>
      <c r="G34" s="14">
        <f>1.85*2*2.98</f>
        <v>11.026</v>
      </c>
      <c r="H34" s="14">
        <f>62.3*2.93-0.8*2.3*10</f>
        <v>164.13900000000001</v>
      </c>
      <c r="I34" s="14">
        <f t="shared" ref="I34:I36" si="2">SUM(D34:H34)</f>
        <v>240.33699999999999</v>
      </c>
      <c r="J34" s="14"/>
    </row>
    <row r="35" spans="1:10" x14ac:dyDescent="0.35">
      <c r="A35" s="12">
        <v>3</v>
      </c>
      <c r="B35" s="16">
        <v>7.7</v>
      </c>
      <c r="C35" s="12">
        <v>3</v>
      </c>
      <c r="D35" s="14">
        <f>(2.9*2.98)*2</f>
        <v>17.283999999999999</v>
      </c>
      <c r="E35" s="14">
        <f>2.6*3.02*2</f>
        <v>15.704000000000001</v>
      </c>
      <c r="F35" s="14">
        <f>20.9*2.98</f>
        <v>62.281999999999996</v>
      </c>
      <c r="G35" s="14">
        <f>7.25*2.98</f>
        <v>21.605</v>
      </c>
      <c r="H35" s="14">
        <f>62.3*2.93-0.8*2.3*10</f>
        <v>164.13900000000001</v>
      </c>
      <c r="I35" s="14">
        <f t="shared" si="2"/>
        <v>281.01400000000001</v>
      </c>
      <c r="J35" s="14"/>
    </row>
    <row r="36" spans="1:10" x14ac:dyDescent="0.35">
      <c r="A36" s="12">
        <v>4</v>
      </c>
      <c r="B36" s="16">
        <v>10.9</v>
      </c>
      <c r="C36" s="12">
        <v>4</v>
      </c>
      <c r="D36" s="14">
        <f>(2.9*2.98)*2</f>
        <v>17.283999999999999</v>
      </c>
      <c r="E36" s="14">
        <f>2.6*3.02*2</f>
        <v>15.704000000000001</v>
      </c>
      <c r="F36" s="14">
        <f>23.82*2.98</f>
        <v>70.983599999999996</v>
      </c>
      <c r="G36" s="14">
        <f>9.75*2.98</f>
        <v>29.055</v>
      </c>
      <c r="H36" s="14">
        <f>62.3*2.93-0.8*2.3*10</f>
        <v>164.13900000000001</v>
      </c>
      <c r="I36" s="14">
        <f t="shared" si="2"/>
        <v>297.16560000000004</v>
      </c>
      <c r="J36" s="14"/>
    </row>
    <row r="37" spans="1:10" x14ac:dyDescent="0.35">
      <c r="A37" s="12"/>
      <c r="B37" s="16"/>
      <c r="C37" s="12"/>
      <c r="D37" s="14"/>
      <c r="E37" s="14"/>
      <c r="F37" s="14"/>
      <c r="G37" s="14"/>
      <c r="H37" s="14"/>
      <c r="I37" s="16">
        <f>SUM(I33:I36)</f>
        <v>1009.5226</v>
      </c>
      <c r="J37" s="16">
        <f>SUM(J33:J36)</f>
        <v>0</v>
      </c>
    </row>
    <row r="39" spans="1:10" ht="16" x14ac:dyDescent="0.35">
      <c r="A39" s="62" t="s">
        <v>168</v>
      </c>
      <c r="B39" s="63"/>
      <c r="C39" s="63"/>
      <c r="D39" s="63"/>
      <c r="E39" s="63"/>
      <c r="F39" s="63"/>
      <c r="G39" s="63"/>
      <c r="H39" s="63"/>
      <c r="I39" s="63"/>
      <c r="J39" s="64"/>
    </row>
    <row r="40" spans="1:10" ht="16" x14ac:dyDescent="0.35">
      <c r="A40" s="10" t="s">
        <v>0</v>
      </c>
      <c r="B40" s="10" t="s">
        <v>220</v>
      </c>
      <c r="C40" s="10" t="s">
        <v>19</v>
      </c>
      <c r="D40" s="10" t="s">
        <v>235</v>
      </c>
      <c r="E40" s="10" t="s">
        <v>236</v>
      </c>
      <c r="F40" s="10" t="s">
        <v>237</v>
      </c>
      <c r="G40" s="10" t="s">
        <v>263</v>
      </c>
      <c r="H40" s="10" t="s">
        <v>265</v>
      </c>
      <c r="I40" s="10" t="s">
        <v>8</v>
      </c>
      <c r="J40" s="10" t="s">
        <v>223</v>
      </c>
    </row>
    <row r="41" spans="1:10" x14ac:dyDescent="0.35">
      <c r="A41" s="11">
        <v>1</v>
      </c>
      <c r="B41" s="11">
        <v>2</v>
      </c>
      <c r="C41" s="11">
        <v>3</v>
      </c>
      <c r="D41" s="11">
        <v>4</v>
      </c>
      <c r="E41" s="11">
        <v>5</v>
      </c>
      <c r="F41" s="11">
        <v>6</v>
      </c>
      <c r="G41" s="11">
        <v>7</v>
      </c>
      <c r="H41" s="11">
        <v>8</v>
      </c>
      <c r="I41" s="11">
        <v>9</v>
      </c>
      <c r="J41" s="11">
        <v>10</v>
      </c>
    </row>
    <row r="42" spans="1:10" x14ac:dyDescent="0.35">
      <c r="A42" s="12">
        <v>1</v>
      </c>
      <c r="B42" s="16">
        <v>0</v>
      </c>
      <c r="C42" s="12">
        <v>1</v>
      </c>
      <c r="D42" s="14">
        <v>0</v>
      </c>
      <c r="E42" s="14">
        <v>0</v>
      </c>
      <c r="F42" s="14">
        <v>0</v>
      </c>
      <c r="G42" s="5">
        <v>0</v>
      </c>
      <c r="H42" s="14">
        <v>0</v>
      </c>
      <c r="I42" s="14">
        <f>SUM(D42:H42)</f>
        <v>0</v>
      </c>
      <c r="J42" s="14"/>
    </row>
    <row r="43" spans="1:10" x14ac:dyDescent="0.35">
      <c r="A43" s="12">
        <v>2</v>
      </c>
      <c r="B43" s="16">
        <v>4.5</v>
      </c>
      <c r="C43" s="12">
        <v>2</v>
      </c>
      <c r="D43" s="14">
        <f>(57.9*2.98)*2-32.2</f>
        <v>312.88400000000001</v>
      </c>
      <c r="E43" s="14">
        <f>(57.9*2.98)*2</f>
        <v>345.084</v>
      </c>
      <c r="F43" s="14">
        <f>E43</f>
        <v>345.084</v>
      </c>
      <c r="G43" s="14">
        <f>0.75*2.97*4</f>
        <v>8.91</v>
      </c>
      <c r="H43" s="14">
        <v>19</v>
      </c>
      <c r="I43" s="14">
        <f t="shared" ref="I43:I45" si="3">SUM(D43:H43)</f>
        <v>1030.962</v>
      </c>
      <c r="J43" s="14"/>
    </row>
    <row r="44" spans="1:10" x14ac:dyDescent="0.35">
      <c r="A44" s="12">
        <v>3</v>
      </c>
      <c r="B44" s="16">
        <v>7.7</v>
      </c>
      <c r="C44" s="12">
        <v>3</v>
      </c>
      <c r="D44" s="14">
        <f>(37.8*2.98)*2-2.3*12</f>
        <v>197.68799999999999</v>
      </c>
      <c r="E44" s="14">
        <f>(37.8*2.98)*2</f>
        <v>225.28799999999998</v>
      </c>
      <c r="F44" s="14">
        <f>E44</f>
        <v>225.28799999999998</v>
      </c>
      <c r="G44" s="14">
        <f>0.75*2.97*4</f>
        <v>8.91</v>
      </c>
      <c r="H44" s="14">
        <v>19</v>
      </c>
      <c r="I44" s="14">
        <f t="shared" si="3"/>
        <v>676.17399999999998</v>
      </c>
      <c r="J44" s="14"/>
    </row>
    <row r="45" spans="1:10" x14ac:dyDescent="0.35">
      <c r="A45" s="12">
        <v>4</v>
      </c>
      <c r="B45" s="16">
        <v>10.9</v>
      </c>
      <c r="C45" s="12">
        <v>4</v>
      </c>
      <c r="D45" s="14">
        <f>(37.8*2.98)*2-2.3*12</f>
        <v>197.68799999999999</v>
      </c>
      <c r="E45" s="14">
        <f>(37.8*2.98)*2</f>
        <v>225.28799999999998</v>
      </c>
      <c r="F45" s="14">
        <f>E45</f>
        <v>225.28799999999998</v>
      </c>
      <c r="G45" s="14">
        <f>0.75*2.97*4</f>
        <v>8.91</v>
      </c>
      <c r="H45" s="14">
        <v>19</v>
      </c>
      <c r="I45" s="14">
        <f t="shared" si="3"/>
        <v>676.17399999999998</v>
      </c>
      <c r="J45" s="14"/>
    </row>
    <row r="46" spans="1:10" x14ac:dyDescent="0.35">
      <c r="A46" s="12"/>
      <c r="B46" s="16"/>
      <c r="C46" s="12"/>
      <c r="D46" s="14"/>
      <c r="E46" s="14"/>
      <c r="F46" s="14"/>
      <c r="G46" s="14"/>
      <c r="H46" s="14"/>
      <c r="I46" s="16">
        <f>SUM(I42:I45)</f>
        <v>2383.31</v>
      </c>
      <c r="J46" s="16">
        <f>SUM(J42:J45)</f>
        <v>0</v>
      </c>
    </row>
    <row r="48" spans="1:10" ht="16" x14ac:dyDescent="0.35">
      <c r="A48" s="62" t="s">
        <v>238</v>
      </c>
      <c r="B48" s="63"/>
      <c r="C48" s="63"/>
      <c r="D48" s="63"/>
      <c r="E48" s="63"/>
      <c r="F48" s="63"/>
      <c r="G48" s="63"/>
      <c r="H48" s="63"/>
      <c r="I48" s="63"/>
      <c r="J48" s="64"/>
    </row>
    <row r="49" spans="1:10" ht="16" x14ac:dyDescent="0.35">
      <c r="A49" s="10" t="s">
        <v>0</v>
      </c>
      <c r="B49" s="10" t="s">
        <v>220</v>
      </c>
      <c r="C49" s="10" t="s">
        <v>19</v>
      </c>
      <c r="D49" s="10" t="s">
        <v>239</v>
      </c>
      <c r="E49" s="10" t="s">
        <v>240</v>
      </c>
      <c r="F49" s="10" t="s">
        <v>241</v>
      </c>
      <c r="G49" s="10" t="s">
        <v>242</v>
      </c>
      <c r="H49" s="10"/>
      <c r="I49" s="10" t="s">
        <v>8</v>
      </c>
      <c r="J49" s="10" t="s">
        <v>223</v>
      </c>
    </row>
    <row r="50" spans="1:10" x14ac:dyDescent="0.35">
      <c r="A50" s="11">
        <v>1</v>
      </c>
      <c r="B50" s="11">
        <v>2</v>
      </c>
      <c r="C50" s="11">
        <v>3</v>
      </c>
      <c r="D50" s="11">
        <v>4</v>
      </c>
      <c r="E50" s="11">
        <v>5</v>
      </c>
      <c r="F50" s="11">
        <v>6</v>
      </c>
      <c r="G50" s="11">
        <v>7</v>
      </c>
      <c r="H50" s="11">
        <v>8</v>
      </c>
      <c r="I50" s="11">
        <v>9</v>
      </c>
      <c r="J50" s="11">
        <v>10</v>
      </c>
    </row>
    <row r="51" spans="1:10" x14ac:dyDescent="0.35">
      <c r="A51" s="12">
        <v>1</v>
      </c>
      <c r="B51" s="16">
        <v>0</v>
      </c>
      <c r="C51" s="12">
        <v>1</v>
      </c>
      <c r="D51" s="14">
        <v>0</v>
      </c>
      <c r="E51" s="14">
        <v>0</v>
      </c>
      <c r="F51" s="14">
        <v>0</v>
      </c>
      <c r="G51" s="14">
        <v>0</v>
      </c>
      <c r="H51" s="14"/>
      <c r="I51" s="14">
        <f>SUM(D51:H51)</f>
        <v>0</v>
      </c>
      <c r="J51" s="14"/>
    </row>
    <row r="52" spans="1:10" x14ac:dyDescent="0.35">
      <c r="A52" s="12">
        <v>2</v>
      </c>
      <c r="B52" s="16">
        <v>4.5</v>
      </c>
      <c r="C52" s="12">
        <v>2</v>
      </c>
      <c r="D52" s="14">
        <v>10</v>
      </c>
      <c r="E52" s="14">
        <v>2</v>
      </c>
      <c r="F52" s="14">
        <v>2</v>
      </c>
      <c r="G52" s="14">
        <v>4</v>
      </c>
      <c r="H52" s="14"/>
      <c r="I52" s="14">
        <f t="shared" ref="I52:I54" si="4">SUM(D52:H52)</f>
        <v>18</v>
      </c>
      <c r="J52" s="14"/>
    </row>
    <row r="53" spans="1:10" x14ac:dyDescent="0.35">
      <c r="A53" s="12">
        <v>3</v>
      </c>
      <c r="B53" s="16">
        <v>7.7</v>
      </c>
      <c r="C53" s="12">
        <v>3</v>
      </c>
      <c r="D53" s="14">
        <v>10</v>
      </c>
      <c r="E53" s="14">
        <v>2</v>
      </c>
      <c r="F53" s="14"/>
      <c r="G53" s="14"/>
      <c r="H53" s="14"/>
      <c r="I53" s="14">
        <f t="shared" si="4"/>
        <v>12</v>
      </c>
      <c r="J53" s="14"/>
    </row>
    <row r="54" spans="1:10" x14ac:dyDescent="0.35">
      <c r="A54" s="12">
        <v>4</v>
      </c>
      <c r="B54" s="16">
        <v>10.9</v>
      </c>
      <c r="C54" s="12">
        <v>4</v>
      </c>
      <c r="D54" s="14">
        <v>10</v>
      </c>
      <c r="E54" s="14">
        <v>2</v>
      </c>
      <c r="F54" s="14"/>
      <c r="G54" s="14"/>
      <c r="H54" s="14"/>
      <c r="I54" s="14">
        <f t="shared" si="4"/>
        <v>12</v>
      </c>
      <c r="J54" s="14"/>
    </row>
    <row r="55" spans="1:10" x14ac:dyDescent="0.35">
      <c r="A55" s="12"/>
      <c r="B55" s="16"/>
      <c r="C55" s="12"/>
      <c r="D55" s="14"/>
      <c r="E55" s="14"/>
      <c r="F55" s="14"/>
      <c r="G55" s="14"/>
      <c r="H55" s="14"/>
      <c r="I55" s="16">
        <f>SUM(I51:I54)</f>
        <v>42</v>
      </c>
      <c r="J55" s="16">
        <f>SUM(J51:J54)</f>
        <v>0</v>
      </c>
    </row>
    <row r="57" spans="1:10" ht="16" x14ac:dyDescent="0.35">
      <c r="A57" s="62" t="s">
        <v>243</v>
      </c>
      <c r="B57" s="63"/>
      <c r="C57" s="63"/>
      <c r="D57" s="63"/>
      <c r="E57" s="63"/>
      <c r="F57" s="63"/>
      <c r="G57" s="63"/>
      <c r="H57" s="63"/>
      <c r="I57" s="63"/>
      <c r="J57" s="64"/>
    </row>
    <row r="58" spans="1:10" ht="16" x14ac:dyDescent="0.35">
      <c r="A58" s="10" t="s">
        <v>0</v>
      </c>
      <c r="B58" s="10" t="s">
        <v>220</v>
      </c>
      <c r="C58" s="10" t="s">
        <v>19</v>
      </c>
      <c r="D58" s="10" t="s">
        <v>244</v>
      </c>
      <c r="E58" s="10" t="s">
        <v>245</v>
      </c>
      <c r="F58" s="10"/>
      <c r="G58" s="10"/>
      <c r="H58" s="10"/>
      <c r="I58" s="10" t="s">
        <v>8</v>
      </c>
      <c r="J58" s="10" t="s">
        <v>223</v>
      </c>
    </row>
    <row r="59" spans="1:10" x14ac:dyDescent="0.35">
      <c r="A59" s="11">
        <v>1</v>
      </c>
      <c r="B59" s="11">
        <v>2</v>
      </c>
      <c r="C59" s="11">
        <v>3</v>
      </c>
      <c r="D59" s="11">
        <v>4</v>
      </c>
      <c r="E59" s="11">
        <v>5</v>
      </c>
      <c r="F59" s="11">
        <v>6</v>
      </c>
      <c r="G59" s="11">
        <v>7</v>
      </c>
      <c r="H59" s="11">
        <v>8</v>
      </c>
      <c r="I59" s="11">
        <v>9</v>
      </c>
      <c r="J59" s="11">
        <v>10</v>
      </c>
    </row>
    <row r="60" spans="1:10" x14ac:dyDescent="0.35">
      <c r="A60" s="12">
        <v>1</v>
      </c>
      <c r="B60" s="16">
        <v>0</v>
      </c>
      <c r="C60" s="12">
        <v>1</v>
      </c>
      <c r="D60" s="14">
        <v>0</v>
      </c>
      <c r="E60" s="14">
        <v>0</v>
      </c>
      <c r="F60" s="14"/>
      <c r="G60" s="14"/>
      <c r="H60" s="14"/>
      <c r="I60" s="14">
        <f>SUM(D60:H60)</f>
        <v>0</v>
      </c>
      <c r="J60" s="14"/>
    </row>
    <row r="61" spans="1:10" x14ac:dyDescent="0.35">
      <c r="A61" s="12">
        <v>2</v>
      </c>
      <c r="B61" s="16">
        <v>4.5</v>
      </c>
      <c r="C61" s="12">
        <v>2</v>
      </c>
      <c r="D61" s="14">
        <f>5.1+3.55+1.6+1.6+3.55+5.1+2.7+2.7</f>
        <v>25.9</v>
      </c>
      <c r="E61" s="14">
        <f>(0.7+1.6+0.7+1.6+0.6+0.6+0.7+0.7+1.6+1.6)*3.04</f>
        <v>31.615999999999996</v>
      </c>
      <c r="F61" s="14"/>
      <c r="G61" s="14"/>
      <c r="H61" s="14"/>
      <c r="I61" s="14">
        <f t="shared" ref="I61:I63" si="5">SUM(D61:H61)</f>
        <v>57.515999999999991</v>
      </c>
      <c r="J61" s="14"/>
    </row>
    <row r="62" spans="1:10" x14ac:dyDescent="0.35">
      <c r="A62" s="12">
        <v>3</v>
      </c>
      <c r="B62" s="16">
        <v>7.7</v>
      </c>
      <c r="C62" s="12">
        <v>3</v>
      </c>
      <c r="D62" s="14">
        <f>5.1+3.55+1.6+1.6+3.55+5.1+2.7+2.7+25.7</f>
        <v>51.599999999999994</v>
      </c>
      <c r="E62" s="14">
        <f>(0.7+1.6+0.7+1.6+0.6+0.6+0.7+0.7+1.6+1.6+9.6)*3.04</f>
        <v>60.8</v>
      </c>
      <c r="F62" s="14"/>
      <c r="G62" s="14"/>
      <c r="H62" s="14"/>
      <c r="I62" s="14">
        <f t="shared" si="5"/>
        <v>112.39999999999999</v>
      </c>
      <c r="J62" s="14"/>
    </row>
    <row r="63" spans="1:10" x14ac:dyDescent="0.35">
      <c r="A63" s="12">
        <v>4</v>
      </c>
      <c r="B63" s="16">
        <v>10.9</v>
      </c>
      <c r="C63" s="12">
        <v>4</v>
      </c>
      <c r="D63" s="14">
        <f>5.1+3.55+1.6+1.6+3.55+5.1+2.7+2.7+25.7</f>
        <v>51.599999999999994</v>
      </c>
      <c r="E63" s="14">
        <f>(0.7+1.6+0.7+1.6+0.6+0.6+0.7+0.7+1.6+1.6+9.6)*3.04</f>
        <v>60.8</v>
      </c>
      <c r="F63" s="14"/>
      <c r="G63" s="14"/>
      <c r="H63" s="14"/>
      <c r="I63" s="14">
        <f t="shared" si="5"/>
        <v>112.39999999999999</v>
      </c>
      <c r="J63" s="14"/>
    </row>
    <row r="64" spans="1:10" x14ac:dyDescent="0.35">
      <c r="A64" s="12"/>
      <c r="B64" s="16"/>
      <c r="C64" s="12"/>
      <c r="D64" s="14"/>
      <c r="E64" s="14"/>
      <c r="F64" s="14"/>
      <c r="G64" s="14"/>
      <c r="H64" s="14"/>
      <c r="I64" s="16">
        <f>SUM(I60:I63)</f>
        <v>282.31599999999997</v>
      </c>
      <c r="J64" s="16">
        <f>SUM(J60:J63)</f>
        <v>0</v>
      </c>
    </row>
    <row r="66" spans="1:13" ht="16" x14ac:dyDescent="0.35">
      <c r="A66" s="62" t="s">
        <v>246</v>
      </c>
      <c r="B66" s="63"/>
      <c r="C66" s="63"/>
      <c r="D66" s="63"/>
      <c r="E66" s="63"/>
      <c r="F66" s="63"/>
      <c r="G66" s="63"/>
      <c r="H66" s="63"/>
      <c r="I66" s="63"/>
      <c r="J66" s="64"/>
    </row>
    <row r="67" spans="1:13" ht="16" x14ac:dyDescent="0.35">
      <c r="A67" s="10" t="s">
        <v>0</v>
      </c>
      <c r="B67" s="10" t="s">
        <v>220</v>
      </c>
      <c r="C67" s="10" t="s">
        <v>19</v>
      </c>
      <c r="D67" s="10" t="s">
        <v>168</v>
      </c>
      <c r="E67" s="10" t="s">
        <v>231</v>
      </c>
      <c r="F67" s="10" t="s">
        <v>247</v>
      </c>
      <c r="G67" s="10"/>
      <c r="H67" s="10"/>
      <c r="I67" s="10" t="s">
        <v>8</v>
      </c>
      <c r="J67" s="10" t="s">
        <v>223</v>
      </c>
    </row>
    <row r="68" spans="1:13" x14ac:dyDescent="0.35">
      <c r="A68" s="11">
        <v>1</v>
      </c>
      <c r="B68" s="11">
        <v>2</v>
      </c>
      <c r="C68" s="11">
        <v>3</v>
      </c>
      <c r="D68" s="11">
        <v>4</v>
      </c>
      <c r="E68" s="11">
        <v>5</v>
      </c>
      <c r="F68" s="11">
        <v>6</v>
      </c>
      <c r="G68" s="11">
        <v>7</v>
      </c>
      <c r="H68" s="11">
        <v>8</v>
      </c>
      <c r="I68" s="11">
        <v>9</v>
      </c>
      <c r="J68" s="11">
        <v>10</v>
      </c>
    </row>
    <row r="69" spans="1:13" x14ac:dyDescent="0.35">
      <c r="A69" s="12">
        <v>1</v>
      </c>
      <c r="B69" s="16">
        <v>0</v>
      </c>
      <c r="C69" s="12">
        <v>1</v>
      </c>
      <c r="D69" s="14">
        <v>0</v>
      </c>
      <c r="E69" s="14">
        <v>0</v>
      </c>
      <c r="F69" s="14">
        <v>0</v>
      </c>
      <c r="G69" s="14"/>
      <c r="H69" s="14"/>
      <c r="I69" s="14">
        <f>SUM(D69:H69)</f>
        <v>0</v>
      </c>
      <c r="J69" s="14"/>
    </row>
    <row r="70" spans="1:13" x14ac:dyDescent="0.35">
      <c r="A70" s="12">
        <v>2</v>
      </c>
      <c r="B70" s="16">
        <v>4.5</v>
      </c>
      <c r="C70" s="12">
        <v>2</v>
      </c>
      <c r="D70" s="14">
        <f>41.82*2</f>
        <v>83.64</v>
      </c>
      <c r="E70" s="14">
        <f>6.7+6.7+7.98+7.8+5.4+5.4</f>
        <v>39.980000000000004</v>
      </c>
      <c r="F70" s="14">
        <v>74.8</v>
      </c>
      <c r="G70" s="14"/>
      <c r="H70" s="14"/>
      <c r="I70" s="14">
        <f t="shared" ref="I70:I72" si="6">SUM(D70:H70)</f>
        <v>198.42000000000002</v>
      </c>
      <c r="J70" s="14"/>
    </row>
    <row r="71" spans="1:13" x14ac:dyDescent="0.35">
      <c r="A71" s="12">
        <v>3</v>
      </c>
      <c r="B71" s="16">
        <v>7.7</v>
      </c>
      <c r="C71" s="12">
        <v>3</v>
      </c>
      <c r="D71" s="14">
        <f>30.7*2</f>
        <v>61.4</v>
      </c>
      <c r="E71" s="14">
        <f>(6.7*6)+(7.8*2)+(5.4*2)+(0.5*2)</f>
        <v>67.600000000000009</v>
      </c>
      <c r="F71" s="14">
        <f>37.8*2</f>
        <v>75.599999999999994</v>
      </c>
      <c r="G71" s="14"/>
      <c r="H71" s="14"/>
      <c r="I71" s="14">
        <f t="shared" si="6"/>
        <v>204.6</v>
      </c>
      <c r="J71" s="14"/>
    </row>
    <row r="72" spans="1:13" x14ac:dyDescent="0.35">
      <c r="A72" s="12">
        <v>4</v>
      </c>
      <c r="B72" s="16">
        <v>10.9</v>
      </c>
      <c r="C72" s="12">
        <v>4</v>
      </c>
      <c r="D72" s="14">
        <f>30.7*2</f>
        <v>61.4</v>
      </c>
      <c r="E72" s="14">
        <f>(6.7*6)+(7.8*2)+(5.4*2)+(0.5*2)</f>
        <v>67.600000000000009</v>
      </c>
      <c r="F72" s="14">
        <f>37.8*2</f>
        <v>75.599999999999994</v>
      </c>
      <c r="G72" s="14"/>
      <c r="H72" s="14"/>
      <c r="I72" s="14">
        <f t="shared" si="6"/>
        <v>204.6</v>
      </c>
      <c r="J72" s="14"/>
    </row>
    <row r="73" spans="1:13" x14ac:dyDescent="0.35">
      <c r="A73" s="12"/>
      <c r="B73" s="16"/>
      <c r="C73" s="12"/>
      <c r="D73" s="14"/>
      <c r="E73" s="14"/>
      <c r="F73" s="14"/>
      <c r="G73" s="14"/>
      <c r="H73" s="14"/>
      <c r="I73" s="16">
        <f>SUM(I69:I72)</f>
        <v>607.62</v>
      </c>
      <c r="J73" s="16">
        <f>SUM(J69:J72)</f>
        <v>0</v>
      </c>
    </row>
    <row r="75" spans="1:13" ht="16" x14ac:dyDescent="0.35">
      <c r="A75" s="62" t="s">
        <v>248</v>
      </c>
      <c r="B75" s="63"/>
      <c r="C75" s="63"/>
      <c r="D75" s="63"/>
      <c r="E75" s="63"/>
      <c r="F75" s="63"/>
      <c r="G75" s="63"/>
      <c r="H75" s="63"/>
      <c r="I75" s="63"/>
      <c r="J75" s="64"/>
    </row>
    <row r="76" spans="1:13" ht="16" x14ac:dyDescent="0.35">
      <c r="A76" s="10" t="s">
        <v>0</v>
      </c>
      <c r="B76" s="10" t="s">
        <v>220</v>
      </c>
      <c r="C76" s="10" t="s">
        <v>19</v>
      </c>
      <c r="D76" s="10" t="s">
        <v>249</v>
      </c>
      <c r="E76" s="10" t="s">
        <v>231</v>
      </c>
      <c r="F76" s="10" t="s">
        <v>289</v>
      </c>
      <c r="G76" s="10"/>
      <c r="H76" s="10"/>
      <c r="I76" s="10" t="s">
        <v>8</v>
      </c>
      <c r="J76" s="10" t="s">
        <v>223</v>
      </c>
    </row>
    <row r="77" spans="1:13" x14ac:dyDescent="0.35">
      <c r="A77" s="11">
        <v>1</v>
      </c>
      <c r="B77" s="11">
        <v>2</v>
      </c>
      <c r="C77" s="11">
        <v>3</v>
      </c>
      <c r="D77" s="11">
        <v>4</v>
      </c>
      <c r="E77" s="11">
        <v>5</v>
      </c>
      <c r="F77" s="11">
        <v>6</v>
      </c>
      <c r="G77" s="11">
        <v>7</v>
      </c>
      <c r="H77" s="11">
        <v>8</v>
      </c>
      <c r="I77" s="11">
        <v>9</v>
      </c>
      <c r="J77" s="11">
        <v>10</v>
      </c>
    </row>
    <row r="78" spans="1:13" x14ac:dyDescent="0.35">
      <c r="A78" s="12">
        <v>1</v>
      </c>
      <c r="B78" s="16">
        <v>0</v>
      </c>
      <c r="C78" s="12">
        <v>1</v>
      </c>
      <c r="D78" s="14">
        <v>0</v>
      </c>
      <c r="E78" s="14">
        <f>E69</f>
        <v>0</v>
      </c>
      <c r="F78" s="14"/>
      <c r="G78" s="14"/>
      <c r="H78" s="14"/>
      <c r="I78" s="14">
        <f>SUM(D78:H78)</f>
        <v>0</v>
      </c>
      <c r="J78" s="14"/>
      <c r="M78" s="46"/>
    </row>
    <row r="79" spans="1:13" x14ac:dyDescent="0.35">
      <c r="A79" s="12">
        <v>2</v>
      </c>
      <c r="B79" s="16">
        <v>4.5</v>
      </c>
      <c r="C79" s="12">
        <v>2</v>
      </c>
      <c r="D79" s="14">
        <v>543.79999999999995</v>
      </c>
      <c r="E79" s="14">
        <f>E70</f>
        <v>39.980000000000004</v>
      </c>
      <c r="F79" s="14">
        <v>86.7</v>
      </c>
      <c r="G79" s="14"/>
      <c r="H79" s="14"/>
      <c r="I79" s="14">
        <f t="shared" ref="I79:I81" si="7">SUM(D79:H79)</f>
        <v>670.48</v>
      </c>
      <c r="J79" s="14"/>
      <c r="M79" s="46"/>
    </row>
    <row r="80" spans="1:13" x14ac:dyDescent="0.35">
      <c r="A80" s="12">
        <v>3</v>
      </c>
      <c r="B80" s="16">
        <v>7.7</v>
      </c>
      <c r="C80" s="12">
        <v>3</v>
      </c>
      <c r="D80" s="14">
        <v>572</v>
      </c>
      <c r="E80" s="14">
        <f t="shared" ref="E80:E82" si="8">E71</f>
        <v>67.600000000000009</v>
      </c>
      <c r="F80" s="14">
        <v>61.2</v>
      </c>
      <c r="G80" s="14"/>
      <c r="H80" s="14"/>
      <c r="I80" s="14">
        <f t="shared" si="7"/>
        <v>700.80000000000007</v>
      </c>
      <c r="J80" s="14"/>
    </row>
    <row r="81" spans="1:10" x14ac:dyDescent="0.35">
      <c r="A81" s="12">
        <v>4</v>
      </c>
      <c r="B81" s="16">
        <v>10.9</v>
      </c>
      <c r="C81" s="12">
        <v>4</v>
      </c>
      <c r="D81" s="14">
        <v>572</v>
      </c>
      <c r="E81" s="14">
        <f t="shared" si="8"/>
        <v>67.600000000000009</v>
      </c>
      <c r="F81" s="14">
        <v>61.2</v>
      </c>
      <c r="G81" s="14"/>
      <c r="H81" s="14"/>
      <c r="I81" s="14">
        <f t="shared" si="7"/>
        <v>700.80000000000007</v>
      </c>
      <c r="J81" s="14"/>
    </row>
    <row r="82" spans="1:10" x14ac:dyDescent="0.35">
      <c r="A82" s="12"/>
      <c r="B82" s="16"/>
      <c r="C82" s="12"/>
      <c r="D82" s="14"/>
      <c r="E82" s="14">
        <f t="shared" si="8"/>
        <v>0</v>
      </c>
      <c r="F82" s="14"/>
      <c r="G82" s="14"/>
      <c r="H82" s="14"/>
      <c r="I82" s="16">
        <f>SUM(I78:I81)</f>
        <v>2072.0800000000004</v>
      </c>
      <c r="J82" s="16">
        <f>SUM(J78:J81)</f>
        <v>0</v>
      </c>
    </row>
    <row r="84" spans="1:10" ht="16" x14ac:dyDescent="0.35">
      <c r="A84" s="62" t="s">
        <v>250</v>
      </c>
      <c r="B84" s="63"/>
      <c r="C84" s="63"/>
      <c r="D84" s="63"/>
      <c r="E84" s="63"/>
      <c r="F84" s="63"/>
      <c r="G84" s="63"/>
      <c r="H84" s="63"/>
      <c r="I84" s="63"/>
      <c r="J84" s="64"/>
    </row>
    <row r="85" spans="1:10" ht="16" x14ac:dyDescent="0.35">
      <c r="A85" s="10" t="s">
        <v>0</v>
      </c>
      <c r="B85" s="10" t="s">
        <v>220</v>
      </c>
      <c r="C85" s="10" t="s">
        <v>19</v>
      </c>
      <c r="D85" s="10" t="s">
        <v>251</v>
      </c>
      <c r="E85" s="10" t="s">
        <v>252</v>
      </c>
      <c r="F85" s="10" t="s">
        <v>253</v>
      </c>
      <c r="G85" s="10"/>
      <c r="H85" s="10"/>
      <c r="I85" s="10" t="s">
        <v>8</v>
      </c>
      <c r="J85" s="10" t="s">
        <v>223</v>
      </c>
    </row>
    <row r="86" spans="1:10" x14ac:dyDescent="0.35">
      <c r="A86" s="11">
        <v>1</v>
      </c>
      <c r="B86" s="11">
        <v>2</v>
      </c>
      <c r="C86" s="11">
        <v>3</v>
      </c>
      <c r="D86" s="11">
        <v>4</v>
      </c>
      <c r="E86" s="11">
        <v>5</v>
      </c>
      <c r="F86" s="11">
        <v>6</v>
      </c>
      <c r="G86" s="11">
        <v>7</v>
      </c>
      <c r="H86" s="11">
        <v>8</v>
      </c>
      <c r="I86" s="11">
        <v>9</v>
      </c>
      <c r="J86" s="11">
        <v>10</v>
      </c>
    </row>
    <row r="87" spans="1:10" x14ac:dyDescent="0.35">
      <c r="A87" s="12">
        <v>1</v>
      </c>
      <c r="B87" s="16">
        <v>0</v>
      </c>
      <c r="C87" s="12">
        <v>1</v>
      </c>
      <c r="D87" s="14">
        <v>0</v>
      </c>
      <c r="E87" s="14">
        <v>0</v>
      </c>
      <c r="F87" s="14"/>
      <c r="G87" s="14"/>
      <c r="H87" s="14"/>
      <c r="I87" s="14">
        <f>SUM(D87:H87)</f>
        <v>0</v>
      </c>
      <c r="J87" s="14"/>
    </row>
    <row r="88" spans="1:10" x14ac:dyDescent="0.35">
      <c r="A88" s="12">
        <v>2</v>
      </c>
      <c r="B88" s="16">
        <v>4.5</v>
      </c>
      <c r="C88" s="12">
        <v>2</v>
      </c>
      <c r="D88" s="14">
        <f>324.8*2.97</f>
        <v>964.65600000000006</v>
      </c>
      <c r="E88" s="14">
        <f>112.5*2.97</f>
        <v>334.125</v>
      </c>
      <c r="F88" s="14"/>
      <c r="G88" s="14"/>
      <c r="H88" s="14"/>
      <c r="I88" s="14">
        <f t="shared" ref="I88:I90" si="9">SUM(D88:H88)</f>
        <v>1298.7809999999999</v>
      </c>
      <c r="J88" s="14"/>
    </row>
    <row r="89" spans="1:10" x14ac:dyDescent="0.35">
      <c r="A89" s="12">
        <v>3</v>
      </c>
      <c r="B89" s="16">
        <v>7.7</v>
      </c>
      <c r="C89" s="12">
        <v>3</v>
      </c>
      <c r="D89" s="14">
        <f t="shared" ref="D89:D90" si="10">324.8*2.97</f>
        <v>964.65600000000006</v>
      </c>
      <c r="E89" s="14">
        <f>112.5*2.97</f>
        <v>334.125</v>
      </c>
      <c r="F89" s="14"/>
      <c r="G89" s="14"/>
      <c r="H89" s="14"/>
      <c r="I89" s="14">
        <f t="shared" si="9"/>
        <v>1298.7809999999999</v>
      </c>
      <c r="J89" s="14"/>
    </row>
    <row r="90" spans="1:10" x14ac:dyDescent="0.35">
      <c r="A90" s="12">
        <v>4</v>
      </c>
      <c r="B90" s="16">
        <v>10.9</v>
      </c>
      <c r="C90" s="12">
        <v>4</v>
      </c>
      <c r="D90" s="14">
        <f t="shared" si="10"/>
        <v>964.65600000000006</v>
      </c>
      <c r="E90" s="14">
        <f>112.5*2.97</f>
        <v>334.125</v>
      </c>
      <c r="F90" s="14"/>
      <c r="G90" s="14"/>
      <c r="H90" s="14"/>
      <c r="I90" s="14">
        <f t="shared" si="9"/>
        <v>1298.7809999999999</v>
      </c>
      <c r="J90" s="14"/>
    </row>
    <row r="91" spans="1:10" x14ac:dyDescent="0.35">
      <c r="A91" s="12"/>
      <c r="B91" s="16"/>
      <c r="C91" s="12"/>
      <c r="D91" s="14"/>
      <c r="E91" s="14"/>
      <c r="F91" s="14"/>
      <c r="G91" s="14"/>
      <c r="H91" s="14"/>
      <c r="I91" s="16">
        <f>SUM(I87:I90)</f>
        <v>3896.3429999999998</v>
      </c>
      <c r="J91" s="16">
        <f>SUM(J87:J90)</f>
        <v>0</v>
      </c>
    </row>
  </sheetData>
  <mergeCells count="12">
    <mergeCell ref="A1:J1"/>
    <mergeCell ref="A10:J10"/>
    <mergeCell ref="A19:J19"/>
    <mergeCell ref="A30:J30"/>
    <mergeCell ref="A39:J39"/>
    <mergeCell ref="A57:J57"/>
    <mergeCell ref="A66:J66"/>
    <mergeCell ref="A75:J75"/>
    <mergeCell ref="A84:J84"/>
    <mergeCell ref="D24:D26"/>
    <mergeCell ref="G23:G27"/>
    <mergeCell ref="A48:J48"/>
  </mergeCells>
  <pageMargins left="0.7" right="0.7" top="0.75" bottom="0.75" header="0.3" footer="0.3"/>
  <pageSetup orientation="portrait" r:id="rId1"/>
  <ignoredErrors>
    <ignoredError sqref="J8 J17 J28 J37 J46 J5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ფართები</vt:lpstr>
      <vt:lpstr>ბიუჯეტი</vt:lpstr>
      <vt:lpstr>სამუშაო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2024-03-07T12:22:41Z</dcterms:modified>
</cp:coreProperties>
</file>